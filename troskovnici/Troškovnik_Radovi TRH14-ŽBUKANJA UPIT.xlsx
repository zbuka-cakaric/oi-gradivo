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codeName="ThisWorkbook"/>
  <mc:AlternateContent xmlns:mc="http://schemas.openxmlformats.org/markup-compatibility/2006">
    <mc:Choice Requires="x15">
      <x15ac:absPath xmlns:x15ac="http://schemas.microsoft.com/office/spreadsheetml/2010/11/ac" url="T:\Ingrad Pravni\"/>
    </mc:Choice>
  </mc:AlternateContent>
  <xr:revisionPtr revIDLastSave="0" documentId="13_ncr:1_{413B8D8C-0D00-4BF0-B206-763CB0ABBD6B}" xr6:coauthVersionLast="47" xr6:coauthVersionMax="47" xr10:uidLastSave="{00000000-0000-0000-0000-000000000000}"/>
  <bookViews>
    <workbookView xWindow="42375" yWindow="495" windowWidth="30255" windowHeight="19710" tabRatio="694" activeTab="2" xr2:uid="{00000000-000D-0000-FFFF-FFFF00000000}"/>
  </bookViews>
  <sheets>
    <sheet name="NASLOVNICA " sheetId="19" r:id="rId1"/>
    <sheet name="I. OPĆI GO" sheetId="6" r:id="rId2"/>
    <sheet name="I. GO" sheetId="7" r:id="rId3"/>
  </sheets>
  <definedNames>
    <definedName name="_1Excel_BuiltIn_Print_Area_2_1_1" localSheetId="0">#REF!</definedName>
    <definedName name="_1Excel_BuiltIn_Print_Area_2_1_1">#REF!</definedName>
    <definedName name="_2Excel_BuiltIn_Print_Area_2_1_1_1" localSheetId="0">#REF!</definedName>
    <definedName name="_2Excel_BuiltIn_Print_Area_2_1_1_1">#REF!</definedName>
    <definedName name="_3ea1" localSheetId="0">#REF!</definedName>
    <definedName name="_3ea1">#REF!</definedName>
    <definedName name="_3Excel_BuiltIn_Print_Area_2_1_1_1_1" localSheetId="0">#REF!</definedName>
    <definedName name="_3Excel_BuiltIn_Print_Area_2_1_1_1_1">#REF!</definedName>
    <definedName name="_4Excel_BuiltIn_Print_Area_2_1_1_1_1_1" localSheetId="0">#REF!</definedName>
    <definedName name="_4Excel_BuiltIn_Print_Area_2_1_1_1_1_1">#REF!</definedName>
    <definedName name="_5Excel_BuiltIn_Print_Area_2_1_1_1_1_1_1_1_1" localSheetId="0">#REF!</definedName>
    <definedName name="_5Excel_BuiltIn_Print_Area_2_1_1_1_1_1_1_1_1">#REF!</definedName>
    <definedName name="Excel_BuiltIn_Print_Area_1" localSheetId="0">#REF!</definedName>
    <definedName name="Excel_BuiltIn_Print_Area_1">#REF!</definedName>
    <definedName name="Excel_BuiltIn_Print_Area_2" localSheetId="0">#REF!</definedName>
    <definedName name="Excel_BuiltIn_Print_Area_2">#REF!</definedName>
    <definedName name="Excel_BuiltIn_Print_Area_2_1" localSheetId="0">#REF!</definedName>
    <definedName name="Excel_BuiltIn_Print_Area_2_1">#REF!</definedName>
    <definedName name="Excel_BuiltIn_Print_Area_2_1_1" localSheetId="0">#REF!</definedName>
    <definedName name="Excel_BuiltIn_Print_Area_2_1_1">#REF!</definedName>
    <definedName name="Excel_BuiltIn_Print_Area_2_1_1_1" localSheetId="0">#REF!</definedName>
    <definedName name="Excel_BuiltIn_Print_Area_2_1_1_1">#REF!</definedName>
    <definedName name="Excel_BuiltIn_Print_Area_2_1_1_1_1" localSheetId="0">#REF!</definedName>
    <definedName name="Excel_BuiltIn_Print_Area_2_1_1_1_1">#REF!</definedName>
    <definedName name="Excel_BuiltIn_Print_Area_2_1_1_1_1_1" localSheetId="0">#REF!</definedName>
    <definedName name="Excel_BuiltIn_Print_Area_2_1_1_1_1_1">#REF!</definedName>
    <definedName name="Excel_BuiltIn_Print_Area_2_1_1_1_1_1_1" localSheetId="0">#REF!</definedName>
    <definedName name="Excel_BuiltIn_Print_Area_2_1_1_1_1_1_1">#REF!</definedName>
    <definedName name="Excel_BuiltIn_Print_Area_2_1_1_1_1_1_1_1" localSheetId="0">#REF!</definedName>
    <definedName name="Excel_BuiltIn_Print_Area_2_1_1_1_1_1_1_1">#REF!</definedName>
    <definedName name="Excel_BuiltIn_Print_Area_3" localSheetId="0">#REF!</definedName>
    <definedName name="Excel_BuiltIn_Print_Area_3">#REF!</definedName>
    <definedName name="OLE_LINK1" localSheetId="2">'I. GO'!#REF!</definedName>
    <definedName name="_xlnm.Print_Area" localSheetId="2">'I. GO'!$A$1:$F$119</definedName>
    <definedName name="_xlnm.Print_Area" localSheetId="1">'I. OPĆI GO'!$A$1:$F$612</definedName>
    <definedName name="_xlnm.Print_Area" localSheetId="0">'NASLOVNICA '!$A$1:$I$46</definedName>
    <definedName name="_xlnm.Print_Titles" localSheetId="2">'I. GO'!$1:$2</definedName>
    <definedName name="SPRANCA" localSheetId="0">#REF!</definedName>
    <definedName name="SPRANCA">#REF!</definedName>
    <definedName name="SUM" localSheetId="2">'I. GO'!#REF!</definedName>
    <definedName name="SUM" localSheetId="0">#REF!</definedName>
    <definedName name="SUM">#REF!</definedName>
  </definedNames>
  <calcPr calcId="191029"/>
</workbook>
</file>

<file path=xl/calcChain.xml><?xml version="1.0" encoding="utf-8"?>
<calcChain xmlns="http://schemas.openxmlformats.org/spreadsheetml/2006/main">
  <c r="F116" i="7" l="1"/>
  <c r="F99" i="7"/>
  <c r="F95" i="7"/>
  <c r="F113" i="7"/>
  <c r="F87" i="7"/>
  <c r="F66" i="7"/>
  <c r="F62" i="7"/>
  <c r="F58" i="7"/>
  <c r="F53" i="7"/>
  <c r="F48" i="7"/>
  <c r="F90" i="7" l="1"/>
  <c r="F83" i="7"/>
  <c r="F82" i="7"/>
  <c r="F69" i="7" l="1"/>
  <c r="F98" i="7" l="1"/>
  <c r="F97" i="7"/>
  <c r="F96" i="7"/>
  <c r="F94" i="7"/>
  <c r="F105" i="7"/>
  <c r="F104" i="7"/>
  <c r="F109" i="7"/>
  <c r="F114" i="7" l="1"/>
  <c r="F110" i="7"/>
  <c r="F100" i="7"/>
  <c r="F93" i="7"/>
</calcChain>
</file>

<file path=xl/sharedStrings.xml><?xml version="1.0" encoding="utf-8"?>
<sst xmlns="http://schemas.openxmlformats.org/spreadsheetml/2006/main" count="1088" uniqueCount="714">
  <si>
    <t>SOBOSLIKARSKO-LIČILAČKI RADOVI</t>
  </si>
  <si>
    <t>IZOLATERSKI RADOVI</t>
  </si>
  <si>
    <t>KERAMIČARSKI RADOVI</t>
  </si>
  <si>
    <t>ZEMLJANI RADOVI</t>
  </si>
  <si>
    <t>BETONSKI I ARMIRANOBETONSKI RADOVI</t>
  </si>
  <si>
    <t>profilno željezo</t>
  </si>
  <si>
    <t>PODOPOLAGAČKI RADOVI</t>
  </si>
  <si>
    <t>PROTUPOŽARNA BRAVARIJA</t>
  </si>
  <si>
    <t>STOLARSKI RADOVI</t>
  </si>
  <si>
    <t>LIMARSKI RADOVI</t>
  </si>
  <si>
    <t>cement</t>
  </si>
  <si>
    <t>agregat</t>
  </si>
  <si>
    <t>ČELIČNA KONSTRUKCIJA</t>
  </si>
  <si>
    <t>beton</t>
  </si>
  <si>
    <t>armatura</t>
  </si>
  <si>
    <t>a)</t>
  </si>
  <si>
    <t>b)</t>
  </si>
  <si>
    <t>c)</t>
  </si>
  <si>
    <t>d)</t>
  </si>
  <si>
    <t>3.</t>
  </si>
  <si>
    <t>pravilnici</t>
  </si>
  <si>
    <t>Pravilnik o hrvatskim normama za zaštitu čeličnih konstrukcija</t>
  </si>
  <si>
    <t>Pravilnik o tehničkim mjerama i uvjetima za nosive čeličnih konstrukcija</t>
  </si>
  <si>
    <t>norme</t>
  </si>
  <si>
    <t>HRN C.B0.500/89 - opći konstrukcijski čelici</t>
  </si>
  <si>
    <t>HRN C.T3.010/89 - zavarivanje i srodni postupci</t>
  </si>
  <si>
    <t>HRN C.T3.035/87 - zavareni spojevi, postupci kontrole kvalitete</t>
  </si>
  <si>
    <t>kontrola izrade u radionici</t>
  </si>
  <si>
    <t>Kontrolu izrade u radionici povremeno obavlja nadzorni inženjer i projektant putem:</t>
  </si>
  <si>
    <t>- dnevnika zavarivanja s upisanim dokazima za upotrebljene elektrode, svjedodžbe zavarivača, plan zavarivanja, filmovi spojeva, zapisnicima</t>
  </si>
  <si>
    <t>- dnevnika izrade konstrukcije koji vodi izvoditelj radova u koji se upisuju svi podaci vezani za izradu (dokazi kakvoće, porijeklu materijala i drugo)</t>
  </si>
  <si>
    <t>- dnevnika izvedbe zaštite čelične konstrukcije od korozije</t>
  </si>
  <si>
    <t>- preuzimanja čelične konstrukcije u radionici</t>
  </si>
  <si>
    <t>- inspekcijskog nadzora u radionici</t>
  </si>
  <si>
    <t>HRN C.T3.013/86 - zavarivanje,dozvoljena odstupanja mjera</t>
  </si>
  <si>
    <t>transport i odlaganje</t>
  </si>
  <si>
    <t>Dijelovi konstrukcije obvezno se moraju zaštititi od oštećenja prije transporta - obvezno isključiti mogućnost preopterećenja, a odlaganje dijelova provesti tako da ne dodiruju tlo i da je postavljenje stabilno.</t>
  </si>
  <si>
    <t>postava čelične konstrukcije</t>
  </si>
  <si>
    <t>Izvoditelj radova mora prije početka postavljanja konstrukcije od naručitelja zapisnički primiti geodetske podatke definirane projektom. Kontrola spojeva izvedenih zavarivanjem, vijcima ili eventualno zakovicama provodi se putem dnevnika montaže. Obvezno se izvodi zaštita čelične konstrukcije od korozije.</t>
  </si>
  <si>
    <t>preuzimanje čeličnih konstrukcija nakon završene ugradnje</t>
  </si>
  <si>
    <t>- postupno preuzimanje nevidljivih radova</t>
  </si>
  <si>
    <t>- konačno preuzimanje radova uz zapisnik o postavljanju konstrukcije i odvojeni zapisnik o preuzimanju sustava zaštite od korozije</t>
  </si>
  <si>
    <t>Preuzimanje izvedenih radova sastoji se od slijedećih radnji:</t>
  </si>
  <si>
    <t>Dokumentacija o preuzimanju mora sadržavati:</t>
  </si>
  <si>
    <t>- projekt montaže</t>
  </si>
  <si>
    <t>- radioničke nacrte</t>
  </si>
  <si>
    <t>- dokaze o kvaliteti konstrukcije</t>
  </si>
  <si>
    <t>- svjedodžba zavarivača</t>
  </si>
  <si>
    <t>- građevinski dnevnik</t>
  </si>
  <si>
    <t>- atesti o propisanim ispitivanjima čelične konstrukcije nakon montaže</t>
  </si>
  <si>
    <t>4.</t>
  </si>
  <si>
    <t>2.</t>
  </si>
  <si>
    <t>5.</t>
  </si>
  <si>
    <t>1.</t>
  </si>
  <si>
    <t>OPĆA NAPOMENA:</t>
  </si>
  <si>
    <t>NAPOMENA:</t>
  </si>
  <si>
    <t>Oplata mora biti takva da betonu osigurava traženi oblik dok beton ne očvrsne. Oplata i spojnice između elemenata trebaju biti dovoljno nepropusni da spriječe gubitak fonog morta. Oplatu koja apsorbira znatnu količinu vode iz betona ili omogućava evaporaciju treba odgovarajuće vlažiti, osim ako oplata nije posebno i kontrolirano namijenjena za gubitak vode. Unutarnja površina oplate mora biti čista. Ako se oplata koristi za vidljive betone, njezina obrada mora osigurati projektiranu površinu betona.</t>
  </si>
  <si>
    <t>Skele i oplate, uključivo njihove potpore i temelji, trebaju biti otporni na svako djelovanje kojem su izložene tijekom izvedbe, dovoljno čvrste da spriječe oštećivanje konstrukcije. ne smiju ugrožavati tijek i kvalitetu ostalih radova i moraju zadovoljavati mjerodavne norme. Skele i oplata ne smiju se uklanjati dok beton ne postigne dovoljnu čvrstoću.</t>
  </si>
  <si>
    <t>Eventualno posebna površinska obrada betona dana je u nacrtima oplate.</t>
  </si>
  <si>
    <t>Uklanjanje oplate treba izvoditi na način da se konstrukcija ne preoptereti i ne ošteti. Skele treba otpuštati postupno, tako da se drugi elementi skele ne preopterete. Stabilnost skela i oplata treba održavati i kod oslobađanja i uklanjanja.</t>
  </si>
  <si>
    <t>U betonske i AB konstrukcije ugrađuje se beton proizveden prema odredbama Tehničkog propisa za betonske konstrukcije (TPBK) i ovih tehničkih uvjeta.</t>
  </si>
  <si>
    <t>Nadzor i kontrolu kvalitete betona treba provesti na mjestu ugradnje, te provjeriti otpremni dokument i potpisom potvrditi izvršeni nadzor. Kontrolni postupak utvrđivanja tlačne čvrstoće očvrsnulog betona provodi se na uzorcima koji su uzeti neposredno prije ugradnje u betonsku konstrukciju.</t>
  </si>
  <si>
    <t>U slučaju nepotvrđivanja zahtjevanog razreda tlačne čvrstoće betona, na dijelu konstrukcije u koji je ugrađen beton nedokazanog razreda tlačne čvstoće treba provesti naknadno ispitivanje.</t>
  </si>
  <si>
    <t>Najmanje vrijednosti zaštitnog sloja armature određuju se prema TPBK, prilog H, ovisno o izloženosti pojedinih betona, te položaju i namjeni dijela konstrukcije, a određeni su projektom konstrukcije.</t>
  </si>
  <si>
    <t>oplata i skela</t>
  </si>
  <si>
    <t>Izvoditelj mora prije početka ugradnje provjeriti da li je armatura u skladu sa zahtjevima iz projekta betonske konstrukcije (B500B) i da li je tijekom rukovanja i skladištenja armature došlo do njezinog oštećivanja, deformavije ili druge promjene koja bi bila od utjecaja na tehnička svojstva betonske konstrukcije. Dokazivanje uporabljivosti armature izrađene prema projektu betonske konstrukcije mora se provesti prema tom projektu, normama. odredbama Priloga B TPBK, a uključuje izvođačevu kontrolu izrade i ispitivanja armature, nadzor proizvodnog pogona i nadzor izvođačeve kontrole izrade armature.</t>
  </si>
  <si>
    <t>dodaci betonu</t>
  </si>
  <si>
    <t>voda</t>
  </si>
  <si>
    <t>predgotovljeni betonski proizvodi</t>
  </si>
  <si>
    <t>mort</t>
  </si>
  <si>
    <t>Izvoditelj mora s proizvođačem betona usuglasiti datum isporuke, vrijeme isporuke i količinu, informirati proizvođača o uvjetima transporta na gradilište, te eventualnim posebnim postupcima ugradnje.</t>
  </si>
  <si>
    <t>Pri isporuci betona proizvođač mora dostaviti otpremnicu za svaku transportnim sredstvom isporučenu količinu betona na kojoj su neizbrisivo navedene sve bitne informacije.</t>
  </si>
  <si>
    <t>Svako dodavanje vode ili kemijskih dodataka betonu pri isporuci je zabranjeno.</t>
  </si>
  <si>
    <t>U posebnim slučajevima voda ili dodaci mogu se dodati kad se to primjenjuje za postizanje tražene konzistencije, osiguravajući pritom da tražene granične vrijednosti nisu prekoračene i da je dodatna količina kemijskog dodatka uključena u projekt betona. Količina svakog dodavanja vode ili kemijskog dodatka dodana u transportno vozilo (mikser) mora biti upisana u otpremni dokument.</t>
  </si>
  <si>
    <t>Nakon skidanja oplate nadzorni inženjer mora provesti konstrolu površine betona i potvrditi usklađenost sa zahtjevima iz projekta. Izvedene dimenzije konstrukcije trebaju biti unutar najvećih dopuštenih odstupanja radi izbjegavanja štetnih utjecaja i ponašanja na mehaničku otpornost i stabilnost, u privremenom i kasnijem uporabnom stanju, i kompatibilnost izvedene konstrukcije i nekonstrukcijskih dijelova.</t>
  </si>
  <si>
    <t>Izvoditelj mora udovoljiti svim propisima koji određuju uvjete i zatjeve u projektiranju, izradi i postavi nosivih čeličnih konstrukcija i mora se pridržavati normi o kvaliteti materijala i radova, a sve u skladu sa slijedećim tehničkim propisima, pravilnicima i normama:</t>
  </si>
  <si>
    <t>tehnički propisi</t>
  </si>
  <si>
    <t>Tehnički propisi za toleranciju mjera i oblika kod nosivih čeličnih konstrukcija</t>
  </si>
  <si>
    <t>Tehnički propisi za pregled i ispitivanje nosivih čeličnih konstrukcija</t>
  </si>
  <si>
    <t>Tehnički propisi o kakvoći zavarenih spojeva za nosive čelične konstrukcije</t>
  </si>
  <si>
    <t>Za betonske proizvode i betone proizvedene na gradilištu, a za potrebe tog gradilišta, potrebno je dokazati uporabljivost u skladu s projektom betonske konstrukcije i TPBK.</t>
  </si>
  <si>
    <t>STAKLARSKI RADOVI</t>
  </si>
  <si>
    <t>hidroizolacija</t>
  </si>
  <si>
    <t>ALUMINIJSKA BRAVARIJA</t>
  </si>
  <si>
    <t xml:space="preserve">OPĆI TEHNIČKI UVJETI </t>
  </si>
  <si>
    <t xml:space="preserve">Sve odredbe posebnih uvjeta i ovih općih uvjeta smatraju se sastavnim dijelom opisa svake pojedine stavke ovog troškovnika i vrijede za sve radove, osim ako ih opis stavke troškovnika ne isključuje. </t>
  </si>
  <si>
    <t>Ako opisom stavke troškovnika nije precizno određene kvaliteta materijala, izvođač je u obvezi koristitii isključivo materijal prve klase.</t>
  </si>
  <si>
    <t>U jediničnu cijenu svih radova opisanih u ovom troškovniku mora biti uključen sav rad i materijal do potpune funkcionalne gotovosti svake pojedinačne stavke troškovnika i građevine u cjelini, odnosno mora biti uključeno sve kako slijedi:</t>
  </si>
  <si>
    <t>-</t>
  </si>
  <si>
    <t>osiguranje gradilišta</t>
  </si>
  <si>
    <t>osiguranje i zaštita susjednih objekata, te popravak štete nastale na istima za vrijeme izvođenja radova</t>
  </si>
  <si>
    <t>osiguranje i zaštita dijelova objekta koji se ne ruše, te popravak štete nastale na istima za vrijeme izvođenja radova</t>
  </si>
  <si>
    <t>osiguranje nesmetanog odvijanja prometa i prolaza</t>
  </si>
  <si>
    <t xml:space="preserve">sve higijensko-tehničke zaštitne mjere za sve djelatnike na gradilištu </t>
  </si>
  <si>
    <t>naknada za gradsku deponiju</t>
  </si>
  <si>
    <t>naknada za zauzimanje javnih prometnih i ostalih površina, te popravak štete nastale na tim površinama za vrijeme zauzimanja istih od strane izvođača</t>
  </si>
  <si>
    <t>organizacija gradilišta: zaštitna ograda gradilišta, pristupne rampe i/ili tuneli, pomoćni prolazi, skladišta kontejnersko naselje uključivo ured za nadzorne inženjere, WC, privremeni priključak struje i vode te ostalih potrebnih instalacija, čišćenje, čuvarska služba i ostalo za nesmetano funkcioniranje gradilišta</t>
  </si>
  <si>
    <t>svi troškovi i takse privremenih priključaka instalacija</t>
  </si>
  <si>
    <t>izrada, montaža, demontaža, održavanje i transposrt svih potrebneih pokretnih, nepokretnih, radnih, transportnih i pomoćnih skela</t>
  </si>
  <si>
    <t>iskolčenje s određivanjem i održavanjem stalnih točaka</t>
  </si>
  <si>
    <t>sav osnovni i pomoćni rad</t>
  </si>
  <si>
    <t>sav osnovni i pomoćni materijal</t>
  </si>
  <si>
    <t xml:space="preserve">sav alat, mehanizacija i amortizacija istih </t>
  </si>
  <si>
    <t>svi vanjski i unutrašnji transporti</t>
  </si>
  <si>
    <t>sav normalni rastur i otpad materijala</t>
  </si>
  <si>
    <t>sva potrebna ispitivanja i ishođenje atesta za ugrađenie materijale / opremu / postrojenja i izvedenu konstrukciju</t>
  </si>
  <si>
    <t>crpljenja vode iz građevinske jame, zaštita iskopa, sabirne jame</t>
  </si>
  <si>
    <t>čišćenje i održavanje prometnica kojima se odvija transport sa i na gradilište</t>
  </si>
  <si>
    <t>čišćenje i održavanje objekta i gradilišta za cijelo vrijeme izvođenja radova</t>
  </si>
  <si>
    <t>svi ostali troškovi nužni za izvođenje radova i dovršenje građevine kao funkcionalne cjeline</t>
  </si>
  <si>
    <t>Radove koji su u troškovniku iskazani paušalno izvođač je u obvezi izvesti u cijelosti, bez obzira na potpunost opisa troškovničke stavke.</t>
  </si>
  <si>
    <t>Po završetku svih radova na objektu izvođač je u obvezi ukloniti sve privremene objekte, alat, inventar i skele, kontejnere i ostalo, odnosno predmetnu parcelu i sve ostale parcele, prometnice i površine koje je tijekom gradnje zauzeo očistiti od sveg materijala, alata, mehanizacije i objekete, te dovesti u prvobitno stanje, ako troškovnikom nije drugačije određeno.</t>
  </si>
  <si>
    <t xml:space="preserve">Ako troškovnikom nije drugačije određeno, sve boje, završne obrade, vidljive okove i slično, odabire projektant. </t>
  </si>
  <si>
    <t xml:space="preserve">Sve odredbe ovih posebnih uvjeta i općih uvjeta smatraju se sastavnim dijelom opisa svake pojedine stavke i vrijede za sve radove, osim ako ih opis stavke troškovnika ne isključuje. </t>
  </si>
  <si>
    <t>Kod eventualne pojave procjedne ili druge vode (npr. kiša, topljenje snijega, podzemne vode) izvoditelj treba osigurati odvodnju vode iz iskopa sabirnim oknima i crpljenjem vode, te osigurati profile iskopa.</t>
  </si>
  <si>
    <t>Materijal iz iskopa mora se upotrijebiti za nasipavanje i zatrpavanje. Isti se privremeno skladišti na gradilišnoj deponiji do ponovne ugradnje, a višak iskopanog materijala odvozi se na gradski deponij.</t>
  </si>
  <si>
    <t>Prije početka ostalih radova geomehaničar mora pregledati kvalitetu tla i odobriti početak ostalih radova upisom u građevinski dnevnik.</t>
  </si>
  <si>
    <t>Obračun svih zemljanih radova količina vršiti će se isključivo u sraslom stanju materijala.</t>
  </si>
  <si>
    <t>Obračun izvedenih radova izvršiti će se prema jedinici mjere definirane za svaku pojedinu stavku troškovnika i prema postojećim građevinskim normama.</t>
  </si>
  <si>
    <t>Svi betonski i AB radovi moraju se izvesti u skladu s važećim tehničkim propisima i normama, pravilima struke, HTZ propisima, ovim općim i posebnim uvjetima, općim i pojedinačnim opisima iz ovog troškovnika,  tehničkom dokumentacijom, detaljima, statičkom proračunu, te usmenim i pismenim uputama projektanta i nadzornog inženjera.</t>
  </si>
  <si>
    <t xml:space="preserve">Izvoditelj mora, prije početka ugradnje betona, provesti kontrolu betona, odnosno provjeriti da li je beton proizveden u skladu sa zahtjevima iz projekta betonske konstrukcije i da li je tijekom transporta betona došlo do promjene njegovih svojstava koja bi bila od utjecaja na tehnička svojstva betonske konstrukcije. </t>
  </si>
  <si>
    <t>TESARSKI RADOVI</t>
  </si>
  <si>
    <t>Svi tesarski radovi moraju se izvesti u skladu s važećim tehničkim propisima i normama, pravilima struke, HTZ propisima, ovim općim i posebnim uvjetima, općim i pojedinačnim opisima iz ovog troškovnika,  tehničkom dokumentacijom, detaljima, statičkom proračunu, te usmenim i pismenim uputama projektanta i nadzornog inženjera.</t>
  </si>
  <si>
    <t>Za kontrolu kvalitete ugrađenih materijala i izvedenih radova primjenjuju se slijedeće norme:</t>
  </si>
  <si>
    <t xml:space="preserve">materijali za izradu drvenih konstrukcija </t>
  </si>
  <si>
    <t>HRN U.D0.001</t>
  </si>
  <si>
    <t xml:space="preserve">građa za skele </t>
  </si>
  <si>
    <t>HRN D.B1.025</t>
  </si>
  <si>
    <t xml:space="preserve">projektiranje i izvođenje konstrukcija od monolitnog drveta </t>
  </si>
  <si>
    <t>HRN U.O9.200</t>
  </si>
  <si>
    <t xml:space="preserve">projektiranje i izvođenje konstrukcija od lameliranih i ljepljenih elemenata </t>
  </si>
  <si>
    <t>HRN U.O9.300</t>
  </si>
  <si>
    <t xml:space="preserve">projektiranje i izvođenje drvenih skela i oplata </t>
  </si>
  <si>
    <t>HRN U.C9.400</t>
  </si>
  <si>
    <t xml:space="preserve">projektiranje i izvođenje zaštite drveta u konstrukcijama </t>
  </si>
  <si>
    <t>HRN U.C9.500</t>
  </si>
  <si>
    <t xml:space="preserve">tesana građa četinara </t>
  </si>
  <si>
    <t>HRN D.B7.020</t>
  </si>
  <si>
    <t>hrastova rezana građa</t>
  </si>
  <si>
    <t>HRN D.C1.021</t>
  </si>
  <si>
    <t>bukova rezana građa</t>
  </si>
  <si>
    <t>HRN D.C1.022</t>
  </si>
  <si>
    <t>jasenova rezana građa</t>
  </si>
  <si>
    <t>HRN D.C1.024</t>
  </si>
  <si>
    <t xml:space="preserve">borova rezana građa </t>
  </si>
  <si>
    <t>HRN D.C1.040</t>
  </si>
  <si>
    <t>HRN D.C1.041</t>
  </si>
  <si>
    <t>HRN D.C5.042</t>
  </si>
  <si>
    <t>HRN D.C5.021</t>
  </si>
  <si>
    <t>HRN D.C5.032</t>
  </si>
  <si>
    <t>HRN D.C5.022</t>
  </si>
  <si>
    <t>HRN M.B4.020</t>
  </si>
  <si>
    <t>HRN M.B1.024</t>
  </si>
  <si>
    <t>HRN G.E9.220</t>
  </si>
  <si>
    <t xml:space="preserve">građevinski čavli sa upuštenom nareckanom glavom </t>
  </si>
  <si>
    <t>HRN M.B4.021</t>
  </si>
  <si>
    <t xml:space="preserve">čavli za ljepenku </t>
  </si>
  <si>
    <t>HRN M.B4.090</t>
  </si>
  <si>
    <t xml:space="preserve">tehnički uvjeti zaštite od požara u građevinarstvu </t>
  </si>
  <si>
    <t>HRN U.J1.070 / 110 / 114</t>
  </si>
  <si>
    <t xml:space="preserve">zaštita građevinskog drveta </t>
  </si>
  <si>
    <t>HRN D.T4.027</t>
  </si>
  <si>
    <t xml:space="preserve">protupožarni premazi </t>
  </si>
  <si>
    <t>HRN D.T4.037 / 039.</t>
  </si>
  <si>
    <t>skele</t>
  </si>
  <si>
    <t>Svi radovi sa skelama moraju se izvesti u skladu s važećim tehničkim propisima i normama, pravilima struke, HTZ propisima, ovim općim i posebnim uvjetima, općim i pojedinačnim opisima iz ovog troškovnika,  tehničkom dokumentacijom, detaljima, statičkom proračunu, te usmenim i pismenim uputama projektanta i nadzornog inženjera.</t>
  </si>
  <si>
    <t>U SVEMU OSTALOM VRIJEDE UVJETI KAO ZA TESARSKE RADOVE.</t>
  </si>
  <si>
    <t xml:space="preserve">Fasadne skele obračunavaju se jednokratno u skladu s važećim građevinskim normama. </t>
  </si>
  <si>
    <t>Svi radovi na čeličnoj konstrukciji moraju se izvesti u skladu s važećim tehničkim propisima i normama, pravilima struke, HTZ propisima, ovim općim i posebnim uvjetima, općim i pojedinačnim opisima iz ovog troškovnika,  tehničkom dokumentacijom, detaljima, statičkom proračunu, radioničkim nacrtima izrada kojih je obveza izvođača, te usmenim i pismenim uputama projektanta i nadzornog inženjera.</t>
  </si>
  <si>
    <t>Pravilnik o tehničkim propisima za nosive konstrukcije spojene zakovicama i vijcima</t>
  </si>
  <si>
    <t xml:space="preserve">Pravilnik o tehničkim propisima za zavarene nosive čelične konstrukcije </t>
  </si>
  <si>
    <t xml:space="preserve">Pravilnik o tehničkim propisima za zglobove i ležajeve nosivih čeličnih konstrukcija </t>
  </si>
  <si>
    <t xml:space="preserve">Pravilnik o tehničkim propisima za spojeve s prednapetim vijcima za nosive čelične konstrukcije </t>
  </si>
  <si>
    <t xml:space="preserve">Pravilnik o tehničkim propisima za lake čelične građevine kod nosivih čeličnih konstrukcija </t>
  </si>
  <si>
    <t xml:space="preserve">Pravilnik o tehničkim propisima za pregled i ispitivanje nosivih čeličnih konstrukcija </t>
  </si>
  <si>
    <t xml:space="preserve">Pravilnik o tehničkim propisima za jednostavne konstrukcije zgrada kod nosivih čeličnih konstrukcija </t>
  </si>
  <si>
    <t>Pravilnik o tehničkim mjerama i uvjetima za zaštitu čeličnih konstrukcija od korozije</t>
  </si>
  <si>
    <t>HRN C.E7.145/87 - spojevi s vijcima visoke klase čvrstoće kod nosivih čeličnih konstrukcija</t>
  </si>
  <si>
    <t>HRN.C.H.3.011 - čelične oplaštene elektrode za elektrolučno zavarivanje</t>
  </si>
  <si>
    <t>HRN C.H.3.051. - žice za plinsko varenje čelika</t>
  </si>
  <si>
    <t>HRN. C.B3.030 - široki plosnati vruće valjani čelici</t>
  </si>
  <si>
    <t>HRN. C.B3.025 - plosnati vruće valjani čelici</t>
  </si>
  <si>
    <t>HRN. C.B3.101 - vruće valjani čelični ravnokraki kutnici</t>
  </si>
  <si>
    <t>HRN. C.B3.111 - vruće valjaničelični raznokraki kutnici</t>
  </si>
  <si>
    <t>HRN. C.B3.131 - vruće valjani čelični I nosači</t>
  </si>
  <si>
    <t>HRN. C.B3.141 - vruće valjani čelični U nosači</t>
  </si>
  <si>
    <t xml:space="preserve">HRN. C.B3.550 - vruće valjani trakasti čelici </t>
  </si>
  <si>
    <t>HRN. C.B4.110 - čelični limovi</t>
  </si>
  <si>
    <t>HRN. C.B4.111 - čelični limovi, dimenzije i tolerancije</t>
  </si>
  <si>
    <t>HRN. C.B5.021 - čelične cijevi, bešavne</t>
  </si>
  <si>
    <t>HRN. M.B1.023 - vijci za čelične konstrukcije</t>
  </si>
  <si>
    <t>ZIDARSKI RADOVI</t>
  </si>
  <si>
    <t xml:space="preserve">Sve odredbe ovih posebnih uvjeta i općih uvjeta smatraju se sastavnim dijelom opisa svake pojedine stavke ovog troškovnika i vrijede za sve radove, osim ako ih opis stavke troškovnika ne isključuje. </t>
  </si>
  <si>
    <t>Sav korišteni materijal mora odgovarati propisima i standardima. Zidanje se vrši u svemu prema uputama i tehnologiji proizvođača, na način da se u potpunosti osigura potpuna horizontalnost redova.</t>
  </si>
  <si>
    <t>Pri zidanju potrebno je ostavljati sve projektom predviđene otvore za potrebe horizontalnog vođenja instalacija (prodori), a žlijebove za potrebe vođenja instalacija unutar zidova izvoditi posebnim alatima za tu namjenu (strugač za žlijebove, električna freza i sl.). Ne smiju se koristiti udarni alati, kao ni ručno štemanje.</t>
  </si>
  <si>
    <t>Kod zidanja potrebno je osigurati sve projektom predviđene otvore za ugradnju stolarije i bravarije.</t>
  </si>
  <si>
    <t>Veza zidova i elemenata AB konstrukcije izvodi se zidnim pocinčanim elastičnim sidrima u svakom drugom bloku.</t>
  </si>
  <si>
    <t>Svježe zidane zidove potrebno je zaštititi od štetnog utjecaja visokih i niskih temperatura, te atmosferilija.</t>
  </si>
  <si>
    <t xml:space="preserve">žbukanje </t>
  </si>
  <si>
    <t xml:space="preserve">Žbukanje AB i zidanih površina mora se vršiti u primjerenim vremenskim uvjetima uz uvjet da su površine koje se žbukaju potpuno suhe. Pri niskim i visokim temperaturama zraka potrebno je izbjegavati žbukanje, jer tada može doći do smrzavanja odnosno pucanja žbuke uslijed prebrzog sušenja, a ukoliko se žbukanje izvodi u nepovoljnim uvjetima moraju se primijeniti odgovarajući aditivi, koji će osigurati kvalitetu i trajnost žbuke. </t>
  </si>
  <si>
    <t>Prije žbukanja, površine koje se žbukaju, potrebno je dobro očistiti i dobro navlažiti, betonske i AB dijelove prije žbukanja potrebno je premazati SM-vezom ( betokontakt ili drugi materijal odgovarajuće kvalitete - u jedničnoj cijeni žbukanja ).</t>
  </si>
  <si>
    <t>Sva žbuka izvodi se strojno, a nakon izvedbe ista mora biti potpuno ravna i glatka, kutevi i bridovi, te spojevi zida i stropa moraju biti izvedeni oštro. Žbuka mora biti potpuno prionjiva na površine zidova i stropova, bez pukotina i slabih mjesta.</t>
  </si>
  <si>
    <t>Za rabiciranje svih «šliceva» u zidovima te kontaktnih površina zidanih i AB elemenata, kao i za rabiciranje ploča toplinske izolacije zidova koristi se rabic pletivo pocinčano ili plastično veličine polja 10/10 mm.</t>
  </si>
  <si>
    <t>estrih</t>
  </si>
  <si>
    <t>Estrisi se izvode na izolacijskim slojevima, odnosno kao «plivajući». Svi estrisi moraju biti strojno zaglađeni.</t>
  </si>
  <si>
    <t>Estrih mora biti izveden kvalitetno bez oslabljenih mjesta, bez prekida kontakata između obloge, izravnavajućeg sloja i estriha. Površina estriha mora biti ravna i horizontalna s dozvoljenim odstupanjem ±2 mm na kontrolnoj letvi dužine 4 m, bez iskrivljenosti, mjehurenja i nadignuća, kao i bez razdvajanja i pucanja spojeva. Sva osnovna svojstva estriha moraju biti u skladu s važećim normama neovisno o vrsti završne obloge.</t>
  </si>
  <si>
    <t>Grijani estrisi moraju imati izvedene dilatacije sukladno poljima podnog grijanja, a na mjestu dilatacije mora se osigurati neovisan rad estriha i instalacije podnog grijanja.</t>
  </si>
  <si>
    <t>Estrisi se pripremaju u mješalicama s prinudnim miješanjem uz primjenu mineralnog agregata granulacije 4 do 8 mm.</t>
  </si>
  <si>
    <t xml:space="preserve">U sve estrihe ugrađuje se armature prema opisu iz pojedine stavke troškovnika. </t>
  </si>
  <si>
    <t>Prije završnih radova na izvođenju podnih obloga preko estriha obvezno se mora utvrditi vlažnost podloge – estriha metodom koja mjeri vlagu po cijeloj visini podloge, te se predmetnim radovima može pristupiti nakon ispitivanjima dokazane količine vlage u estrihu s obzirom na zahtjeve pojedinih završnih podnih obloga.</t>
  </si>
  <si>
    <t>zidni elementi</t>
  </si>
  <si>
    <t>građevno vapno</t>
  </si>
  <si>
    <t>zidarski cement</t>
  </si>
  <si>
    <t>dodatak mortu</t>
  </si>
  <si>
    <t>agregat za mort</t>
  </si>
  <si>
    <t>pomoćni dijelovi</t>
  </si>
  <si>
    <t>održavanje i izvođenje zidanih konstrukcija</t>
  </si>
  <si>
    <t>Kod izvođenja hidroizolaterskih i krovopokrivačkih radova potrebno je u cijelosti se pridržavati slijedećih propisa i standarda:</t>
  </si>
  <si>
    <t>Pravilnik o tehničkim mjerama i uvjetima za završne radove u zgradarstvu</t>
  </si>
  <si>
    <t>Pravilnik o tehničkim mjerama i uvjetima za ugljičnovodične hidroizolacije krovova i terasa</t>
  </si>
  <si>
    <t>Pravilnik o tehničkim mjerama i uvjetima za toplotnu zaštitu zgrada</t>
  </si>
  <si>
    <t>Pravilnik o zaštiti na radu u građevinarstvu</t>
  </si>
  <si>
    <t>Zakon o zaštiti na radu</t>
  </si>
  <si>
    <t>- hladni premazi</t>
  </si>
  <si>
    <t>HRN U.M3.240</t>
  </si>
  <si>
    <t>- bitumen</t>
  </si>
  <si>
    <t>HRN U.M3.242</t>
  </si>
  <si>
    <t>- vruće izolacijske mase</t>
  </si>
  <si>
    <t>HRN U.M3.244</t>
  </si>
  <si>
    <t>- izolacijske trake</t>
  </si>
  <si>
    <t>HRN U.M3.221</t>
  </si>
  <si>
    <t>HRN U.M3.232</t>
  </si>
  <si>
    <t>- specijalne krovne ljepenke / bitumenske trake</t>
  </si>
  <si>
    <t>HRN U.M3.226</t>
  </si>
  <si>
    <t>- uložak stakleni voal</t>
  </si>
  <si>
    <t>HRN U.M3.228</t>
  </si>
  <si>
    <t>HRN U.M3.200</t>
  </si>
  <si>
    <t>HRN U.M3.210</t>
  </si>
  <si>
    <t>- bitumenske trake s uloškom od  Alu folije</t>
  </si>
  <si>
    <t>HRN U.M3.230</t>
  </si>
  <si>
    <t>- bitumenske trake s uloškom od  staklenog voala</t>
  </si>
  <si>
    <t>HRN U.M3.231</t>
  </si>
  <si>
    <t>- ostale izolacijske mase</t>
  </si>
  <si>
    <t>HRN U.M3.095</t>
  </si>
  <si>
    <t>Izvođač radova prije početka radova mora na gradilište dostaviti valjane dokaze kvalitete za sve izolacijske materijale, a radove izvoditi u svemu prema uputama i tehnologiji proizvođača hidroizolacijskih traka.</t>
  </si>
  <si>
    <t>Svi materijali koji se ugrađuju moraju biti ispravni i neoštećeni.</t>
  </si>
  <si>
    <t>Eventualne izmjene materijala ili načina izvedbe hidroizolacije tijekom građenja moraju se uraditi isključivo pismenim putem u dogovoru s investitorom, projektantom i nadzornim inženjerom uz dokaze da novopredloženi materijali ili načini izvedbe imaju najmanje iste karakteristike kvalitete kao projektirani.</t>
  </si>
  <si>
    <t>Ukoliko se naknadno ustanovi nesolidna izvedba, tj. pojave se prodori vode, izvoditelj mora izvršiti sanaciju hidroizolacije o svom trošku, a ako tijekom sanacije hidroizolacije na bilo koji način ošteti ili mora oštetiti ostale dijelove građevine, izvoditelj snosi sve troškove i te sanacije.</t>
  </si>
  <si>
    <t>Ako u projektu nema naznake o dodatnim dilatacijama hidroizolacije, izvoditelj po potrebi mora dilatirati hidroizolaciju prema uputstvima proizvođača i na mjestima dilatacije konstrukcije. Izrada dilatacija uključena je u jediničnu cijenu izvedbe hidroizolacije.</t>
  </si>
  <si>
    <t xml:space="preserve">Podloga za postavu hidroizolacije mora biti suha, čvrsta, ravna, bez udubljenja, izbočenja i šupljina, u projektiranom nagibu prema sustavu odvodnje, otporna na djelovanje temperature. Prije polaganja hidroizolacije podlogu je potrebno premazati hladnim bitumenskim premazom koji se ne računa u slojeve hidroizolacije. </t>
  </si>
  <si>
    <t>Kod postavljanja ljepenke preklopi moraju biti minimalne širine 10 cm i lijepljeni obostrano vrućom masom.</t>
  </si>
  <si>
    <t>Trakom Al folije polaže se u dužinama 3-5 m radi velikog koeficijenta rastezanja i mora biti zaštićena od djelovanja sunčevih zraka.</t>
  </si>
  <si>
    <t>Svi prodori kroz hidroizolaciju moraju se osigurati od prodora vode direktnim povezivanjem s hidroizolacijom ili opšavnim limovima čija širina flanše ne smije biti manja od 2 cm.</t>
  </si>
  <si>
    <t>Kod vertikalne hidroizolacije podzemnih zidova preklopi hidroizolacijske trake moraju biti minimalne širine 15 cm i obostrano ljepljeni, a kod horizontalne podzemne hidroizolacije minimalna širina preklopa je 10 cm.</t>
  </si>
  <si>
    <t>Naročitu pažnju treba posvetiti spajanju traka, obradu svih kapilara zapunjavanjem pastom, izvedbi pokrovnih traka spojeva kod horizontalnih slojeva kao i detalja, obradi detalja kod spojeva parapeta pod 90° (unutarnji i vanjski spojevi) s posebno oblikovanim komadima traka, pokrovnim trakama, ljepilom i pastom, obradi oko prodora kroz plohu izolacije posebno oblikovanim komadima kružnih traka, pokrovnim trakama, primerom i pastom. Sve navedeno treba obuhvatiti u izvedbi i jediničnoj cijeni iako isto nije posebno navedeno opisom stavke.</t>
  </si>
  <si>
    <t>U jediničnoj cijeni troškovničke stavke trebaju biti obuhvaćeni svi stručni dogovori vezani na ugovaranje i izvođenje izolaterskih i pratećih radova, kontrola i prijem podloge za polaganje HI, primopredaja izolaterskih radova, nabava osnovnog i pomoćnog materijala, holkeri do 20 cm, svi vanjski i unutranji, te horizontalni i vertikalni transporti materijala i opreme, sve potrebne skele i platforme, svi strojevi i oprema, povezivanje HI sa slivnicima, rubnom i ostalom limarijom, osiguranje od požara i drugih neželjenih posljedica, provođenje mjera higijensko-tehničke zaštite, čišćenje gradilišta nakon izvođenja radova, pribavljanje atesta za ugrađeni materijal, stručna mišljenja i razrada potrebnih detalja.</t>
  </si>
  <si>
    <t>toplinska izolacija</t>
  </si>
  <si>
    <t>Svi radovi trebaju biti izvedeni prema točnim nacrtima, troškovničkom opisu, uputama projektanta i nadzornog inženjera, te prema važećim tehničkim propisima:</t>
  </si>
  <si>
    <t xml:space="preserve">Pravilnik o tehničkim mjerama i uvjetima za završne radove u zgradarstvu, </t>
  </si>
  <si>
    <t>Tehnički propis o uštedi energije i toplinskoj zaštiti u zgradama</t>
  </si>
  <si>
    <t>Prije izvođenja radova potrebno je provjeriti sve dimenzije. Sva učvršćenja  i povezivanja moraju se izvesti na način siguran od bilo kakvog pomicanja, te da pojedini elementi mogu nesmetano raditi uslijed promjene temperature.</t>
  </si>
  <si>
    <t>Izvođač mora koristiti materijal u svemu jednak uzorku koji odabere projektant. Eventualne izmjene materijala moraju biti odobrene od strane projektanta i nadzornog inženjera.</t>
  </si>
  <si>
    <t>U jediničnoj cijeni troškovničke stavke trebaju biti obuhvaćeni svi stručni dogovori vezani na ugovaranje i izvođenje radova, sav osnovni i pomoćni materijal, rastur materijala, otpad, radne skele i platforme, svi transporti unutar i van gradilišta, troškovi izrade i čišćenje gradilišta po dovršetku radova.</t>
  </si>
  <si>
    <t>Sav materijal za toplinske izolacije mora biti prvorazredne kvalitete u skladu s važećim propisima:</t>
  </si>
  <si>
    <t>Prije početka radova izvođač je dužan dostaviti sve valjane dokaze kvalitete za projektom i troškovnikom predviđene materijale.</t>
  </si>
  <si>
    <t>BRAVARSKI RADOVI</t>
  </si>
  <si>
    <t>Prije izvođenja radova izvođač je u obvezi provjeriti sve mjere na licu mjesta, izraditi i dostaviti projektantu na ovjeru radioničke nacrte i detalje, te uzorke materijala. Dozvoljena je upotreba materijala i izrada bravarskih elemenata prema radioničkim nacrtima i detaljima prihvaćenim od strane projektanta.</t>
  </si>
  <si>
    <t>Za kontrolu kvalitete ugrađenih materijala i izvedenih radova primjenjuju se slijedeće norme i propisi:</t>
  </si>
  <si>
    <t>kvadratno željezo</t>
  </si>
  <si>
    <t>HRN C.</t>
  </si>
  <si>
    <t>B3.024</t>
  </si>
  <si>
    <t>plosno željezo</t>
  </si>
  <si>
    <t>B3.025</t>
  </si>
  <si>
    <t>okruglo željezo</t>
  </si>
  <si>
    <t>K6.020</t>
  </si>
  <si>
    <t>B0.500</t>
  </si>
  <si>
    <t>čelični limovi</t>
  </si>
  <si>
    <t>B4.110</t>
  </si>
  <si>
    <t>B4.111</t>
  </si>
  <si>
    <t>B4.112</t>
  </si>
  <si>
    <t>rebrasti Alu limovi</t>
  </si>
  <si>
    <t>C4.060</t>
  </si>
  <si>
    <t>Alu profili</t>
  </si>
  <si>
    <t>C3.020</t>
  </si>
  <si>
    <t>zvučna izolacija</t>
  </si>
  <si>
    <t>HRN U.</t>
  </si>
  <si>
    <t>J6.201-89</t>
  </si>
  <si>
    <t>Svi termički zahtjevi na fasadnim elementima moraju biti ispunjeni tako da zadovoljavaju traženu toplinsku izolaciju u skladu s važećim normama i projetom.</t>
  </si>
  <si>
    <t>Donjih 40 cm visine vratnih krila, ako se drugačije posebno ne navodi, izvodi se kao puni termoizolirani panel, osim ako stavkom troškovnika nije drugačije određeno.</t>
  </si>
  <si>
    <t>Pri izvođenja radova izvoditelj treba kvalitetu ugrađenih materijala i stručnost radnika dokazati certifikatima i atestnom dokumentacijom izdanim od strane ovlaštene institucije. Za materijale za koje izvoditelj nema certifikat a isti se traži treba izvoditelj osigurati uzorke i dati ih na ispitivanje. Sve troškove za dobivanje certifikata predstavljaju obvezu i trošak izvoditelja.</t>
  </si>
  <si>
    <t>Svi dijelovi bravarije prije otpreme na gradilište moraju biti ličeni olovnim minijem, očišćeni od hrđe, a očišćena mjesta ličena antikorozjskim naličem u dva premaza uz kitanje pukotina i rupica odgovarajućim kitom, a sve kompletno pripremljeno za završnu obradu prema opisu iz troškovnika.</t>
  </si>
  <si>
    <t xml:space="preserve">Ostakljenje se mora u svemu izvesti po opisu iz stavke troškovnika. Staklom koje se ugrađuje i brtvljenjem mora se postići tražena zvučna izolacija. </t>
  </si>
  <si>
    <t>Vrata i prozore treba opremiti kvalitetnim i trajnim brtvenim trakama i profilima. Isti moraju biti elastični, trajni i otporni na vanjske utjecaje, postojani na temperaturne promjene i zračenje. Kitovi koji se ugrađuju moraju biti trajno elastični, osobina kao gore navedeno.</t>
  </si>
  <si>
    <t>Fuge između zida/stropa/poda i stolarije ispuniti poliuretanskom pjenom, izvana kitati trajno elastičnim kitom a iznutra pokriti kutnim letvicama. Spajanje pojedinih elemenata u veće cjeline brtviti i vršiti po uputi proizvođača, a bez posebne naknade.</t>
  </si>
  <si>
    <t>Bravarija se izvodi iz čeličnih profila od pocinčanog lima (hladno kontinuirano profilirana čelična traka d=1 mm) kvadratnog ili pravokutnog presjeka. Spajanje profila vrši se zavarivanjem, svi varovi moraju biti fino završno obrađeni. Dimenzije šprljaka su pretpostavljene, a stvarne ovise o proizvođačkom detalju. Kutne spojeve izvesti hidrauličkim uprešavanjem, a mjesta naročito osjetljiva na popuštanje brtviti dodatno.</t>
  </si>
  <si>
    <t>Slijepe dovratnike / doprozornike izraditi od šupljih kvadratnih čeličnih profila, a montažu izvesti varenjem na već ugrađene sidrene pločice od plosnog željeza, dužine cca 10 cm, oblika prema detalju. Ugradnja sidrenih pločica vrši se istovremeno s betoniranjem. Sidrene pločice sastavni su dio bravarije i uključene su u jediničnu cijenu iste.</t>
  </si>
  <si>
    <t>Svi vijci i spojna sredstva i okov moraju obvezno biti od nehrđajućeg materijala, izvedeno u antikorozijskoj izvedbi.</t>
  </si>
  <si>
    <t>Izvoditelj je dužan prije početka izrade i ugradnje bravarije izraditi i dostaviti projektantu na ovjeru odgovarajuću radioničku dokumentaciju i detalje. Na zahtjev projektanta izvoditelj je dužan dostaviti na uvid i po jedan primjerak kompletnih završno obrađenih vrata. Tek po odobrenju priložene dokumentacije i uzorka od strane projektanta može se započeti s radovima.Nije dozvoljena ugradnja protupožarnih bravarskih elemenata koji nisu odobreni od strane projektanta.</t>
  </si>
  <si>
    <t>Završna obrada opisana je stavkom troškovnika, a prethodno je potrebno izvesti i uključiti u jediničnu cijenu sve potrebne prethodne radnje i pripreme podloge</t>
  </si>
  <si>
    <t>Veličina navedenog otvora bravarije je građevinska, svijetla mjera krila ovisi o izvoditeljskom detalju usaglašenim sa projektantom.</t>
  </si>
  <si>
    <t>U SVEMU OSTALOM VRIJEDE UVJETI KAO ZA CRNU BRAVARIJU:</t>
  </si>
  <si>
    <t>akustika u zgradarstvu / fasadna bravarija</t>
  </si>
  <si>
    <t>Izvoditelj je dužan prije početka izrade i ugradnje bravarije izraditi i dostaviti projektantu na ovjeru odgovarajuću radioničku dokumentaciju i detalje. Na zahtjev projektanta izvoditelj je dužan dostaviti na uvid i po jedan primjerak kompletnih završno obrađenih vrata. Tek po odobrenju priložene dokumentacije i uzorka od strane projektanta može se započeti s radovima.Nije dozvoljena ugradnja aluminijskih elemenata koji nisu odobreni od strane projektanta.</t>
  </si>
  <si>
    <t>Prije početka radova izvođač mora obvezno izvršiti kontrolu mjera na licu mjesta radi provjere i ustanovljenja eventualnih pogrešaka u izvođenju građevinskih radova.</t>
  </si>
  <si>
    <t>Aluminijske konstrukcije se izvode iz raznih aluminijskih profila i limova prema proizvođačkim detaljima.</t>
  </si>
  <si>
    <t>Svi vidljivi dijelovi konstrukcije izvedeni aluminskim profilima i limovima moraju biti završno obrađeni u boji i tonu po izboru projektanta, a obrada mora biti apsolutno postojana bez promjene boje i tona s obzirom na starenje, atmosferilije, te visoke i niske temperature.</t>
  </si>
  <si>
    <t>Spajanje s konstrukcijom objekta izvodi se slijepim dovratnicima/doprozornicima od čeličnih profila zaštićenih antikorozijskim sredstvima ili bez njih. Prostor između dovratnika ili doprozornika i konstrukcije objekta treba ispuniti termoizolacijskim materijalom (npr. poliuretanska pjena), te na vanjskoj strani prekriti trajno plastično-elastičnim kitom, a iznutra kutnim alu letvicama.</t>
  </si>
  <si>
    <t>Vrata i prozore treba opremiti kvalitetnim i trajnim brtvenim trakama i profilima. Isti moraju biti elastični, trajni i otporni na vanjske utjecaje, postojani na temperaturne promjene i zračenja. Kitovi koji se ugrađuju moraju biti trajno plastično-elastični, osobina kao gore navedeno. Tvrdoća kitova nakon stvrdnjavanja mora biti po Shore A cca 25-35, kit mora biti stabilnog volumena, otporan na UV zračenje, kemijske utjecaje, korozijsko i biokemijski neaktivan.</t>
  </si>
  <si>
    <t>Sve spojeve pojedinih elemenata u veće cjeline brtviti prema  uputi proizvođača, a bez posebne naknade. Svi spojevi moraju biti fino završno obrađeni. Kutne spojeve izvesti hidrauličkim uprešavanjem, a mjesta naročito osjetljiva na popuštanje brtve se dodatno.</t>
  </si>
  <si>
    <t>Svi vijci, spojna sredstva i okov moraju biti od nehrđajućeg materijala (antikorozijska izvedba).</t>
  </si>
  <si>
    <t>Sve ostakljene vanjske stijene, vrata i prozori ostakljuju se “izo” staklom.</t>
  </si>
  <si>
    <t>Prilikom izvođenja radova izvođač treba zaštititi sve susjedna plohe i dijelove konstrukcije na takav način da ne dođe do njihovog oštećenja i isto uračunati u cijenu. Ukoliko do oštećenja ipak dođe, iste će izvođač popraviti na svoj trošak.</t>
  </si>
  <si>
    <t>Izvođač treba kvalitetu ugrađenih materijala i stručnost radnika dokazati odgovarajućim certifikatima izdanim od strane za to ovlaštene institucije. Za materijale za koje izvođač nema certifikat, a isti se traži, treba izvođač osigurati uzorke i dati ih na ispitivanje. Sve troškove za dobivanje certifikata su obveza i trošak izvođača.</t>
  </si>
  <si>
    <t>U jediničnoj cijeni mora biti uključeno: sav osnovni i pomoćni rad, alat i materijal, ostakljenje, rolete, crni voal, toplinsku izolaciju, unutrašnje i vanjske klupčice, brisolei, sav okov, cilindrične brave s električnim otvaranjem i ključevima, sve kvake, štitnici, rukohvati, odbojnici, hidruličke pumpe, portafon i ostalo potrebno za potpunu funkcionalnu gotovost.</t>
  </si>
  <si>
    <t>Za kontrolu kvalitete ugrađenih materijala i izvedenih radova primjenjuju se slijedeće norme I propisi:</t>
  </si>
  <si>
    <t>materijali</t>
  </si>
  <si>
    <t>alu profili</t>
  </si>
  <si>
    <t>HRN.C.</t>
  </si>
  <si>
    <t>limovi od aluminija ili alu legura</t>
  </si>
  <si>
    <t>C4.020</t>
  </si>
  <si>
    <t>C4.025</t>
  </si>
  <si>
    <t>C4.030</t>
  </si>
  <si>
    <t>C4.050 / 051</t>
  </si>
  <si>
    <t>C4.060 / 061 / 062</t>
  </si>
  <si>
    <t>C4.120</t>
  </si>
  <si>
    <t>C4.150</t>
  </si>
  <si>
    <t>čelične veze</t>
  </si>
  <si>
    <t>Staklo za ostakljivanje mora biti prvorazredne kvalitete bez grešaka te propisane debljine.</t>
  </si>
  <si>
    <t>Kod ugradnje između okvira termoizolirajućeg stakla i okvira doprozornika, odnosno dovratnika, sa svih strana mora biti 3 mm reška. Sva stakla obična i termoizolirajuća moraju se kod ugradbe (montaže) podložiti kitom ili plastičnim podlošcima, a tek onda učvrstiti letvicom ili zakitati.</t>
  </si>
  <si>
    <t>Prije izrade elemenata za ustakljenje izvoditelj mora kontrolirati sve mjere.</t>
  </si>
  <si>
    <t>Kod izrade staklenih ploha treba paziti da sve staklene plohe budu u istom tonu. te izvoditelj mora izvršiti sve potrebne predradnje u cilju zadovoljenja ovog uvjeta.</t>
  </si>
  <si>
    <t>Prilikom ostaklenja fasada potrebno je ostaklenje izvoditi na način da staklo ne deformira reflektiranu sliku, odnosno da se ugradi na način da ne dođe do pojave naknadnih deformacija u vertikalnosti i otklonu kuteva u odnosu na sredinu stakla.</t>
  </si>
  <si>
    <t>Kod izrade i montaže elemenata od kaljenog ili sigurnosnog stakla na koje se ugrađuje odgovarajući okov,a koji je u obvezi izvođača staklarskih radova, potrebno je osigurati dovoljnu dimenziju za ugradnju, kako ne bi došlo do pucanja stakla u zoni okova.</t>
  </si>
  <si>
    <t>Izvođač je u obvezi provesti sva propisana testiranja stakla (npr. HST test i slično), te dostaviti certifikate za ugrađene okove obzirom na nosivost.</t>
  </si>
  <si>
    <t xml:space="preserve">Tehnički uvjeti za izvođenje staklorezačkih radova </t>
  </si>
  <si>
    <t>HRN.U.F2.025</t>
  </si>
  <si>
    <t>- ravno vučeno staklo</t>
  </si>
  <si>
    <t>HRN.B.E1.011</t>
  </si>
  <si>
    <t>- ornamentno staklo</t>
  </si>
  <si>
    <t>HRN.B.E1.080</t>
  </si>
  <si>
    <t>- staklarski kit</t>
  </si>
  <si>
    <t>HRN.H.C6.050</t>
  </si>
  <si>
    <t xml:space="preserve">Prije početka izvođenja radova potrebno je sve mjere kontrolirati u naravi. </t>
  </si>
  <si>
    <t>Za izvođenje radova mora biti upotrijebljen materijal opisan stavkom troškovnika ili drugi materijal najmanje jednake kvalitete uz uvjet da isti odobri projektant i nadzorni inženjer. Ugrađeni materijal mora u svemu biti jednak uzorku kojeg odabere projektant. Sva povezivanja i učvršćenja moraju biti izvedena na način da je konstrukcijaja osigurana od svakog pomicanja, a da pojedini dijelovi mogu nesmetano raditi uslijed djelovanja promjene temperature.</t>
  </si>
  <si>
    <t>Pri izvedbi ovih radova moraju se u potpunosti primjenjivati postojeći propisi i norme:</t>
  </si>
  <si>
    <t>Pravilnik o tehničkim mjerama i uvjetima za završne radove u građevinarstvu</t>
  </si>
  <si>
    <t>Sve radove moraju izvoditi stručne i ovlaštene osoba i u svemu prema uputama proizvođača.</t>
  </si>
  <si>
    <t>Sav  materijal za izradu mora zadovoljavati odgovarajuće propise, a izvedba mora biti u skladu sa važećim normama:</t>
  </si>
  <si>
    <t>- plivajuće podne konstrukcije</t>
  </si>
  <si>
    <t>HRN U.F2.019</t>
  </si>
  <si>
    <t>- tehnički uvjeti za izvođenje pri polaganju podnih obloga</t>
  </si>
  <si>
    <t>HRN U.F2.017</t>
  </si>
  <si>
    <t>-klasični parket</t>
  </si>
  <si>
    <t>HRN U.F2.016</t>
  </si>
  <si>
    <t>HRN U.D5.020</t>
  </si>
  <si>
    <t>Prije početka radova izvođač je u obvezi provjeriti ravnost i vlažnost podloge koja ne smije biti prljava, prašnjava, s aktivnim solima u sastavu, masna, nedovoljno čvrsta, raspucana ili naprsla od slijeganja, smrznuta, vlažna i neravna. Podloga mora biti u skladu sa zahtjevima proizvođača podne obloge, a polaganje obloge moraju izvoditi stručne i ovlaštene osobe u skladu s uputama proizvođača.</t>
  </si>
  <si>
    <t xml:space="preserve">Dozvoljena odstupanja ravnine podne obloge prema DIN 18202 su: 2 mm na razmaku 0,10 m / 4 mm na razmaku 1m / 10 mm na razmaku 4 m / 12 mm na razmaku 10 m / 15 mm na razmaku 15 m. </t>
  </si>
  <si>
    <t>Naknadne reklamacije vezane na podlogu za polaganje podne obloge neće se uvažiti.</t>
  </si>
  <si>
    <t>Između ugrađenih podnih elemenata i čvrstih građevinskih elemenata moraju se izvesti dilatacijske fuge u širini koja ovisi o vrsti obloge i načinu polaganja.</t>
  </si>
  <si>
    <t xml:space="preserve">Parket se mora dvostruko brusiti i lakirati u tri sloja lakom otpornim na habanje i vodu s glatkom i ravnomjernom završnom plohom, uključivo kutne letvice. Lak mora biti minimalne trajnosti 5 godina u normalnim uvjetima uporabe. </t>
  </si>
  <si>
    <t xml:space="preserve">PVC ili linoleum podnu oblogu smiju polagati isključivo ovlaštene i stručne osobe i u svemu prema uputama proizvođača. Po dovršetku radova na polaganju linoleum ili PVC podne obloge na istu se mora nanijeti zaštitno sredstvo u svemu prema uputama proizvođača. </t>
  </si>
  <si>
    <t>Izvoditelj je dužan prije početka izrade i ugradnje bravarije izraditi i dostaviti projektantu na ovjeru odgovarajuću radioničku dokumentaciju i detalje. Na zahtjev projektanta izvoditelj je dužan dostaviti na uvid i po jedan primjerak kompletnih završno obrađenih vrata. Tek po odobrenju priložene dokumentacije i uzorka od strane projektanta može se započeti s radovima. Nije dozvoljena ugradnja stolarskih elemenata koji nisu odobreni od strane projektanta.</t>
  </si>
  <si>
    <t>Prije izvedbe obvezno provjeriti sve izmjere na licu mjesta.</t>
  </si>
  <si>
    <t>- drvena građa</t>
  </si>
  <si>
    <t>HRN D.</t>
  </si>
  <si>
    <t>E1.010</t>
  </si>
  <si>
    <t>E1.011</t>
  </si>
  <si>
    <t>E1.012</t>
  </si>
  <si>
    <t>- unutrašnja vrata za stanove</t>
  </si>
  <si>
    <t>E1.020</t>
  </si>
  <si>
    <t>- iverica, ploča</t>
  </si>
  <si>
    <t>C5.030 / 032</t>
  </si>
  <si>
    <t>- iverica, ispitivanje</t>
  </si>
  <si>
    <t>C5.034</t>
  </si>
  <si>
    <t>A1.100</t>
  </si>
  <si>
    <t>A1.113</t>
  </si>
  <si>
    <t>- furnirske i stolarske ploče, ispitivanje</t>
  </si>
  <si>
    <t>A1.072</t>
  </si>
  <si>
    <t>- namještaj</t>
  </si>
  <si>
    <t>E2.010 / 075</t>
  </si>
  <si>
    <t>- borova rezana građa</t>
  </si>
  <si>
    <t>C1.040</t>
  </si>
  <si>
    <t>- jelova i smrekova rezana građa</t>
  </si>
  <si>
    <t>C1.042</t>
  </si>
  <si>
    <t>- hrastova rezana građa</t>
  </si>
  <si>
    <t>C1.021</t>
  </si>
  <si>
    <t>- zvučna izolacija</t>
  </si>
  <si>
    <t>J6.201</t>
  </si>
  <si>
    <t>- otpornost fasadne stolarije na propusnost zraka / vode (klasa C/C)</t>
  </si>
  <si>
    <t>Sva stolarija predviđena je za suhu montažu.U cijeni treba uključiti i nabavu i montažu, te okivanje i pripasivanje finalnih dovratnika i krila, kao i pripasivanje kutnih i pokrovnih letvica, uključivo spajanje elemenata stijena u cjelinu i pokrivanje spojeva odgovarajućim letvicama ili profilima gdje su potrebne, bez obzira ako nisu navedeni opisom stavke troškovnika, odnosno kompletan osnovni i pomoćni rad i materijal do potpune funkcionalne gotovosti.</t>
  </si>
  <si>
    <t>Ulazna vrata izvode se kao sigurnosna, ojačane konstrukcije, sa ojačanim okovom i protuprovalnom bravom, toplinski i zvučno izolirana.</t>
  </si>
  <si>
    <t>Završna obrada određene je opisom stavke troškovnika. Jedinična cijena uključuje i sve predradnje potrebne za predviđenu završnu obradu.</t>
  </si>
  <si>
    <t xml:space="preserve">Drvena građa za izradu građevne stolarije mora biti optimalne vlažnosti, odnosno 12%. </t>
  </si>
  <si>
    <t>Ako se navedenim staklom i detaljima kitanja odnosno brtvljenja ne može postići tražena zvučna izolacija, treba primijeniti odgovarajuće ostakljenje i detalje kitanja odnosno brtvljenja. Isto treba izvoditelj predočiti projektantu prije davanja izvođenja radova.</t>
  </si>
  <si>
    <t>Izvoditelj je dužan na zahtjev projektanta dostaviti na uvid uzorke keramičkih pločica i tek po odobrenju uzorka od strane projektanta može se započeti s radovima. Nije dozvoljena ugradnja keraqmičarskih elemenata koji nisu odobreni od strane projektanta.</t>
  </si>
  <si>
    <t>Sve ugrađene keramičke pločice moraju biti klase po opisu iz stavke troškovnika, a ako isto nije specificirano, moraju biti "A" klase, kako za podno tako i za zidno opločenje.</t>
  </si>
  <si>
    <t xml:space="preserve">Prije početka radova izvođač je u obvezi provjeriti stanje podloge koja ne smije biti prljava, prašnjava, s aktivnim solima u sastavu, masna, nedovoljno čvrsta, raspucana ili naprsla od slijeganja, smrznuta, vlažna, neravna ili preglatka. </t>
  </si>
  <si>
    <t>Podloga mora biti izvedena u padovima po projektu. Eventualne neravnine kod polaganja keramike u mort smiju biti maksimalno do 0,5 cm na 2,0 m dužine za zidno oblaganje i 1,0 cm na 2,0 m dužine za podno oblaganje. Kod polaganja keramike ljepljenjem neravnine nisu dozvoljene.</t>
  </si>
  <si>
    <t>Izvođenje keramičarskih radova na neadekvatnoj podlozi nije dozvoljeno. Naknadne reklamacije vezane na podlogu za polaganje keramike neće se uvažiti.</t>
  </si>
  <si>
    <t>Način polaganja keramike, početak polaganja i boju i širinu fuge određuje projektant shemom polaganja. Obavezna je ugradnja završnih i kutnih profila na lomovima zidova, spojeva kade i zida, horizontalnih završetaka, bridova, uvala i slično koji su uključeni u jediničnu cijenu.</t>
  </si>
  <si>
    <t>Oblaganje zidnih površina mora seizvoditi tako da opločene plohe budu ravne i vertikalne, bez valova, izbočenja i udubljenja, s jednoličnim i dovoljno širokim fugama. Horizontalne fuge su neprekinute po cijelom opsegu svih zidova u istoj prostoriji, a vertikalne se moraju izvesti pod visak, neovisno da li se oblaganje vrši naizmjeničnim fugama ili fugom na fugu. Oblaganje se vrši odozdo prema gore.</t>
  </si>
  <si>
    <t>Kod zidnog opločenja gdje treba izvesti prodore za cijevi instalacija, pločice se ne smiju rezati po cijeloj širini, već moraju biti precizno skrojene i postavljene.</t>
  </si>
  <si>
    <t xml:space="preserve">Ovisno o opisu stavke troškovnika, fuge treba izvesti u nepropusnoj (razni trajnoplastični ili kiselootporni kitovi) ili polupropusnoj izvedbi (cement s aditivima), sve u skladu s točkom 4.2. "Tehničkih uvjeta za izvođenje keramičarskih radova", kako za zidno tako i za podno opločenje. Fuge moraju biti međusobno paralelne, širine 2-3 mm ako projektant ne odredi drugačije, ispunjene smjesom iste boje i obrade. Sve spojeve podnog i zidnog opločenja ili sokla treba izvesti potpuno pravilno i ravno, zapunjene istom smjesom kao i fuge. </t>
  </si>
  <si>
    <t>Ako se pločice polažu u cem. mort, isti mora biti kvalitete 1:3, cement obavezno portlad cement, pijesak frakcije 0-1 mm. Debljina morta za podno polaganje keramike mora biti 2-3 cm, a ako je debljina morta veća od 3 cm potrebno ga je armirati laganom isteg mrežom uključenom u jediničnu cijenu.</t>
  </si>
  <si>
    <t>Kod polaganja keramike ljepljenjemmora se koristiti odgovarajuće ljepilo (glede kvalitete pločica i uvjeta oblaganja), a radovi se moraju izvoditi u skladu s uputama proizvođača ljepila.</t>
  </si>
  <si>
    <t>Polaganje keramike ljepljenjem na zidovemora se izvesti disperzijskim građevinskim ljepilima u stambenim i drugim prostotima s ujednačenom mikroklimom. Upijajuće podloge potrebno je prije početka izvođenja radova dobro navlažiti. Ljepilo se nanosi na vlažnu keramiku u debljini sloja od 1-2 mm.</t>
  </si>
  <si>
    <t>F2.011.</t>
  </si>
  <si>
    <t>- zidne keramičke pločice</t>
  </si>
  <si>
    <t>HRN B.</t>
  </si>
  <si>
    <t>D1.300.</t>
  </si>
  <si>
    <t>- podne keramičke pločice</t>
  </si>
  <si>
    <t>D1.306.</t>
  </si>
  <si>
    <t>- glazirane ravne zidne pločice</t>
  </si>
  <si>
    <t>D1.301.</t>
  </si>
  <si>
    <t>- neglazirane zidne pločice</t>
  </si>
  <si>
    <t>D1.311.</t>
  </si>
  <si>
    <t>- neglazirane podne pločice</t>
  </si>
  <si>
    <t>D1.320./321</t>
  </si>
  <si>
    <t>- neglazirani fazomnski komadi</t>
  </si>
  <si>
    <t>D1.322.</t>
  </si>
  <si>
    <t>- pročelne neglazirane pločice</t>
  </si>
  <si>
    <t>D1.320.</t>
  </si>
  <si>
    <t>- glazirane zidne i podne kiselo otporne pločice</t>
  </si>
  <si>
    <t>D5..070</t>
  </si>
  <si>
    <t>- masa za fugiranje</t>
  </si>
  <si>
    <t>Kod izvođenja limarskih radova mora se izvoditelj striktno pridržavati od strane projektanta ovjerenih detalja.</t>
  </si>
  <si>
    <t>U cijeni treba također uključiti izvedbu i obradu raznih detalja limarije kod spojeva, prijelaza, lomova i sudara ploha, završetaka limarije i drugo, sve obvezno usklađeno sa drugim različitim materijalima i radovima uz limariju, do potpune gotovosti i funkcionalnosti.</t>
  </si>
  <si>
    <t>Na spoju lima i podloge (beton, žbuka, drvo i dr.) treba obvezno postaviti sloj krovne ljepenke ili druge hidroizolacije po cijeloj površini spoja, i uračunati u jediničnu cijenu. Sve vidljive spojeve lima i betonskih ili ožbukanih fasadnih ploha treba obvezno brtviti po cijeloj dužini spoja trajno elastičnim (plastičnim) bezbojnim kitom otpornim i postojanim na atmosferilije i smrzavanje, i uračunati u jediničnu cijenu. Sve spojeve lima treba obvezno izvesti nepropusno. Plohe izvedene limom moraju biti izvedene pravilno i u ravnini, po nagibima odvodnje i kosinama definiranim u projektu.</t>
  </si>
  <si>
    <t>Radove treba uskladiti s radovima na izolacijama gdje se lim izvodi uz slojeve izolacije ili kod dilatacijskih detalja.</t>
  </si>
  <si>
    <t xml:space="preserve">Sve spojeve lima ili nosača lima od plosnog željeza i fasadnih ploha treba izvesti vrlo pažljivo da se ne ošteti fasadna ploha. </t>
  </si>
  <si>
    <t>Izvođač je prije početka izvođenja radova u obvezi izvršiti izmjeru na licu mjesta.</t>
  </si>
  <si>
    <t>U jediničnu cijenu treba obvezno uključiti sve materijale koji se ugrađuju i koriste (osnovne i pomoćne materijale), sav potrebna rad (osnovni i pomoćni) na izvedbi radova do potpune gotovosti i funkcionalnosti istih, sve transporte i prijenose do i na gradilištu sve do mjesta ugradbe, sva potrebna uskladištenja i zaštite, sve potrebne zaštitne konstrukcije i skele, kao i sve drugo predviđeno mjerama zaštite na radu i pravilima struke.</t>
  </si>
  <si>
    <t>Ako troškovnikom nije određena debljina lima onda se ugrađuje pocinčani lim d=0,55 mm, bakreni lim d=0,60-2,00mm, cinčani lim d=0,65mm i olovni lim d=1,50mm.</t>
  </si>
  <si>
    <t>Mekani limovi spajaju se lemljenjem ili utorenjem, a srednje tvrdi i tvrdi utorenjem ili zakivanjem i lemljenjem. Pričvršćenje lima vrši se mehaničkim alatima, plastičnim čepovima i drugim nosačima (trakam). Limarija mora biti odvojena od betona / žbuke bitumenskom ljepenkom ili PE folijom.</t>
  </si>
  <si>
    <t>Pravilnik o tehničkim mjerama i uvjetima za nagibe krovnih ravnina</t>
  </si>
  <si>
    <t>cinčani lim</t>
  </si>
  <si>
    <t>E4.020</t>
  </si>
  <si>
    <t>pocinčani lim</t>
  </si>
  <si>
    <t>B4.081</t>
  </si>
  <si>
    <t>čelični lim</t>
  </si>
  <si>
    <t>B4.054</t>
  </si>
  <si>
    <t>B4.011-017</t>
  </si>
  <si>
    <t>bakreni lim</t>
  </si>
  <si>
    <t>D4.500</t>
  </si>
  <si>
    <t>D4.020</t>
  </si>
  <si>
    <t>olovni lim</t>
  </si>
  <si>
    <t>aluminijski lim</t>
  </si>
  <si>
    <t>C4.050</t>
  </si>
  <si>
    <t>C4.051</t>
  </si>
  <si>
    <t>C4.060 / 062</t>
  </si>
  <si>
    <t>M3.221</t>
  </si>
  <si>
    <t xml:space="preserve">Prije početka izvedbe radova izvođač je u obvezi projektantu predočiti uzorke boja odgovarajuće za određen tip obrade i izvesti probna bojanja s uzorcima na plohama koje se obrađuju, i to u više nijansi, a na osnovu čega će projektant odabrati boju i način nanošenja odnosno tip valjka. Tek po izboru i odobrenju projektanta može se otpočeti sa radovima. </t>
  </si>
  <si>
    <t>Sva bojanja i ličenja treba izvesti samo na suhim, čistim, ravnim i nemasnim plohama. Podlogu treba prije početka radova pregledati i kod većih oštećenja ili zaprljanja i zamašćenja na isto upozoriti nadzornog inženjera i radove prekinuti dok se podloga odgovarajuće ne pripremi. Kod manjih oštećenja treba izvoditelj podlogu dovesti u potrebno stanje za kvalitetan rad brušenjem manjih neravnina, kitanjem i zapunjavanjem pukotina i manjih udubina kitom za zapunjavanje i izravnanje. Obavezno je izvesti jednokratno gletanje odgovarajućom glet masom za određeni tip podloge. Sve gore navedeno treba uračunati u jediničnu cijenu.</t>
  </si>
  <si>
    <t xml:space="preserve">Tijekom izvođenja radova izvoditelj treba zaštititi sve susjedne plohe, dijelove konstrukcije, stolarske i bravarske elemente i slično na način da ne dođe do njihovog prljanja i oštećenja. </t>
  </si>
  <si>
    <t>Tehnički uvjeti za soboslikarsko-ličilačke radove</t>
  </si>
  <si>
    <t>F2.012</t>
  </si>
  <si>
    <t>- gips za gletanje</t>
  </si>
  <si>
    <t>C1.030</t>
  </si>
  <si>
    <t>- kalijev sapun</t>
  </si>
  <si>
    <t>HRN H.</t>
  </si>
  <si>
    <t>K2.015</t>
  </si>
  <si>
    <t>- vapno</t>
  </si>
  <si>
    <t>C5.020</t>
  </si>
  <si>
    <t>- firnis lanenog ulja</t>
  </si>
  <si>
    <t>- olovni minij</t>
  </si>
  <si>
    <t>C1.023</t>
  </si>
  <si>
    <t>- uljane boje i lakovi</t>
  </si>
  <si>
    <t>C0.102</t>
  </si>
  <si>
    <t>- cinkov kromat</t>
  </si>
  <si>
    <t>C1.034</t>
  </si>
  <si>
    <t>podložne trake</t>
  </si>
  <si>
    <t>Tehnički uvjeti za izvođenje keramičarskih radova:</t>
  </si>
  <si>
    <t>GIPSKARTONSKI RADOVI</t>
  </si>
  <si>
    <t>BP:</t>
  </si>
  <si>
    <t>Prije kalkulacije cijena ponuditelj je u obvezi detaljno proučiti projektnu dokumentaciju i lokaciju objekta te se preporučuje obilazak objekta radi potpunog uvida o obimu i vrsti svih radova.</t>
  </si>
  <si>
    <t>Svi iskopi tla vrše se strojno, a samo djelomično ručno. Izvođač je u obvezi Iskope izvoditi u skladu s geotehničkim izvještajem, projektom i troškovnikom. Propisane mjere presjeka (profila) iskopa ne smiju se prekoračiti bez pismenog odobrenja nadzornog inženjera. Pokosi širokog iskopa moraju se prilagoditi kategoriji tla u kojem iskop vrši.</t>
  </si>
  <si>
    <t>Nasipavanje unutar i oko objekta mora se izvesti  po projektu, troškovniku i geomehaničkom izvješću do  tražene zbijenosti. Nasipavanje i zatrpavanje se vrši u slojevima od maksimalno 30 cm uz strojno nabijanje i vlaženje vodom.</t>
  </si>
  <si>
    <t>Proizvođač betona mora izvoditelja radova upoznati sa sastavom mješavine betona radi primjene pravilne ugradnje i zaštite svježeg betona i utvrđivanja razvoja čvrstoće betona. Za tvornički proizveden beton navedene informacije se mogu koristiti iz proizvođačeva kataloga sastava mješavina betona u kojima su iskazane pojedinosti o klasama čvrstoće betona, klasama konzistencije, težine mješavine i drugi mjerodavni podaci.</t>
  </si>
  <si>
    <t>Za kontrolu kvalitete ugrađenih materijala i izvedenih radova primjenjuju se slijedeće norme ili jednakovrijedno:</t>
  </si>
  <si>
    <t>jednakovrijedno</t>
  </si>
  <si>
    <t>kombinirane slojevite ploče</t>
  </si>
  <si>
    <t xml:space="preserve">šper-ploče </t>
  </si>
  <si>
    <t>jelova/smrekova rezana građa</t>
  </si>
  <si>
    <t>iverice</t>
  </si>
  <si>
    <t>lesonit ploče</t>
  </si>
  <si>
    <t xml:space="preserve">građevinski čavli </t>
  </si>
  <si>
    <t>vijci za drvo</t>
  </si>
  <si>
    <t xml:space="preserve">čavli za pištolj </t>
  </si>
  <si>
    <t>Za toplinsku izolaciju ravnih krovova ekstrudiranim polistirenom izvođač je obavezan dostaviti atest o zahtijevanoj tlačnoj čvrstoći materijala, a polaganje u svemu izvesti prema uputama proizvođača i opisima stavaka.</t>
  </si>
  <si>
    <t>Nosive skele, lake pokretne i lake nepokretne skele do visine 6,00 m obračunavaju se u jediničnoj cijeni ostalih građevinskih radova. Visina preko 6,00 m obračunava se posebno.</t>
  </si>
  <si>
    <t>Završna obrada opisana je stavkom troškovnika, a prethodno je potrebno izvesti i uključiti u jediničnu cijenu sve potrebne prethodne radnje i pripreme podloge.</t>
  </si>
  <si>
    <t xml:space="preserve">
HRN D.</t>
  </si>
  <si>
    <t xml:space="preserve">
E8.193</t>
  </si>
  <si>
    <t>OPĆI UVJETI I NAPOMENA:</t>
  </si>
  <si>
    <t>Svi radovi koji su predmet ovog troškovnika moraju se izvesti u skladu s važećim tehničkim propisima, HRN ili jednakovrijedni, pravilima struke, HTZ propisima, ovim općim i posebnim uvjetima, općim i pojedinačnim opisima iz ovog troškovnika,  tehničkom dokumentacijom, detaljima, statičkom proračunu,  radioničkim nacrtima izrada kojih je obveza izvođača, te usmenim i pismenim uputama projektanta i nadzornog inženjera.</t>
  </si>
  <si>
    <t>Svi zemljani radovi moraju se izvesti u skladu s važećim tehničkim propisima, HRN ili jednakovrijedno, pravilima struke, HTZ propisima, općim i ovim posebnim uvjetima, općim i pojedinačnim opisima iz ovog troškovnika,  tehničkom dokumentacijom, te usmenim i pismenim uputama projektanta i nadzornog inženjera.</t>
  </si>
  <si>
    <t>Potvrđivanje sukladnosti dužan je provoditi proizvođač betona uz ovlašteno tijelo i uključuje kontrolu proizvodnje i provodi se prema Prilogu A TPBK, normi HRV EN 206-1 ili jednakovrijedno  i posebnim propisima.</t>
  </si>
  <si>
    <t>Proizvođač betona mora izraditi Priručnik Kontrole proizvodnje .Kontrola proizvodnje provodi se prema normi HRN EN 206-1  ili jednakovrijedno i obuhvaća sve mjere nužne za održavanje svojstava betona sukladno specificiranim zahtjevima. Svi relevantni podaci o kontroli proizvodnje moraju biti sadržani u izvještajima.</t>
  </si>
  <si>
    <t>Kontrola utvrđivanja svojstava svježeg betona provodi se na uzorcima koji se uzimaju neposredno prije ugradnje betona u betonsku konstrukciju u skladu s TPBK, prilog H, HRN EN 206-1 ili jednakovrijedno</t>
  </si>
  <si>
    <t xml:space="preserve">Kontrolni postupak utvrđivanja tlačne čvrstoće očvrslog betona provodi ocjenjivanjem rezultata ispitivanja uzoraka, a dokazivanje  karakteristične tlačne čvrstoće betona provodi se odgovarajućom primjenom kriterija iz norme HRN EN 206-1 ili jednakovrijedno </t>
  </si>
  <si>
    <t>Za armiranje  AB konstrukcija koristi se armatura od čelika za armiranje i to u obliku šipki B500B i armaturnih mreža B500B. Čelik za armiranje betona treba zadovoljiti uvjete TPBK, prilog B i HRN EN 10080 ili jednakovrijedno Svaka armaturna mreža ili šipka koja dolazi na gradilište treba biti jasno označena. Površina armature mora biti očišćena od hrđe i tvari koje mogu štetno djelovati na čelik, beton ili vezu između njih.</t>
  </si>
  <si>
    <t xml:space="preserve">Tehnička svojstva čelika za prednapinjanje moraju ispunjavati opće i posebne zahtjeve bitne za krajnju namjenu i moraju biti specificirana prema nizu normi nHRN EN 10138  ili jednakovrijedno </t>
  </si>
  <si>
    <t>Kontrola sukladnost tehničkih svojstva agregata provodi se u betonar, pogonu za izradu predgotovljenih betonskih elemenata i u betonari na gradilištu prema normi HRN EN 206-1, odgovarajućom primjenom nizova normi HRN EN 932, HRN EN 933, HRN EN 1097, HRN EN 1367, HRN EN 1744 ili jednakovrijedno  i odredbama Priloga D TPBK.</t>
  </si>
  <si>
    <t xml:space="preserve">Potvrđivanje sukladnosti za cement dužan je provoditi proizvođač uz ovlašteno tijelo i uključuje tvorničku kontrolu proizvodnje, a provodi se prema prilogu C TPBK, nizu normi HRV EN 197-2, HRN EN 14216, HRN B.C1.015 ili jednakovrijedno i Tehničkom propisu za betonske konstrukcije. </t>
  </si>
  <si>
    <t>Potvrđivanje sukladnosti dodataka betonu provodi se u skladu s odredbama Dodataka ZA normi HRN EN 934-2, nHRN EN 934-5, HRN EN 934-6, HRN EN 450-1, nHRN EN 13263-2 ili jednakovrijedno , odrednama Priloga E TPBK i posebnog propisa, a morta za injektiranje u skladu s određenim normama HRN EN 934-6, HRN EN 934-4 ili jednakovrijedno , te odredbama Priloga E TPBK i posebnog propisa.</t>
  </si>
  <si>
    <t xml:space="preserve">Kontrola kemijskih i mineralnih dodataka betonu provodi se u betonari, pogonu za proizvodnu predgotovljenih betonskih elemenata i u betonari na gradilištu prema normi HRN EN 206-1 i TPBK, Prilog E ili jednakovrijedno </t>
  </si>
  <si>
    <t xml:space="preserve">Tehnička svojstva i drugi zahtjevi za vodu za pripremu betona moraju zadovoljavati zahtjeve norme HRN EN 1008 ili jednakovrijedno, odnosno potvrđivanje sukladnosti vode za pripremu betona provodi se sukladno odredbamja norm HRN EN 1008 ili jednakovrijedno  i odredbama Priloga F TPBK . </t>
  </si>
  <si>
    <t xml:space="preserve">Tehnička svojstva predgotovljenih betonskih elemenata moraju ispunjavati opće i posebne zahtjeve bitne za krajnju primjenu u građevini i moraju biti specificirana prema odgovarajućoj tehničko specifikaciji, odnosno prema normi HRN EN 13369 ili jednakovrijedno  i odredbama Priloga G TPBK . </t>
  </si>
  <si>
    <t>Kod izvođenja konstrukcije, a u skladu s TPBK, prilog J i HRN ENV 13670-1  ili jednakovrijedno _mora se provoditi stručni nadzor razreda 2. Nadzorni inženjer mora pregledati glavne skele i oplate, provjeriti postoji li isprava o sukladnosti čelika za armiranje, odnosno jesu li iskazana svojstva armature sukladna zahtjevima iz projekta betonsske konstrukcije, a neposredno prije početka betoniranja provjeriti da li je armatura izrađena, postavljena i vezana u skladu s projektom AB konstrukcije. Rezultate svih provedenih provjera nadzorni inženjer mora dokumetirati upisom u dnevnik.</t>
  </si>
  <si>
    <t xml:space="preserve">ili jednakovrijedno: </t>
  </si>
  <si>
    <t>Svi zidarski radovi moraju se izvesti u skladu s važećim tehničkim propisima, tehničkim propisima za zidane konstrukcije (NN 1/2007),HRN ili jednakovrijedno, pravilima struke, HTZ propisima, ovim općim i posebnim uvjetima, općim i pojedinačnim opisima iz ovog troškovnika,  tehničkom dokumentacijom, detaljima, statičkom proračunu, te usmenim i pismenim uputama projektanta i nadzornog inženjera.</t>
  </si>
  <si>
    <t xml:space="preserve">HRN EN 771-1:2005  ili jednakovrijedno Specifikacije za zidne elemente
 – 1. dio: Opečni zidni elementi (EN 771-1:2003+A1:2005)  ili jednakovrijedno </t>
  </si>
  <si>
    <t xml:space="preserve">HRN EN 771-2:2005  ili jednakovrijedno Specifikacije za zidne elemente
 – 2. dio: Vapnenosilikatni zidni elementi (EN 771-2:2003+A1:2005) ili jednakovrijedno </t>
  </si>
  <si>
    <t xml:space="preserve">HRN EN 771-3:2005  ili jednakovrijedno  Specifikacije za zidne elemente
 – 3. dio: Betonski zidni elementi (gusti i lagani agregat) (EN 771-3:2003+A1:2005)  ili jednakovrijedno </t>
  </si>
  <si>
    <t xml:space="preserve">HRN EN 771-4:2004  ili jednakovrijedno Specifikacije za zidne elemente
 – 4. dio: Zidni elementi od porastoga betona (EN 771-4:2003) ili jednakovrijedno </t>
  </si>
  <si>
    <t xml:space="preserve">HRN EN 771-4/A1:2005  ili jednakovrijedno Specifikacije za zidne elemente
 – 4. dio: Zidni elementi od porastoga betona (EN 771-4:2003/A1:2005)  ili jednakovrijedno </t>
  </si>
  <si>
    <t>HRN EN 771-5:2005 ili jednakovrijedno Specifikacije za zidne elemente
 – 5. dio: Zidni elementi od umjetnoga kamena (EN 771-5:2003+A1:2005) ili jednakovrijedn</t>
  </si>
  <si>
    <t xml:space="preserve">HRN EN 771-6:2006  ili jednakovrijedno Specifikacije za zidne elemente
 – 6. dio: Zidni elementi od prirodnoga kamena (EN 771-6:2005) ili jednakovrijedno </t>
  </si>
  <si>
    <t>HRN EN 12859:2002 ili jednakovrijedno  Gipsani blokovi
 – Definicije, zahtjevi i ispitne metode (EN 12859:2001) ili jednakovrijedno</t>
  </si>
  <si>
    <t xml:space="preserve">HRN EN 998-2:2003  ili jednakovrijedno Specifikacije morta za ziđe
 – 2. dio: Mort za ziđe (EN 998-2:2003)  ili jednakovrijedno </t>
  </si>
  <si>
    <t>HRN CEN/TR 15225:2006 Smjernice za tvorničku kontrolu proizvodnje za označavanje oznakom CE (potvrđivanje sukladnosti 2+) za projektirane mortove (CEN/TR 15225:2005) ili jednakovrijedno</t>
  </si>
  <si>
    <t>HRN EN 13501-1:2002  ili jednakovrijedno Razredba građevnih proizvoda i građevnih elemenata prema ponašanju u požaru – 1. dio: Razredba prema rezultatima ispitivanja reakcije na požar (EN 13501-1:2002) ili jednakovrijedno</t>
  </si>
  <si>
    <t xml:space="preserve">HRN EN 459-1:2004  ili jednakovrijedno Građevno vapno
 – 1. dio: Definicije, specifikacije i kriteriji sukladnosti (EN 459-1:2001 + AC:2002) ili jednakovrijedno </t>
  </si>
  <si>
    <t xml:space="preserve">HRN EN 459-3:2004  ili jednakovrijedno  Građevno vapno
 – 3. dio: Vrednovanje sukladnosti (EN 459-3:2001 + AC:2002) ili jednakovrijedno </t>
  </si>
  <si>
    <t xml:space="preserve">HRN EN 413-1:2004 Zidarski cement
 – 1. dio: Sastav, specifikacije i kriteriji sukladnosti (EN 413-1:2004) ili jednakovrijedno </t>
  </si>
  <si>
    <t>HRN EN 197-2:2004 ili jednakovrijedno  Cement
 – 2. dio: Vrednovanje sukladnosti</t>
  </si>
  <si>
    <t xml:space="preserve">HRN CR 14245:2004  ili jednakovrijedno Vodič za primjenu EN 197-2 »Vrednovanje sukladnosti« ili jednakovrijedno </t>
  </si>
  <si>
    <t xml:space="preserve">HRN EN 13279-1:2006  ili jednakovrijedno Veziva i žbuke na osnovi gipsa
 – 1. dio: Definicije i zahtjevi (EN 13279-1:2005) ili jednakovrijedno </t>
  </si>
  <si>
    <t xml:space="preserve">nHRN EN 934-3:2004  ili jednakovrijedno Dodaci betonu, mortu i mortu za injektiranje
 – 3. dio: Dodaci mortu za ziđe. Definicije, zahtjevi, sukladnost, označavanje i obilježavanje (EN 934-3:2001/A1:2004) ili jednakovrijedno </t>
  </si>
  <si>
    <t xml:space="preserve">HRN EN 934-6:2004  ili jednakovrijedno Dodaci betonu, mortu i mortu za injektiranje
 – 6. dio: Uzorkovanje, kontrola sukladnosti i vrednovanje sukladnosti (EN 934-6:2001) ili jednakovrijedno </t>
  </si>
  <si>
    <t xml:space="preserve">HRN EN 998-2:2003  ili jednakovrijedno Specifikacija morta za ziđe
 –2. dio: Mort za ziđe (EN 998-2:2001) ili jednakovrijedno </t>
  </si>
  <si>
    <t xml:space="preserve">HRN EN 13139:2003  ili jednakovrijedno Agregati za mort (EN 13139:2002) ili jednakovrijedno </t>
  </si>
  <si>
    <t>HRN EN 13055-1:2003  ili jednakovrijedno Lagani agregati
 – 1. dio: Lagani agregati za beton, mort i mort za zalijevanje (EN 13055-1:2002) ili jednakovrijedno</t>
  </si>
  <si>
    <t xml:space="preserve">HRN EN 13139/AC:2006  ili jednakovrijedno Agregat za mort (EN 13139:2002/AC:2004) ili jednakovrijedno </t>
  </si>
  <si>
    <t xml:space="preserve">HRN EN 13055-1/AC:2006  ili jednakovrijedno Lagani agregati
 – 1. dio: Lagani agregati za beton, mort i mort za zalijevanje (EN 13055-1:2002/AC:2004) ili jednakovrijedno </t>
  </si>
  <si>
    <t xml:space="preserve">HRN EN 845-1:2003  ili jednakovrijedno Specifikacije za pomoćne dijelove ziđa
 – 1. dio: Spone, vlačne trake, vješaljke i kutnici (EN 845-1:2003) ili jednakovrijedno </t>
  </si>
  <si>
    <t xml:space="preserve">HRN EN 845-2:2003  ili jednakovrijedno Specifikacije za pomoćne dijelove ziđa
 – 2. dio: Nadvoji (EN 845-2:2003) ili jednakovrijedno </t>
  </si>
  <si>
    <t>HRN EN 845-3:2003  ili jednakovrijedno Specifikacije za pomoćne dijelove ziđa
 – 3. dio: Armatura horizontalnih sljubnica od čeličnih mreža (EN 845-3:2003) ili jednakovrijedno</t>
  </si>
  <si>
    <t xml:space="preserve">HRN ENV 13269:2001 ili jednakovrijedno  Održavanje
 – Smjernice za izradu ugovora o održavanju (ENV 13269:2001) ili jednakovrijedno </t>
  </si>
  <si>
    <t>HRN EN 13306:2004 ili jednakovrijedno, Nazivlje u održavanju (EN 13306:2001) ili jednakovrijedno</t>
  </si>
  <si>
    <t xml:space="preserve">HRN EN 13460:2004 ili jednakovrijedno Održavanje
 – Dokumentacija o održavanju (EN 13460:2002) ili jednakovrijedno </t>
  </si>
  <si>
    <t>HRN ENV 13670-1:2002 ili jednakovrijedno  Izvedba betonskih konstrukcija, ispitivanje građevina i održavanje građevina</t>
  </si>
  <si>
    <t xml:space="preserve">HRN ISO 15686-1:2002 ili jednakovrijedno , Zgrade i druge građevine
 – Planiranje vijeka uporabe – 1. dio: Opća načela (ISO 15686-1:2000) ili jednakovrijedno </t>
  </si>
  <si>
    <t xml:space="preserve">HRN ISO 15686-2:2002 ili jednakovrijedno , Zgrade i druge građevine
 – Planiranje vijeka uporabe – 2. dio: Postupci predviđanja vijeka uporabe (ISO 15686-2:2001) ili jednakovrijedno </t>
  </si>
  <si>
    <t xml:space="preserve">HRN ISO 15686-3:2004 ili jednakovrijedno , Zgrade i druge građevine
 – Planiranje vijeka uporabe – 3. dio: Neovisne ocjene (auditi) i pregledi svojstava (ISO 15686-3:2002) ili jednakovrijedno </t>
  </si>
  <si>
    <t xml:space="preserve">HRN DIN 18201:1997 ili jednakovrijedno , Tolerancije u graditeljstvu
 – Pojmovi, načela, primjena, ispitivanje (DIN 18201:1997) ili jednakovrijedno </t>
  </si>
  <si>
    <t xml:space="preserve">HRN DIN 18202:1997 ili jednakovrijedno , Tolerancije u visokogradnji
 – Zgrade (DIN 18202:1997) ili jednakovrijedno </t>
  </si>
  <si>
    <t>Svi izolaterski radovi moraju se izvesti u skladu s važećim tehničkim propisima, uputama proizvođača materijala, HRN ili jednakovrijedno , pravilima struke, iskustveno ispravnim i ustaljenim načinima rada, HTZ propisima, ovim općim i posebnim uvjetima, općim i pojedinačnim opisima iz ovog troškovnika,  tehničkom dokumentacijom, detaljima, te usmenim i pismenim uputama projektanta i nadzornog inženjera.</t>
  </si>
  <si>
    <t>HRN EN 13612:2002 ili jednakovrijedno– tvornički izrađeni proizvodi od mineralne vune</t>
  </si>
  <si>
    <t>HRN EN 13163:2002 ili jednakovrijedno – tvornički izrađeni proizvodi od ekspandiranog polistirena</t>
  </si>
  <si>
    <t>HRN EN 13614:2002 ili jednakovrijedno – tvornički izrađeni proizvodi od ekstrudiranog polistirena (XPS)</t>
  </si>
  <si>
    <t>HRN EN 13500:2004 ili jednakovrijedno – sustavi za vanjsku toplinsku izolaciju na osnovi mineralne vune.</t>
  </si>
  <si>
    <t>Svi bravarski radovi moraju se izvesti u skladu s važećim tehničkim propisima, HRN ili jednakovrijedno , pravilima struke, HTZ propisima, ovim općim i posebnim uvjetima, općim i pojedinačnim opisima iz ovog troškovnika,  tehničkom dokumentacijom, detaljima, shemama, radioničkim nacrtima izrada kojih je obveza izvođača, te usmenim i pismenim uputama projektanta i nadzornog inženjera.</t>
  </si>
  <si>
    <t xml:space="preserve">ili jednakovrijedno </t>
  </si>
  <si>
    <t>Svi radovi protupožarne bravarije moraju se izvesti u skladu s važećim tehničkim propisima, HRN ili jednakovrijedno , pravilima struke, HTZ propisima, ovim općim i posebnim uvjetima, općim i pojedinačnim opisima iz ovog troškovnika,  tehničkom dokumentacijom, detaljima, shemama, radioničkim nacrtima izrada kojih je obveza izvođača, te usmenim i pismenim uputama projektanta i nadzornog inženjera.</t>
  </si>
  <si>
    <t>Sva vatrootporna bravarija moraj zadovoljiti odredbe HRN-a U.J1.160 ili jednakovrijedno Tražena kvaliteta mora se dokazati certifikatima izdanim od strane ovlaštene i registrirane institucije. Ishođenje certifikata je obveza izvođača i uključeno je u jediničnu cijenu, a izvoditelj je iste u obvezi dostaviti prije početka ugradnje. Nije dozvoljena ugradnja protupožarne bravarije bez predočenja certifikata.</t>
  </si>
  <si>
    <t>Svi aluminijski radovi moraju se izvesti u skladu s važećim tehničkim propisima, HRN ili jednakovrijedno  , pravilima struke, HTZ propisima, ovim općim i posebnim uvjetima, općim i pojedinačnim opisima iz ovog troškovnika,  tehničkom dokumentacijom, detaljima, shemama, radioničkim nacrtima izrada kojih je obveza izvođača, te usmenim i pismenim uputama projektanta i nadzornog inženjera.</t>
  </si>
  <si>
    <t>Sve fasadne konstrukcije treba ispitati prema odredbama HRN D.E8.193 ili jednakovrijedno  , otpornost fasadnih prozora i vrata na propusnost zraka / vode za C/C ili D/D klasu.</t>
  </si>
  <si>
    <t>Svi staklarski radovi moraju se izvesti u skladu s važećim tehničkim propisima, HRN ili jednakovrijedno  , pravilima struke, HTZ propisima, ovim općim i posebnim uvjetima, općim i pojedinačnim opisima iz ovog troškovnika,  tehničkom dokumentacijom, detaljima, shemama, radioničkim nacrtima izrada kojih je obveza izvođača, te usmenim i pismenim uputama projektanta i nadzornog inženjera.</t>
  </si>
  <si>
    <t>Svi gipskartonski radovi radovi moraju se izvesti u skladu s važećim tehničkim propisima,  Pravilniku o tehničkim mjerama i uvjetima za završne radove u zgradarstvu, HRN ili jednakovrijedno , pravilima struke, HTZ propisima, ovim općim i posebnim uvjetima, općim i pojedinačnim opisima iz ovog troškovnika,  tehničkom dokumentacijom, detaljima, te usmenim i pismenim uputama projektanta i nadzornog inženjera.</t>
  </si>
  <si>
    <t xml:space="preserve">gipskartonske ploče: A485HRN.B.C1.035, 040, 045 ili jednakovrijedno </t>
  </si>
  <si>
    <t xml:space="preserve">vatrootpornost: HRN U.J1.090/DIN 4102.  ili jednakovrijedno </t>
  </si>
  <si>
    <t>gipskartonske ploče: A485HRN.B.C1.035, 040, 045 ili jednakovrijedno</t>
  </si>
  <si>
    <t>Za gipskartonske pregradne zidove treba se osigurati dokaz za postizanje zahtjevanih razreda vatrootpornosti za zidnu konstrukciju koju osigurava izvođač radova putem atesta ovlaštene institucije, ako razred vatrootpornosti ne proizlazi iz normi HRN U.J1.090/DIN 4102 ili jednakovrijedno . Isto vrijedi i za zvučnu zaštitu propisanu fizikalnim projektom građevine.</t>
  </si>
  <si>
    <t>Svi materijali koji se ugrađuju kao i ljepila moraju biti ispitani, certifikati dostavljeni prije ugradnje. U slučaju da za odabrane materijale ne postoje važeće HRN, potrebno je priložiti rezultate ispitivanja koji zadovoljavaju odredbe normi ISO, DIN ili EN ili jednakovrijedno , odnosno izvođač je u obvezi pokrenuti postupak certificiranja odabranog materijala.</t>
  </si>
  <si>
    <t>Svi stolarski radovi moraju se izvesti u skladu s važećim tehničkim propisima, HRN ili jednakovrijedno , pravilima struke, HTZ propisima, ovim općim i posebnim uvjetima, općim i pojedinačnim opisima iz ovog troškovnika,  tehničkom dokumentacijom, detaljima, shemama, radioničkim nacrtima izrada kojih je obveza izvođača, te usmenim i pismenim uputama projektanta i nadzornog inženjera.</t>
  </si>
  <si>
    <t xml:space="preserve">
ili jednakovrijedno </t>
  </si>
  <si>
    <t>Kompakt ploče od visokotlačno prešanih HPL laminata visoke mehaničke čvrstoće, visoke otpornosti na savijanje, vodu, paru, grebanje,  ekstremne vremenske uvjete, lužine, blage kiseline,  za interijersku i eksterijersku upotrebu moraju zadovoljavati odredbe standarda EN 438 TIP CGF ili jednakovrijedno .</t>
  </si>
  <si>
    <t>Svi keramičarski radovi moraju se izvesti u skladu s važećim tehničkim propisima, HRN ili jednakovrijedno , pravilima struke, HTZ propisima, ovim općim i posebnim uvjetima, općim i pojedinačnim opisima iz ovog troškovnika,  tehničkom dokumentacijom, detaljima, shemama polaganja, te usmenim i pismenim uputama projektanta i nadzornog inženjera.</t>
  </si>
  <si>
    <t>Svi limarski radovi moraju se izvesti u skladu s važećim tehničkim propisima, Pravilniku o tehničkim mjerama i uvjetima za završne radove u građevinarstvu, HRN ili jednakovrijedno , pravilima struke, HTZ propisima, ovim općim i posebnim uvjetima, općim i pojedinačnim opisima iz ovog troškovnika,  tehničkom dokumentacijom, detaljima, radioničkim nacrtima izrada kojih je obveza izvođača, te usmenim i pismenim uputama projektanta i nadzornog inženjera.</t>
  </si>
  <si>
    <t>Svi soboslikarsko-ličilački radovi moraju se izvesti u skladu s važećim tehničkim propisima, Pravilniku o tehničkim mjerama i uvjetima za završne radove u građevinarstvu, HRN ili jednakovrijedno , pravilima struke, HTZ propisima, ovim općim i posebnim uvjetima, općim i pojedinačnim opisima iz ovog troškovnika,  tehničkom dokumentacijom, detaljima, radioničkim nacrtima izrada kojih je obveza izviđača, te usmenim i pismenim uputama projektanta i nadzornog inženjera.</t>
  </si>
  <si>
    <t>Svi podopolagački radovi (parket, PVC obloga, linoleum, tapison, premazi i slično) moraju se izvesti u skladu s važećim tehničkim propisima,  Pravilniku o tehničkim mjerama i uvjetima za završne radove u zgradarstvu, HRN ili jednakovrijedno , pravilima struke, HTZ propisima, ovim općim i posebnim uvjetima, općim i pojedinačnim opisima iz ovog troškovnika,  tehničkom dokumentacijom, detaljima, te usmenim i pismenim uputama projektanta i nadzornog inženjera.</t>
  </si>
  <si>
    <t>Ostakljenje se izvodi u skladu s "Tehničkim uvjetima za izvođenje staklorezačkih radova", HRN U.F2.025 ili jednakovrijedno, posebnim uvjetima za staklarske radove i opisu iz stavke troškovnika.</t>
  </si>
  <si>
    <t xml:space="preserve">Zvučna izolacija vrata, stijena i prozora mora zadovoljavati odredbe HRN.U J6.201-89 ili jednakovrijedno </t>
  </si>
  <si>
    <t>e)</t>
  </si>
  <si>
    <t>SVEUČILIŠTE U ZAGREBU</t>
  </si>
  <si>
    <t>Trg Republike Hrvatske 14</t>
  </si>
  <si>
    <t>ZGRADA SVEUČILIŠTA U ZAGREBU I PRAVNOG FAKULTETA</t>
  </si>
  <si>
    <t>PROJEKT OBNOVE ZA CJELOVITU OBNOVU ZGRADE</t>
  </si>
  <si>
    <t>OBAVEZNA JE UGRADNJA U ZIDOVE SVIH VRSTA INSTALACIJA PRIJE SANACIJE ISTIH INJEKTIRANJEM, CRM / FRCM SUSTAVOM ILI NA BILO KOJI DRUGI NAČIN. BILO KAKVE NAKNADNE INTERVENCIJE NA SANIRANIM ZIDOVIMA NISU DOZVOLJENE.</t>
  </si>
  <si>
    <t>PRIPREMNI RADOVI, RAZGRADNJE, UKLANJANJA I ISPITIVANJA</t>
  </si>
  <si>
    <t>NAPOMENA 1: PLAN RAZGRADNJE</t>
  </si>
  <si>
    <t>NAPOMENA 2: NAMJEŠTAJ I UMJETNIČKA DJELA</t>
  </si>
  <si>
    <t>stol u auli izrađen prema projektu Denzlera</t>
  </si>
  <si>
    <t>neorenesansni namještaj u prostoru rektora, kao  i namještaj u sobi prorektora</t>
  </si>
  <si>
    <t>dio sačuvanog ugradbenog namještaja nekadašnje knjižnice.</t>
  </si>
  <si>
    <t xml:space="preserve">kaljeve peći </t>
  </si>
  <si>
    <t>Svu vrijednu unutrašnju opremu - namještaj i umjetnička djela, te vrijednu knjižnu građu,  je nužno sačuvati: portrete rektora  i druge slike umjetničke vrijednosti, skulpture, te satove, lustere i komade vrijednog namještaja, te knjižnu građu. Pojedini predmeti namještaja su sačuvani iz 19.st., te vjerojatno potiču  iz vremena adaptacije  zgrade za Sveučilište, a glavnina datira iz obnove nakon Drugog svjetskog rata.</t>
  </si>
  <si>
    <t>5.2.</t>
  </si>
  <si>
    <t>5.11.</t>
  </si>
  <si>
    <t>5.12.</t>
  </si>
  <si>
    <t>5.13.</t>
  </si>
  <si>
    <t>6.</t>
  </si>
  <si>
    <t xml:space="preserve">ZIDARSKI RADOVI </t>
  </si>
  <si>
    <t>6.4.</t>
  </si>
  <si>
    <t>PORAVNANJE UNUTARNJIH AB POVRŠINA</t>
  </si>
  <si>
    <t>6.5.</t>
  </si>
  <si>
    <t>ZIDARSKA SANACIJA OŠTEĆENIH ZIDOVA</t>
  </si>
  <si>
    <t>6.5.1.</t>
  </si>
  <si>
    <t>6.5.2.</t>
  </si>
  <si>
    <t>Priprema oštećenih i dotrajalih zidova za sanaciju čišćenjem površine i sljubnica ziđa, nevezanih dijelova ziđa te ostataka morta i neravnina mehaničkima alatima u zoni injektiranja i ugradnje FRCM sustava nakon obijanja žbuke, uključivo pranje vodom pod niskim tlakom kako bi se uklonile sve nečistoće i tragovi iscvjetavanja na površini, ponavljanje postupka pranja po potrebi više puta, te sav ostali rad i materijal do potpune funkcionalne gotovosti, u svemu prema uputama projektanta i nadležnog konzervatora.</t>
  </si>
  <si>
    <t>SANACIJA PUKOTINA U ZIDOVIMA OD OPEKE</t>
  </si>
  <si>
    <t>Nabava svog materijala, svi transporti i sanacija pukotina ispunjavanjem sljubnica dvokomponentnim predgotovljenim bezcementnim visokoduktilnim reparaturnim mortom ojačanog vlaknima, na bazi prirodnog hidrauličkog vapna (NHL) i eko-pucolana, prošivanje ugradnjom armaturnih šipki od duktilnog i trajnog materijala - spiralnim sidrima  Ø10 mm duljine min 1 m ugradnjom u svježi mort s obje strane zida (50 cm obostrano od osi pukotine) i ponovnim  ispunjavanjem sljubnice mortom do kraja.
Jediničnom cijenom stavke obuhvatiti sve navedeno, te sav ostali rad i materijal do potpune funkcionalne gotovosti.</t>
  </si>
  <si>
    <t>Obračun po m' sanirane pukotine.</t>
  </si>
  <si>
    <t>m'</t>
  </si>
  <si>
    <t>6.8.</t>
  </si>
  <si>
    <t>6.9.</t>
  </si>
  <si>
    <t>OBRADA OTVORA PROČELJA NAKON DEMONTAŽE</t>
  </si>
  <si>
    <t>6.10.</t>
  </si>
  <si>
    <t>ŽBUKANJE UNUTARNJIH VERTIKALNIH PLOHA</t>
  </si>
  <si>
    <t>Žbukanje unutarnjih ploha zidova od pune opeke</t>
  </si>
  <si>
    <t>6.11.</t>
  </si>
  <si>
    <t>ŽBUKANJE UNUTARNJIH VERTIKALNIH PLOHA - MOKRI ČVOROVI</t>
  </si>
  <si>
    <t>6.12.</t>
  </si>
  <si>
    <t>ŽBUKANJE STROPOVA</t>
  </si>
  <si>
    <t>UKUPNO 6. ZIDARSKI RADOVI:</t>
  </si>
  <si>
    <t>UKUPNO 5. IZOLATERSKI RADOVI:</t>
  </si>
  <si>
    <t>R.Br.</t>
  </si>
  <si>
    <t>Opis</t>
  </si>
  <si>
    <t>Jedinica mjere</t>
  </si>
  <si>
    <t>Jedinična cijena</t>
  </si>
  <si>
    <t>Ukupno</t>
  </si>
  <si>
    <t>Ukupna količina</t>
  </si>
  <si>
    <t>Žbukanje unutarnjih vertikalnih ploha armiranobetonskih elemenata i armirane žbuke</t>
  </si>
  <si>
    <t xml:space="preserve">U jedinične cijene stavki, uz sve navedeno u općim uvjetima, obavezno uključiti sve nabave, svi transporte i ugradnje materijala, sav potrebni rad, osnovni i pomoćni materijal i pomoćne radnje, oplatu za zidarske svodove; zaštitu zidova od utjecaja vrućine, hladnoće, atmosferskih nepogoda; pokretnu skelu; sve preklope i holkele, rezanje i krojenje raznih ploča, završnu obradu prema opisu u stavci troškovnika; razne pripomoći instalaterima, stolarima i sl., a sve do potpune funkcionalne gotovosti pojedine stavke, uključivo čišćenje nakon dovršetka i u tijeku radova - ako opisom stavke nije drugačije određeno.
</t>
  </si>
  <si>
    <t xml:space="preserve">Obračun po m' svih otvora nakon demontaže </t>
  </si>
  <si>
    <t>Prije početka razgradnje i demotaže Izvođač treba snimiti početno stanje granice zahvata i susjednih elemenata izvan granice zahvata pojedine zone razgradnje ili demontaže i uklanjanja zbog kasnijeg utvrđivanja eventualne štete izvan zone zahvata radova.</t>
  </si>
  <si>
    <t>ZOP:</t>
  </si>
  <si>
    <t>Obračun po m' izvedenog holkera.</t>
  </si>
  <si>
    <t>5.6.</t>
  </si>
  <si>
    <t>Isto kao i 5.9.) samo cementna žbuka u mokrim čvorovima.</t>
  </si>
  <si>
    <t>m2</t>
  </si>
  <si>
    <t xml:space="preserve">RADOVI INJEKTIRANJA - PRIPREMA PODLOGE
</t>
  </si>
  <si>
    <t>Obračun po m2 izvedenog morta.</t>
  </si>
  <si>
    <t xml:space="preserve">Dobava i ugradnja visokosulfatnog morta na površinama zidova iznutra. Uključuje provođenje zamjene morta u sljubnicama i izravnavajući sloj morta na cijeloj površini zidova. Mort je paropropusan i vodonepropusan, maksimalnog zrna 1.2 mm, gustoće cca 1.95 kg/dm³, tlačne čvrstoće ≥ 15 N/mm² , savojne čvrstoće ≥ 4 N/mm². Izravnavajući sloj morta izvodi se u širini 20 do 30 cm većoj od rastera pakera, te na svim pozicijama gdje se izvodi hidroizolacija, te za izvedbu podložnog sloja kod izvedbe HI sloja. kod injektiranja mort služi kao zaštita od procurivanja niskoviskozne hidrostrukturne smole na bazi akrila niske viskoznosti. 
Stavka uključuje sav rad, alat, pribor i potrošni materijal potreban za potpuno dovršenje posla.
</t>
  </si>
  <si>
    <t>HIDROIZOLACIJSKI RADOVI I ŽBUKE - IZRADA HOLKERA</t>
  </si>
  <si>
    <t>IZVEDBA ISUŠUJUĆEG SUSTAVA ŽBUKE - SANACIJSKI VEZNI SLOJ (ŠPRIC)</t>
  </si>
  <si>
    <t>Obračun po m2 izvedene žbuke.</t>
  </si>
  <si>
    <t>IZVEDBA ISUŠUJUĆEG SUSTAVA ŽBUKE - SANACIJSKA GRUBA ŽBUKA</t>
  </si>
  <si>
    <t xml:space="preserve">Dobava i ugradnja mineralne žbuke za sanaciju površina
oštećenih vlagom i solju posjeduje visok kapacitet skladištenja
soli, značajno smanjenje razine difuzije vodene pare te je
otporna na vlagu , vremenske uvjete i mraz. Debljina sloja grube
žbuke je 30-35 mm. Potrebno je nanošenje u dva sloja. Za
sušenje grube žbuke potrebno je cca 35 dana (20°C I 65%
relativna vlažnost) prije nanosa slj edećeg sloja. Tijekom
očvršćivanj a , mineralni mort mora biti zaštićen od prerane
dehidratacije (sunce, vjetar, visoka temperatura).
Stavka uk ljučuje sav rad , alat, pribor i potrošni materijal
potreban za potpuno dovršenje radova.
</t>
  </si>
  <si>
    <t>IZVEDBA ISUŠUJUĆEG SUSTAVA ŽBUKE - SANACIJSKA FINA ŽBUKA</t>
  </si>
  <si>
    <t xml:space="preserve">Dobava i ugradnja završne žbuke u sistemu otvorenom za
difuziju vodene pare. Fina završna žbuka je otporna na mraz i
vodu. Debljina sloja do 3 mm. Toplinska provodljivost žbuke za
sanaciju je 0.47 W/m·K, sadržaj zračnih šupljina.: 10%,
paropropusnost Sd &lt; 0.05 m Može se nanositi ručno i strojno.
Zaglađivanje površine vrši se mekanom spužvom nakon
dovoljnog sušenja.
Stavka uk ljučuje sav rad , alat, pribor i potrošni materijal
potreban za potpuno dovršenje radova.
</t>
  </si>
  <si>
    <t>Strojno žbukanje unutarnjih ploha zidova od opeke ili unutarnjih ploha armiranobetonskih elemenata  produžnom (vapneno-cementna) žbukom M5. Visina suterena je do 3,60 m, prizemlja do 5,10 m, 1.kata do 5,20 m i 2.kata do 5,0 m. Debljina sloja žbuke do 2,0 cm. Žbuka tvornički pripremljena, izvedena u potpunosti po uputama i tehnologiji odabranog proizvođača.   Prije rada obvezno konzultirati izvođače svih instalacija radi eventualne izvedbe instalacija u debljini žbuke. Posebno pažljivo izvesti spojeve sa postojećim reljefima, otvorima u zidovima i ugrađenim elementima u plohama. Radna skela uračunata u cijenu. Uključivo potrebna varena mrežica 4 x 4mm na spojevima dva različita materijala i aluminijska kutna letvica na lomovima i završetcima žbuke. Žbukanje eventualno postojećeih kamenih ili betonskih elemanata uključena u stavku. Obrada špaleta se posebno ne obračunava nego je uključena u stavku. Ne odbija se  površina otvora.</t>
  </si>
  <si>
    <t>NAPOMENA: U cijene radova uračunati su svi strojevi i oprema potrebni za izvođenje radova.
Radove treba izvesti izvođač sa iskustvom izvođenja sanacijskih radova koji je stručno osposobljen i opremljen za izvođenje sanacijskih radova na armirano betonskim i zidanim konstrukcijama, izvođenju ojačanja betonskih konstrukcija, hidroizolacijske radove na visokogranji i niskogradnji, kao i za ostale radove uobičajene pri sanacijama konstrukcija.
Za utvrđivanje cijena u stavkama troškovnika potrebno je proučiti čitav projekt, te se detaljno upoznati sa stvarnim stanjem građevine na licu mjesta. U svim stavkama troškovnika jedinična cijena treba obuhvatiti sve troškove nabave i transporta glavnih i pomoćnih materijala, ugradbenih elemenata, radne snage, energenata, osiguranja prijevoza, oplata i skela uključivo i njihovi projekti, odnosno sve potrebne troškove za potpuno dovršenje posla,
kao i zbrinjavanje uklonjenih materijala.
Jedinična cijena također treba obuhvatiti i troškove održavanja i čiš ćenja gradilišta, kao i troškove postrojenja za izvođenje radova po ovome projektu. Svi troškovi prethodnih i tekućih ispitivanja materijala i radova, ukoliko nisu posebno specificirani, trebaju biti uključeni u jediničnu cijenu radova i obaveza su izvođača radova. Predmet ovog Projekta obnove zgrade je kompleksa građevina - Zgrada Sveučilišta u Zagrebu i Pravnog fakulteta. Zbog istoga se predviđa i nužno je osigurati projektantski nadzor tijekom izvođenja radova obnove. Za svako odstupanje od projekta potrebno je kroz projektantski nadzor osigurati mišljenje i suglasnost projektanta. Nepredviđeni radovi koji se tijekom izvođenja radova pokažu neophodnima mogu se izvoditi uz suglasnost projektanta ali samo po odobrenju investitora i to na osnovu prihvaćene ponude i analize izvoditelja. Stvarne količine pojedinih radova utvrditi će nadzorni inženjer na licu mjesta.</t>
  </si>
  <si>
    <t>Urbane ideje d.o.o.</t>
  </si>
  <si>
    <t>Ljudevita Gaja 26A, 10430 Samobor</t>
  </si>
  <si>
    <t>tel:</t>
  </si>
  <si>
    <t>01/3374.341</t>
  </si>
  <si>
    <t>fax:</t>
  </si>
  <si>
    <t>01/3327.644</t>
  </si>
  <si>
    <t>mail:</t>
  </si>
  <si>
    <t>info@urbaneideje.hr</t>
  </si>
  <si>
    <t>web:</t>
  </si>
  <si>
    <t>www.urbaneideje.hr</t>
  </si>
  <si>
    <t>MAPA 8</t>
  </si>
  <si>
    <t>investitor:</t>
  </si>
  <si>
    <t>OIB: 36612267447</t>
  </si>
  <si>
    <t>10000 Zagreb</t>
  </si>
  <si>
    <t>glavni projektant:</t>
  </si>
  <si>
    <t>Jasminka Kečanović Šimec, dipl.ing.arh.</t>
  </si>
  <si>
    <t>direktor:</t>
  </si>
  <si>
    <t>Roko Dropuljić, dipl.ing.građ.</t>
  </si>
  <si>
    <t>troškovnik izradio:</t>
  </si>
  <si>
    <t>Josip Biber, dipl.ing.građ.</t>
  </si>
  <si>
    <t>lokacija:</t>
  </si>
  <si>
    <t>k.č. 2142  k.o. Centar 
Grad Zagreb</t>
  </si>
  <si>
    <t>55/2023-ARH</t>
  </si>
  <si>
    <t>55/2023-UI</t>
  </si>
  <si>
    <r>
      <t>Izvođaču moraju biti dostupne informacije o vremenu zaštite betona ovisno o razvoju čvrstoće betona pri 20</t>
    </r>
    <r>
      <rPr>
        <vertAlign val="superscript"/>
        <sz val="11"/>
        <color rgb="FF000000"/>
        <rFont val="Helvetica"/>
      </rPr>
      <t>o</t>
    </r>
    <r>
      <rPr>
        <sz val="11"/>
        <color rgb="FF000000"/>
        <rFont val="Helvetica"/>
      </rPr>
      <t>C za razdoblje od 2 i 28 dana.</t>
    </r>
  </si>
  <si>
    <r>
      <t>Ako je količina ugrađenog betona veća od 100m</t>
    </r>
    <r>
      <rPr>
        <vertAlign val="superscript"/>
        <sz val="11"/>
        <color rgb="FF000000"/>
        <rFont val="Helvetica"/>
      </rPr>
      <t>3</t>
    </r>
    <r>
      <rPr>
        <sz val="11"/>
        <color rgb="FF000000"/>
        <rFont val="Helvetica"/>
      </rPr>
      <t>, za svakih slijedećih ugrađenih 100m3 uzima se po jedan dodatni uzorak betona. Podaci o istovrsnim elementima betonske konstrukcije izvedenim od betona istih iskazanih svojstava i istog proizvođača betona evidentiraju se uz navođenje podataka iz otpremnice tog betona, a podaci o uzimanju uzoraka betona evidentiraju se uz obvezno navođenje oznake pojedinog elementa betonske konstrukcije i mjesta u elementu betonske konstrukcije na koje se beton ugrađivao u trenutku izimanja uzoraka.</t>
    </r>
  </si>
  <si>
    <r>
      <t>Kod izvedbe estriha potrebno je izvesti dilatacijski sloj uz zidove u debljini 10 mm, te dilatacije površina estriha na način da neprekinuta površina estriha bude maksimalno 25 m</t>
    </r>
    <r>
      <rPr>
        <vertAlign val="superscript"/>
        <sz val="11"/>
        <color rgb="FF000000"/>
        <rFont val="Helvetica"/>
      </rPr>
      <t>2</t>
    </r>
    <r>
      <rPr>
        <sz val="11"/>
        <color rgb="FF000000"/>
        <rFont val="Helvetica"/>
      </rPr>
      <t>.</t>
    </r>
  </si>
  <si>
    <r>
      <t>Sav okov mora biti skriven osim ako opisom stavke troškovnika nije drugačije određeno. Sav vidljivi okov odabire projektant nakon predočenja uzoraka. Sav okov mora biti odabran u dogovoru s projektantom.. Dijelove okova od čelika izvesti s presvlakom od cinka vrućim pocinčavanjem 60 g/m</t>
    </r>
    <r>
      <rPr>
        <vertAlign val="superscript"/>
        <sz val="11"/>
        <color rgb="FF000000"/>
        <rFont val="Helvetica"/>
      </rPr>
      <t>2</t>
    </r>
    <r>
      <rPr>
        <sz val="11"/>
        <color rgb="FF000000"/>
        <rFont val="Helvetica"/>
      </rPr>
      <t>, a  ankeri presvlakom od cinka vrućim pocinčavanjem 180 g/m</t>
    </r>
    <r>
      <rPr>
        <vertAlign val="superscript"/>
        <sz val="11"/>
        <color rgb="FF000000"/>
        <rFont val="Helvetica"/>
      </rPr>
      <t>2</t>
    </r>
    <r>
      <rPr>
        <sz val="11"/>
        <color rgb="FF000000"/>
        <rFont val="Helvetica"/>
      </rPr>
      <t>.</t>
    </r>
  </si>
  <si>
    <r>
      <t>Sav okov mora biti skriven osim ako opisom stavke troškovnika nije drugačije određeno. Sav vidljivi okov odabire projektant nakon predočenja uzoraka. Sav okov mora biti odabran u dogovoru s projektantom. Dijelove okova od čelika izvesti s presvlakom od cinka vrućim pocinčavanjem 60 g/m</t>
    </r>
    <r>
      <rPr>
        <vertAlign val="superscript"/>
        <sz val="11"/>
        <color rgb="FF000000"/>
        <rFont val="Helvetica"/>
      </rPr>
      <t>2</t>
    </r>
    <r>
      <rPr>
        <sz val="11"/>
        <color rgb="FF000000"/>
        <rFont val="Helvetica"/>
      </rPr>
      <t>, a  ankeri presvlakom od cinka vrućim pocinčavanjem 180 g/m</t>
    </r>
    <r>
      <rPr>
        <vertAlign val="superscript"/>
        <sz val="11"/>
        <color rgb="FF000000"/>
        <rFont val="Helvetica"/>
      </rPr>
      <t>2</t>
    </r>
    <r>
      <rPr>
        <sz val="11"/>
        <color rgb="FF000000"/>
        <rFont val="Helvetica"/>
      </rPr>
      <t>.</t>
    </r>
  </si>
  <si>
    <r>
      <t>Izvođač je u obvezi podlogu izravnati za polaganje samonivelirajućom masom u dva sloja, a maksimalna dozvoljena vlažnost podloge za polaganje podne obloge iznosi 3% za polaganje parketa, odnosno 2% za polaganje PVC ili linoleum podne obloge, najmanja dozvoljena temperatura prostorije je 10</t>
    </r>
    <r>
      <rPr>
        <vertAlign val="superscript"/>
        <sz val="11"/>
        <color rgb="FF000000"/>
        <rFont val="Helvetica"/>
      </rPr>
      <t>o</t>
    </r>
    <r>
      <rPr>
        <sz val="11"/>
        <color rgb="FF000000"/>
        <rFont val="Helvetica"/>
      </rPr>
      <t>C, vlažnost zraka mora biti od 45-65%</t>
    </r>
  </si>
  <si>
    <r>
      <t>Sav okov mora biti skriven osim ako opisom stavke troškovnika nije drugačije određeno. Sav vidljivi okov odabire projektant nakon predočenja uzoraka. Sav okov mora biti odabran u dogovoru s projektantom. Dijelove okova od čelika izvesti s presvlakom od cinka vrućim pocinčavanjem 60 g/m</t>
    </r>
    <r>
      <rPr>
        <vertAlign val="superscript"/>
        <sz val="11"/>
        <color rgb="FF000000"/>
        <rFont val="Helvetica"/>
      </rPr>
      <t>2</t>
    </r>
    <r>
      <rPr>
        <sz val="11"/>
        <color rgb="FF000000"/>
        <rFont val="Helvetica"/>
      </rPr>
      <t>.</t>
    </r>
  </si>
  <si>
    <r>
      <t>Samonosive dekorativne trespa ploče proizvedene na bazi obrađenih smola pod velikim tlakom (±100kg/cm</t>
    </r>
    <r>
      <rPr>
        <vertAlign val="superscript"/>
        <sz val="11"/>
        <color rgb="FF000000"/>
        <rFont val="Helvetica"/>
      </rPr>
      <t>2</t>
    </r>
    <r>
      <rPr>
        <sz val="11"/>
        <color rgb="FF000000"/>
        <rFont val="Helvetica"/>
      </rPr>
      <t>) i visokom temperaturom (150</t>
    </r>
    <r>
      <rPr>
        <vertAlign val="superscript"/>
        <sz val="11"/>
        <color rgb="FF000000"/>
        <rFont val="Helvetica"/>
      </rPr>
      <t>o</t>
    </r>
    <r>
      <rPr>
        <sz val="11"/>
        <color rgb="FF000000"/>
        <rFont val="Helvetica"/>
      </rPr>
      <t>C) i u punom presjeku ojačane drvenim vlaknima jedno- ili dvostrano prevučene integriranom površinom na bazi pigmentiranih smola, bez akrila koji mogu biti topivi, moraju zadovoljavati odredbe: ISO R1183-87 ili jednakovrijedno (gustoća 1400 kg/m</t>
    </r>
    <r>
      <rPr>
        <vertAlign val="superscript"/>
        <sz val="11"/>
        <color rgb="FF000000"/>
        <rFont val="Helvetica"/>
      </rPr>
      <t>3</t>
    </r>
    <r>
      <rPr>
        <sz val="11"/>
        <color rgb="FF000000"/>
        <rFont val="Helvetica"/>
      </rPr>
      <t>), ISO 105 A02-87 ili jednakovrijedno  (postojanost boje na atmosferilije), DIN 50018  ili jednakovrijedno (otpor na SO2), ISO 4586-EN438  ili jednakovrijedno _(otpor na grebanje), DIN 67530 ili jednakovrijedno  (površina).</t>
    </r>
  </si>
  <si>
    <r>
      <t>Obračun po m</t>
    </r>
    <r>
      <rPr>
        <vertAlign val="superscript"/>
        <sz val="10"/>
        <color theme="1"/>
        <rFont val="Helvetica"/>
      </rPr>
      <t>2</t>
    </r>
    <r>
      <rPr>
        <sz val="10"/>
        <color theme="1"/>
        <rFont val="Helvetica"/>
      </rPr>
      <t xml:space="preserve"> </t>
    </r>
  </si>
  <si>
    <r>
      <t>m</t>
    </r>
    <r>
      <rPr>
        <vertAlign val="superscript"/>
        <sz val="10"/>
        <color theme="1"/>
        <rFont val="Helvetica"/>
      </rPr>
      <t>2</t>
    </r>
    <r>
      <rPr>
        <sz val="10"/>
        <rFont val="Arial"/>
        <family val="2"/>
        <charset val="238"/>
      </rPr>
      <t/>
    </r>
  </si>
  <si>
    <r>
      <t>Obračun po m</t>
    </r>
    <r>
      <rPr>
        <vertAlign val="superscript"/>
        <sz val="10"/>
        <color theme="1"/>
        <rFont val="Helvetica"/>
      </rPr>
      <t>2</t>
    </r>
    <r>
      <rPr>
        <sz val="10"/>
        <color theme="1"/>
        <rFont val="Helvetica"/>
      </rPr>
      <t xml:space="preserve"> sanirane površine zida</t>
    </r>
  </si>
  <si>
    <r>
      <t>Obračun po m</t>
    </r>
    <r>
      <rPr>
        <vertAlign val="superscript"/>
        <sz val="10"/>
        <color theme="1"/>
        <rFont val="Helvetica"/>
      </rPr>
      <t>2.</t>
    </r>
  </si>
  <si>
    <r>
      <t>Obračun po m</t>
    </r>
    <r>
      <rPr>
        <vertAlign val="superscript"/>
        <sz val="10"/>
        <color theme="1"/>
        <rFont val="Helvetica"/>
      </rPr>
      <t xml:space="preserve">2 </t>
    </r>
    <r>
      <rPr>
        <sz val="10"/>
        <color theme="1"/>
        <rFont val="Helvetica"/>
      </rPr>
      <t>gotove ožbukane površine do potpune gotovosti.</t>
    </r>
  </si>
  <si>
    <r>
      <t>Obračun po m</t>
    </r>
    <r>
      <rPr>
        <vertAlign val="superscript"/>
        <sz val="10"/>
        <color theme="1"/>
        <rFont val="Helvetica"/>
      </rPr>
      <t>2</t>
    </r>
    <r>
      <rPr>
        <sz val="10"/>
        <color theme="1"/>
        <rFont val="Helvetica"/>
      </rPr>
      <t>.</t>
    </r>
  </si>
  <si>
    <t>OBAVEZNA JE UGRADNJA U ZIDOVE SVIH VRSTA INSTALACIJA PRIJE SANACIJE ISTIH INJEKTIRANJEM, CRM / FRCM SUSTAVOM ILI NA BILO KOJI DRUGI NAČIN. BILO KAKVE NAKNADNE INTERVENCIJE NA SANIRANIM ZIDOVIMA NISU DOZVOLJENE!</t>
  </si>
  <si>
    <t>IZVOĐAČ RADOVA JE DUŽAN DATI NA OVJERU  PROJEKTANTU PROJEKTA KONSTRUKCIJE PLAN IZVOĐENJA RADOVA IZRAĐEN SUKLADNO PRIJEDLOGU PLANA IZVOĐENJA RADOVA KOJI JE SASTAVNI DIO OVOG TROŠKOVNIKA I PROJEKTNE DOKUMENTACIJE!</t>
  </si>
  <si>
    <r>
      <rPr>
        <b/>
        <sz val="10"/>
        <color theme="1"/>
        <rFont val="Helvetica"/>
      </rPr>
      <t>Izvođač je dužan izraditi Plan razgradnje/uklanjanja sa prikazom tehnologije razgradnje i demontaže i prikazom primjene mjera zaštite pri radu sve sukladno  projektu, a kojeg mora verificirati i odobriti projektant Glavnog projekta konstrukcije i nadzorni inženjer, sve sukladno prijedlogu plana izvođenja radova koji je sastavni dio projektne dokumentacije.</t>
    </r>
    <r>
      <rPr>
        <sz val="10"/>
        <color theme="1"/>
        <rFont val="Helvetica"/>
      </rPr>
      <t xml:space="preserve">
Izvođač je dužan dostaviti dokaz mehaničke otpornosti i stabilnosti skele za pridržanje postojeće konstrukcije zgrade i pročeljnih zidova uzimajući u obzir redoslijed i faznost izvođenja radova izrađen i ovjeren od strane ovlaštenog inženjera građevinarstva prema proračunima i konceptu iz projekta konstrukcije a kojeg mora verificirati i odobriti projektant Glavnog projekta konstrukcije i nadzorni inženjer. 
</t>
    </r>
    <r>
      <rPr>
        <u/>
        <sz val="10"/>
        <color theme="1"/>
        <rFont val="Helvetica"/>
      </rPr>
      <t xml:space="preserve">
Plan razgradenj/uklanjanja i dokaz mehaničke otpornosti i stabilnosti skele tjekom izvođenja radova je uključena u sve stavke i ne obračunava se posebno.</t>
    </r>
    <r>
      <rPr>
        <sz val="10"/>
        <color theme="1"/>
        <rFont val="Helvetica"/>
      </rPr>
      <t xml:space="preserve">
Također, Izvođač je obavezan osigurati prisustvo projektanta Glavnog projekta konstrukcije koji treba pregledati i potvrditi postojeće stanje nosive konstrukcije prije početka razgradnje, a poslije uklanjanja sloja žbuke ili obloge sa zidova, najmanje jedan put  približno na pola posla razgradnje  i još jedan put po izvršenju razgradnje za sve nosive konstrukcije prije početka slijedeće faze radova. Uočeno stanje i ocjenu nosive konstrukcije projektant Glavnog projekta prema potrebi će evidentirati u građevinski dnevnik.</t>
    </r>
  </si>
  <si>
    <t>Prije početka rušenja i demontaže Izvođač treba snimiti početno stanje granice zahvata i susjednih elemenata izvan granice zahvata pojedine zone rušenja ili demontaže i uklanjanja zbog kasnijeg utvrđivanja eventualne štete izvan zone zahvata radova.</t>
  </si>
  <si>
    <t>TROŠKOVNIK</t>
  </si>
  <si>
    <t>Sve fasadne aluminijske konstrukcije treba izvesti prema zahtjevima HRN U.J6.201 ili jednakovrijedno.</t>
  </si>
  <si>
    <t xml:space="preserve">U jediničnu cijenu svake stavke uključiti sve potrebne radnje i predradnje za organizaciju gradilišta, zaštitu zelenih površina, podnih ploha i sl. preko kojih se pristupa zgradi ili služe za organizaciju gradilišta, sve potrebite privremene regulacije prometa za vrijeme izvođenja radova sa premještanjem istih te sa izradom svih potrebitih elaborata, sve mjere osiguranja prolaznika, radnika i okolnih građevina za vrijeme trajanja radova, svu potrebnu skelu, sva potrebna premještanja postojećih instalacija i dovođenje istih u prvobitno stanje po završetku radova, svu razgradnju i demontaže izvoditi u skladu sa detaljnim opisom iz Građevinskog projekta konstrukcije - dokaz mehaničke otpornosti i stabilnosti (Mape 2), sve transporte materijala preostalog od rušenja, koeficijente rastresitosti (svi obračuni vrše se u ugrađenom, sraslom i zbijenom stanju) razvrstavanje otpada, deponiranje na gradilišnoj deponiji, zbrinjavanje viška materijala od rušenja o trošku Izvoditelja, odnosno sortiranje i deponiranje na mjesto koje odredi Investitor za eventualnu ponovnu ugradnju, razvrstavanje i zbrinjavanje otpada s potvrdom ovlaštene tvrtke, nabave svih materijala, sve transporte do gradilišta, horizontalne i vertikalne transporte na gradilištu, sav potreban rad, osnovni i pomoćni materijal, pomoćne radnje, razne pripomoći - instalaterima i sl.; izradu radioničke dokumentacije, sva ispitivanja i nabavu atestne dokumentacije na hrvatskom jeziku, izradu dokumentacije izvedenog stanja u dva primjerka i u elektronskoj formi (.dwg i .pdf); sva čišćenja u tijeku i nakon završetka radova, a sve do potpune funkcionalne gotovosti svake pojedine stavke i troškovnika u cjelini - ako opisom stavke nije drugačije određeno.
</t>
  </si>
  <si>
    <r>
      <t xml:space="preserve">Demontaža, zaštita, svi transporti, zbrinjavanje i ponovna montaža </t>
    </r>
    <r>
      <rPr>
        <b/>
        <u/>
        <sz val="10"/>
        <color theme="1"/>
        <rFont val="Helvetica"/>
      </rPr>
      <t>pojedinačno zaštićenih kulturnih dobara, te umjetnina i vrijednog namještaja,</t>
    </r>
    <r>
      <rPr>
        <b/>
        <sz val="10"/>
        <color theme="1"/>
        <rFont val="Helvetica"/>
      </rPr>
      <t xml:space="preserve"> </t>
    </r>
    <r>
      <rPr>
        <sz val="10"/>
        <color theme="1"/>
        <rFont val="Helvetica"/>
      </rPr>
      <t xml:space="preserve"> vršit će se temeljem ugovora o zbrinjavanju pojedinačno zaštićenih kulturnih dobara sklopljenim između nadležnog ministarstva i Naručitelja te je Naručitelj u obavezi voditi računa o tome, odnosno pravovremeno osigurati zbrinjavanje pojedinačno zaštićenog inventara Sveučilišta i Pravnog fakulteta koji nije izričito naveden u ovom troškovniku.</t>
    </r>
  </si>
  <si>
    <r>
      <t xml:space="preserve">Demontaža, zaštita, svi transporti, zbrinjavanje i ponovna montaža </t>
    </r>
    <r>
      <rPr>
        <b/>
        <u/>
        <sz val="10"/>
        <color theme="1"/>
        <rFont val="Helvetica"/>
      </rPr>
      <t>pojedinačno zaštićenih kulturnih dobara, te umjetnina i vrijednog namještaja,</t>
    </r>
    <r>
      <rPr>
        <b/>
        <sz val="10"/>
        <color theme="1"/>
        <rFont val="Helvetica"/>
      </rPr>
      <t xml:space="preserve"> </t>
    </r>
    <r>
      <rPr>
        <sz val="10"/>
        <color theme="1"/>
        <rFont val="Helvetica"/>
      </rPr>
      <t xml:space="preserve"> vršit će se temeljem ugovora o zbrinjavanju pojedinačno zaštićenih kulturnih dobara sklopljenim između nadležnog ministarstva i Naručitelja te je Naručitelj u obavezi voditi računa o tome, odnosno pravovremeno osigurati zbrinjavanje pojedinačno zaštićenog inventara PF koji nije izričito naveden u ovom troškovniku.</t>
    </r>
  </si>
  <si>
    <t>U jediničnu cijenu svake stavke obvezno uključiti zaštitu prostora parcele te zaštitu neposrednog prostora oko parcele prema planu organizacije gradilišta čija je izrada obveza Izvođača radova, sva potrebna premještanja postojećih instalacija, sve transporte materijala preostalog od rušenja, koeficijente rastresitosti, deponiranje na gradilišnoj deponiji, zbrinjavanje preostalog materijala o trošku Izvoditelja a sve do potpune funkcionalne gotovosti svake pojedine stavke - ako opisom stavke nije drugačije određeno. 
Svi obračuni vršiti će se u ugrađenom, zbijenom i sraslom stanju.</t>
  </si>
  <si>
    <t>Naručitelj je u obvezi voditi računa o tome, odnosno pravovremeno osigurati zbrinjavanje pojedinačno zaštićenog inventara Sveučilišta i Pravnog fakulteta, gore navedenog, osim stavki koje su  izričito navedene u ovom troškovniku, pod. toč. 1.2. VRIJEDNA UNUTRAŠNJA OPREMA PREMA NAPOMENI 2.</t>
  </si>
  <si>
    <t>Sukladno SMJERNICAMA iz KONZERVATORSKOG ELABORATA, predviđa se demontaža, čuvanje i vraćanje slijedećeg:</t>
  </si>
  <si>
    <t>bife ormar izrađen prema projektu Denzlera</t>
  </si>
  <si>
    <t>Nabava svog materijala, doprema i poravnavanje unutarnjih AB površina jednokomponentnim polimeriziranim cementnim reparaturnim mortom R4 i izravanavajućom masom prema uputama proizvođača, uključivo priprema i čišćenje podloge, te sav osnovni i pomoćni rad i materijal do potpune gotovosti stavke.
Ovaj rad izvodi se isključivo po nalogu projektanta i/ili nadzornog inženjera temeljem upisa u građevinski dnevnik.</t>
  </si>
  <si>
    <t>Za cca 80% svih betonskih površina zidova</t>
  </si>
  <si>
    <t>Za cca 80% svih betonskih površina stropova</t>
  </si>
  <si>
    <t xml:space="preserve">Nabava svog materijala, svi transporti i zidarska obrada otvora nakon demontaže postojećih vrata, prozora i stijena te ugradnje novih ili ponovne ugradnje prethodno demontiranih elemenata, uključivo dozidavanje manjih otvora, popravak oštećenja, eventualno ponovno zidanje dijelova prozorskih parapeta, okvira i sl.) opekom kao postojeće u PCM M-5, uključivo pokretna skela te sav ostali potreban rad i materijal do potpune gotovosti.
</t>
  </si>
  <si>
    <t xml:space="preserve">Strojno žbukanje unutarnjih ploha stropova  produžnom (vapneno-cementna) žbukom M5. Stropovi su podgledi armiranobetonskih konstrukcija, saniranih svodova i stropova. Visina suterena je do 3,60 m, prizemlja do 5,10 m, 1.kata do 5,20 m i 2.kata do 5,0 m. Debljina sloja žbuke do 2,0 cm. Žbuka tvornički pripremljena, izvedena u potpunosti po uputama i tehnologiji odabranog proizvođača. Prije rada obvezno konzultirati izvođače svih instalacija radi eventualne izvedbe instalacija u debljini žbuke. Posebno pažljivo izvesti spojeve sa postojećim reljefima, otvorima u zidovima i ugrađenim elementima u plohama. Radna skela uračunata u cijenu. Uključivo potrebna varena mrežica 4 x 4mm na spojevima dva različita materijala i aluminijska kutna letvica na lomovima i završetcima žbuke. Žbukanje eventualno postojećeih kamenih ili betonskih elemanata uključena u stavku. Obrada špaleta se posebno ne obračunava nego je uključena u stavku. Ne odbija se  površina otvora. U slojevima: MK01a, MK02b, MK11a, MK21a.
</t>
  </si>
  <si>
    <t xml:space="preserve">Zgrada Sveučilišta i PRAVNOG FAKULTETA je upisana u Registar kulturnih dobara Republike Hrvatske, Listu zaštićenih kulturnih dobara, broj Registra: Z-464 i nalazi se unutar prostornih međa kulturnog dobra „Zelena potkova“, urbanističko – arhitektonske i parkovne cjeline trgova, broj Registra: Z -1536 i unutar prostornih međa kulturnog dobra Povijesna urbana cjelina Grad Zagreb, broj Registra: Z-1525. Uz navedeno u sloju kultura GUP-a grada Zagreba predmetno područje označeno je I kao arheološko područje. 
Nacrti, tehnički opis, tehničke specifikacije i troškovnik čine cjelinu projekta. Izvođač je dužan proučiti sve gore navedene dijelove projekta, te u slučaju nejasnoća tražiti objašnjenje od projektanta, odnosno iznijeti svoje primjedbe. Nepoznavanje grafičkog dijela projekta i tehničkog opisa nije prihvatljiv razlog za povišenje jediničnih cijena ili greške u izvođenju.
</t>
  </si>
  <si>
    <t>I. GRAĐEVINSKO-OBRTNIČKI RADOVI</t>
  </si>
  <si>
    <t>GLAVNI I IZVEDBENI PROJEKT*</t>
  </si>
  <si>
    <t xml:space="preserve">* Troškovnik je izrađen na temelju glavnog i izvedbenog projekta predmetne zgrade </t>
  </si>
  <si>
    <t xml:space="preserve">Dobava i ugradnja holkera na uglovima podova i zidova. Koristi se mort razreda R4 prema HRN EN 1504-3 (tlačne čvrstoće  ≥ 45 N/mm² )  ili jednakovrijedno. Podlogu je potrebno navlažiti vodom prije nanosa hidroizolacije otporne na negativan pritisak. Holker se izvodi u dimezijama 4 x 4 cm.
Stavka uključuje sav rad,alat, pribor i potrošni materijal potreban za potpuno dovršenje radova.
</t>
  </si>
  <si>
    <t xml:space="preserve">Na prethodno pripremljenu podlogu kao vezni sloj (špric) na
zidove se nanosi sanacijski špric sa min 50% -70% pokrivenosti
pod loge. Može se nanositi strojno ili ru čno Masa mora biti
sulfatno otporna, u skladu s normom DIN EN 988-1 :2010  ili jednakovrijedno.
Vreća se miješa sa cca. 5 lit vode najmanje 2 minute. Ne
preporuča se debljina sloja deblja od 5 mm. Površina mora biti
prekrivena u 50-70% s mineralnim veznim slojem kako bi se
dobila idealna podloga za nanošenje mineralnog morta za
sanaciju. Mineralni mort mora imati visok kapacitet skaldištenja
soli, otporan na vlagu, vremenske uvijete i mraz. Toplinska
provodljivost mineralnog morta za sanaciju je 0.47 W/m·K,
sadržaj zračnih šupljina.: 10%, paropropusnost Sd &lt; 0.05 m.
Stavka uk ljučuje sav rad , alat, pribor i potrošni materijal
potreban za potpuno dovršenje radova.
</t>
  </si>
  <si>
    <t>Sanacija oštećenih zidova od opeke čišćenjem slabovezanog morta iz sljubnica u dubini od 50-60 mm, nabava svog materijala, svi transporti te sanacija manjih pukotina i zapunjavanje reški  mortom M5 klasifikacije EN 998-2-G ( ili jednakovrijedno) visoke duktilnosti na bazi hidrauličkog vapna i eko-pucolana maksimalne veličine agregata 15 mm, uključivo uklanjanje viška morta čišćenje plohe zida i sljubnica vlažnom spužbom ili četkom, te vlaženje i priprema za nanošenje žbuke, odnosno sav rad i materijal do potpune funkcionalne gotovosti, u svemu prema uputama projektanta i nadležnog konzervatora.</t>
  </si>
  <si>
    <t>Svi radovi i oprema moraju biti u skladu s DNSH načelom, „ne nanositi bitnu štetu“ okolišnim ciljevima.</t>
  </si>
  <si>
    <t>Samobor, srpanj 2023.</t>
  </si>
  <si>
    <t>Nudimo Sanisil H špric</t>
  </si>
  <si>
    <t>Nudimo struganu Sanisil H žbuku debljine do 40mm</t>
  </si>
  <si>
    <t>Nudimo cemetni špric, struganu laganu vapneno cemetnu žbuku do 30mm debljine i finu obradu finom žbukom (gletano). Radna skela do 5m visine u cijeni</t>
  </si>
  <si>
    <t>Nudimo cemetni špric, struganu laganu vapneno cemetnu žbuku do 30mm debljine. Radna skela do 5m visine u cijeni</t>
  </si>
  <si>
    <t>Nudimo sanisil glet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</si>
</sst>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44" formatCode="_-* #,##0.00\ &quot;kn&quot;_-;\-* #,##0.00\ &quot;kn&quot;_-;_-* &quot;-&quot;??\ &quot;kn&quot;_-;_-@_-"/>
    <numFmt numFmtId="43" formatCode="_-* #,##0.00_-;\-* #,##0.00_-;_-* &quot;-&quot;??_-;_-@_-"/>
    <numFmt numFmtId="164" formatCode="_-* #,##0.00\ _k_n_-;\-* #,##0.00\ _k_n_-;_-* &quot;-&quot;??\ _k_n_-;_-@_-"/>
    <numFmt numFmtId="165" formatCode="_(* #,##0.00_);_(* \(#,##0.00\);_(* &quot;-&quot;??_);_(@_)"/>
    <numFmt numFmtId="166" formatCode="General_)"/>
    <numFmt numFmtId="167" formatCode="_-&quot;£&quot;* #,##0.00_-;\-&quot;£&quot;* #,##0.00_-;_-&quot;£&quot;* &quot;-&quot;??_-;_-@_-"/>
    <numFmt numFmtId="168" formatCode="&quot;$&quot;#,##0_);\(&quot;$&quot;#,##0\)"/>
    <numFmt numFmtId="169" formatCode="#,##0;\-#,##0;&quot;-&quot;"/>
    <numFmt numFmtId="170" formatCode="#,##0.00;\-#,##0.00;&quot;-&quot;"/>
    <numFmt numFmtId="171" formatCode="#,##0%;\-#,##0%;&quot;- &quot;"/>
    <numFmt numFmtId="172" formatCode="#,##0.0%;\-#,##0.0%;&quot;- &quot;"/>
    <numFmt numFmtId="173" formatCode="#,##0.00%;\-#,##0.00%;&quot;- &quot;"/>
    <numFmt numFmtId="174" formatCode="#,##0.0;\-#,##0.0;&quot;-&quot;"/>
    <numFmt numFmtId="175" formatCode="[Blue]#,##0;[Blue]\(#,##0\)"/>
    <numFmt numFmtId="176" formatCode="#,##0;\(#,##0\)"/>
    <numFmt numFmtId="177" formatCode="&quot;$&quot;#,##0;[Red]\-&quot;$&quot;#,##0"/>
    <numFmt numFmtId="178" formatCode="&quot;$&quot;#,##0.00;[Red]\-&quot;$&quot;#,##0.00"/>
    <numFmt numFmtId="179" formatCode="[Red]0%;[Red]\(0%\)"/>
    <numFmt numFmtId="180" formatCode="0%;\(0%\)"/>
    <numFmt numFmtId="181" formatCode="\ \ @"/>
    <numFmt numFmtId="182" formatCode="\ \ \ \ @"/>
    <numFmt numFmtId="183" formatCode="_-&quot;$&quot;* #,##0_-;\-&quot;$&quot;* #,##0_-;_-&quot;$&quot;* &quot;-&quot;_-;_-@_-"/>
    <numFmt numFmtId="184" formatCode="_-&quot;$&quot;* #,##0.00_-;\-&quot;$&quot;* #,##0.00_-;_-&quot;$&quot;* &quot;-&quot;??_-;_-@_-"/>
    <numFmt numFmtId="185" formatCode="_-* #,##0.00\ _K_n_-;\-* #,##0.00\ _K_n_-;_-* &quot;-&quot;??\ _K_n_-;_-@_-"/>
    <numFmt numFmtId="186" formatCode="_-* #,##0.00\ [$€-1]_-;\-* #,##0.00\ [$€-1]_-;_-* &quot;-&quot;??\ [$€-1]_-;_-@_-"/>
    <numFmt numFmtId="187" formatCode="_-* #,##0.00_-;\-* #,##0.00_-;_-* \-??_-;_-@_-"/>
    <numFmt numFmtId="188" formatCode="_-&quot;€&quot;\ * #,##0.00_-;_-&quot;€&quot;\ * #,##0.00\-;_-&quot;€&quot;\ * &quot;-&quot;??_-;_-@_-"/>
    <numFmt numFmtId="189" formatCode="_-* #,##0.00\ _k_n_-;\-* #,##0.00\ _k_n_-;_-* \-??\ _k_n_-;_-@_-"/>
    <numFmt numFmtId="190" formatCode="#,##0.00&quot;      &quot;;\-#,##0.00&quot;      &quot;;&quot; -&quot;#&quot;      &quot;;@\ "/>
    <numFmt numFmtId="191" formatCode="_-* #,##0.00&quot; kn&quot;_-;\-* #,##0.00&quot; kn&quot;_-;_-* \-??&quot; kn&quot;_-;_-@_-"/>
  </numFmts>
  <fonts count="129">
    <font>
      <sz val="10"/>
      <name val="Arial"/>
      <charset val="238"/>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1"/>
      <color theme="1"/>
      <name val="Calibri"/>
      <family val="2"/>
      <charset val="238"/>
      <scheme val="minor"/>
    </font>
    <font>
      <sz val="10"/>
      <name val="Arial"/>
      <family val="2"/>
      <charset val="238"/>
    </font>
    <font>
      <b/>
      <sz val="10"/>
      <name val="Arial"/>
      <family val="2"/>
      <charset val="238"/>
    </font>
    <font>
      <sz val="12"/>
      <name val="Arial"/>
      <family val="2"/>
      <charset val="238"/>
    </font>
    <font>
      <sz val="10"/>
      <name val="Arial"/>
      <family val="2"/>
    </font>
    <font>
      <sz val="11"/>
      <name val="Arial"/>
      <family val="2"/>
      <charset val="238"/>
    </font>
    <font>
      <sz val="11"/>
      <name val="Arial"/>
      <family val="2"/>
    </font>
    <font>
      <sz val="10"/>
      <color theme="1"/>
      <name val="Arial"/>
      <family val="2"/>
      <charset val="238"/>
    </font>
    <font>
      <sz val="10"/>
      <name val="MS Sans Serif"/>
      <family val="2"/>
      <charset val="238"/>
    </font>
    <font>
      <sz val="12"/>
      <name val="Arial CE"/>
      <charset val="238"/>
    </font>
    <font>
      <sz val="10"/>
      <name val="Arial"/>
      <family val="2"/>
      <charset val="238"/>
    </font>
    <font>
      <sz val="8.5"/>
      <color theme="1"/>
      <name val="Arial"/>
      <family val="2"/>
      <charset val="238"/>
    </font>
    <font>
      <sz val="10"/>
      <name val="Helv"/>
    </font>
    <font>
      <b/>
      <sz val="12"/>
      <name val="Arial"/>
      <family val="2"/>
    </font>
    <font>
      <sz val="10"/>
      <name val="Arial CE"/>
      <family val="2"/>
      <charset val="238"/>
    </font>
    <font>
      <sz val="10"/>
      <name val="Arial"/>
      <family val="2"/>
      <charset val="1"/>
    </font>
    <font>
      <sz val="9"/>
      <name val="Arial"/>
      <family val="2"/>
      <charset val="238"/>
    </font>
    <font>
      <sz val="10"/>
      <name val="Arial CE"/>
      <charset val="238"/>
    </font>
    <font>
      <sz val="10"/>
      <color indexed="8"/>
      <name val="Arial"/>
      <family val="2"/>
      <charset val="238"/>
    </font>
    <font>
      <sz val="10"/>
      <color theme="1"/>
      <name val="Myriad Pro"/>
      <family val="2"/>
      <charset val="238"/>
    </font>
    <font>
      <sz val="10"/>
      <name val="Myriad Pro"/>
      <family val="2"/>
    </font>
    <font>
      <sz val="11"/>
      <color indexed="8"/>
      <name val="Calibri"/>
      <family val="2"/>
      <charset val="238"/>
    </font>
    <font>
      <sz val="11"/>
      <color indexed="9"/>
      <name val="Calibri"/>
      <family val="2"/>
      <charset val="238"/>
    </font>
    <font>
      <sz val="11"/>
      <color indexed="20"/>
      <name val="Calibri"/>
      <family val="2"/>
      <charset val="238"/>
    </font>
    <font>
      <b/>
      <sz val="11"/>
      <color indexed="52"/>
      <name val="Calibri"/>
      <family val="2"/>
      <charset val="238"/>
    </font>
    <font>
      <b/>
      <sz val="11"/>
      <color indexed="9"/>
      <name val="Calibri"/>
      <family val="2"/>
      <charset val="238"/>
    </font>
    <font>
      <i/>
      <sz val="11"/>
      <color indexed="23"/>
      <name val="Calibri"/>
      <family val="2"/>
      <charset val="238"/>
    </font>
    <font>
      <sz val="11"/>
      <color indexed="17"/>
      <name val="Calibri"/>
      <family val="2"/>
      <charset val="238"/>
    </font>
    <font>
      <b/>
      <sz val="15"/>
      <color indexed="56"/>
      <name val="Calibri"/>
      <family val="2"/>
      <charset val="238"/>
    </font>
    <font>
      <b/>
      <sz val="13"/>
      <color indexed="56"/>
      <name val="Calibri"/>
      <family val="2"/>
      <charset val="238"/>
    </font>
    <font>
      <b/>
      <sz val="11"/>
      <color indexed="56"/>
      <name val="Calibri"/>
      <family val="2"/>
      <charset val="238"/>
    </font>
    <font>
      <sz val="11"/>
      <color indexed="62"/>
      <name val="Calibri"/>
      <family val="2"/>
      <charset val="238"/>
    </font>
    <font>
      <sz val="11"/>
      <color indexed="52"/>
      <name val="Calibri"/>
      <family val="2"/>
      <charset val="238"/>
    </font>
    <font>
      <sz val="11"/>
      <color indexed="60"/>
      <name val="Calibri"/>
      <family val="2"/>
      <charset val="238"/>
    </font>
    <font>
      <b/>
      <sz val="11"/>
      <color indexed="63"/>
      <name val="Calibri"/>
      <family val="2"/>
      <charset val="238"/>
    </font>
    <font>
      <b/>
      <sz val="18"/>
      <color indexed="56"/>
      <name val="Cambria"/>
      <family val="2"/>
      <charset val="238"/>
    </font>
    <font>
      <b/>
      <sz val="11"/>
      <color indexed="8"/>
      <name val="Calibri"/>
      <family val="2"/>
      <charset val="238"/>
    </font>
    <font>
      <sz val="11"/>
      <color indexed="10"/>
      <name val="Calibri"/>
      <family val="2"/>
      <charset val="238"/>
    </font>
    <font>
      <sz val="9"/>
      <name val="Tahoma"/>
      <family val="2"/>
      <charset val="238"/>
    </font>
    <font>
      <sz val="11"/>
      <name val="Times New Roman"/>
      <family val="1"/>
      <charset val="238"/>
    </font>
    <font>
      <sz val="11"/>
      <name val="Arial"/>
      <family val="1"/>
    </font>
    <font>
      <sz val="11"/>
      <color indexed="18"/>
      <name val="Arial"/>
      <family val="2"/>
    </font>
    <font>
      <sz val="11"/>
      <color indexed="18"/>
      <name val="Arial"/>
      <family val="2"/>
      <charset val="1"/>
    </font>
    <font>
      <sz val="10"/>
      <color indexed="10"/>
      <name val="Arial"/>
      <family val="2"/>
    </font>
    <font>
      <sz val="10"/>
      <name val="Helv"/>
      <family val="2"/>
    </font>
    <font>
      <sz val="10"/>
      <name val="Times New Roman CE"/>
      <family val="1"/>
      <charset val="238"/>
    </font>
    <font>
      <sz val="12"/>
      <name val="Times New Roman CE"/>
      <family val="1"/>
      <charset val="238"/>
    </font>
    <font>
      <sz val="12"/>
      <name val="Tms Rmn"/>
    </font>
    <font>
      <sz val="10"/>
      <color indexed="8"/>
      <name val="Arial CE"/>
      <charset val="238"/>
    </font>
    <font>
      <sz val="9"/>
      <color indexed="10"/>
      <name val="Arial"/>
      <family val="2"/>
      <charset val="238"/>
    </font>
    <font>
      <b/>
      <sz val="10"/>
      <name val="MS Sans Serif"/>
      <family val="2"/>
      <charset val="238"/>
    </font>
    <font>
      <b/>
      <sz val="11"/>
      <color indexed="10"/>
      <name val="Calibri"/>
      <family val="2"/>
      <charset val="238"/>
    </font>
    <font>
      <sz val="10"/>
      <color indexed="0"/>
      <name val="MS Sans Serif"/>
      <family val="2"/>
      <charset val="238"/>
    </font>
    <font>
      <sz val="10"/>
      <color indexed="12"/>
      <name val="Arial"/>
      <family val="2"/>
    </font>
    <font>
      <sz val="8"/>
      <name val="Arial"/>
      <family val="2"/>
    </font>
    <font>
      <b/>
      <sz val="15"/>
      <color indexed="62"/>
      <name val="Calibri"/>
      <family val="2"/>
      <charset val="238"/>
    </font>
    <font>
      <b/>
      <sz val="13"/>
      <color indexed="62"/>
      <name val="Calibri"/>
      <family val="2"/>
      <charset val="238"/>
    </font>
    <font>
      <b/>
      <sz val="11"/>
      <color indexed="62"/>
      <name val="Calibri"/>
      <family val="2"/>
      <charset val="238"/>
    </font>
    <font>
      <sz val="10"/>
      <color indexed="14"/>
      <name val="Arial"/>
      <family val="2"/>
    </font>
    <font>
      <sz val="11"/>
      <color indexed="19"/>
      <name val="Calibri"/>
      <family val="2"/>
      <charset val="238"/>
    </font>
    <font>
      <sz val="8"/>
      <name val="Arial Narrow"/>
      <family val="2"/>
      <charset val="238"/>
    </font>
    <font>
      <b/>
      <sz val="18"/>
      <color indexed="62"/>
      <name val="Cambria"/>
      <family val="2"/>
      <charset val="238"/>
    </font>
    <font>
      <sz val="10"/>
      <name val="ElegaGarmnd BT"/>
      <family val="1"/>
    </font>
    <font>
      <sz val="10"/>
      <name val="AvantGarde Md BT"/>
      <family val="2"/>
      <charset val="238"/>
    </font>
    <font>
      <u/>
      <sz val="10"/>
      <color indexed="12"/>
      <name val="Arial"/>
      <family val="2"/>
      <charset val="238"/>
    </font>
    <font>
      <sz val="10"/>
      <color indexed="8"/>
      <name val="Myriad Pro"/>
      <family val="2"/>
      <charset val="238"/>
    </font>
    <font>
      <sz val="12"/>
      <name val="Times"/>
      <family val="1"/>
      <charset val="238"/>
    </font>
    <font>
      <u/>
      <sz val="11.75"/>
      <color indexed="12"/>
      <name val="Times"/>
      <family val="1"/>
      <charset val="238"/>
    </font>
    <font>
      <sz val="10"/>
      <name val="Dutch"/>
      <charset val="238"/>
    </font>
    <font>
      <sz val="12"/>
      <name val="Times New Roman"/>
      <family val="1"/>
      <charset val="238"/>
    </font>
    <font>
      <sz val="12"/>
      <name val="Helv"/>
    </font>
    <font>
      <sz val="10"/>
      <color indexed="8"/>
      <name val="Arial CE"/>
      <family val="2"/>
      <charset val="238"/>
    </font>
    <font>
      <sz val="11"/>
      <name val="Arial CE"/>
      <charset val="238"/>
    </font>
    <font>
      <u/>
      <sz val="11"/>
      <color indexed="12"/>
      <name val="Arial CE"/>
      <charset val="238"/>
    </font>
    <font>
      <sz val="9"/>
      <color rgb="FF006100"/>
      <name val="Arial"/>
      <family val="2"/>
      <charset val="238"/>
    </font>
    <font>
      <u/>
      <sz val="12"/>
      <color theme="10"/>
      <name val="Times"/>
      <family val="1"/>
      <charset val="238"/>
    </font>
    <font>
      <b/>
      <sz val="9"/>
      <color rgb="FF3F3F3F"/>
      <name val="Arial"/>
      <family val="2"/>
      <charset val="238"/>
    </font>
    <font>
      <sz val="12"/>
      <color theme="1"/>
      <name val="Calibri"/>
      <family val="2"/>
      <charset val="238"/>
      <scheme val="minor"/>
    </font>
    <font>
      <sz val="11"/>
      <color theme="1"/>
      <name val="Calibri"/>
      <family val="2"/>
      <scheme val="minor"/>
    </font>
    <font>
      <sz val="11"/>
      <color theme="1"/>
      <name val="Myriad"/>
      <family val="2"/>
      <charset val="238"/>
    </font>
    <font>
      <sz val="12"/>
      <color theme="1"/>
      <name val="Calibri"/>
      <family val="2"/>
      <scheme val="minor"/>
    </font>
    <font>
      <sz val="9"/>
      <color indexed="8"/>
      <name val="Tahoma"/>
      <family val="2"/>
      <charset val="238"/>
    </font>
    <font>
      <sz val="12"/>
      <color theme="1"/>
      <name val="Arial"/>
      <family val="2"/>
      <charset val="238"/>
    </font>
    <font>
      <sz val="9"/>
      <color indexed="8"/>
      <name val="Arial"/>
      <family val="2"/>
      <charset val="238"/>
    </font>
    <font>
      <sz val="10"/>
      <name val="Times New Roman CE"/>
      <charset val="238"/>
    </font>
    <font>
      <sz val="10"/>
      <name val="Helv"/>
      <charset val="204"/>
    </font>
    <font>
      <sz val="10"/>
      <name val="Helvetica"/>
    </font>
    <font>
      <b/>
      <sz val="10"/>
      <name val="Helvetica"/>
    </font>
    <font>
      <i/>
      <sz val="10"/>
      <name val="Helvetica"/>
    </font>
    <font>
      <u/>
      <sz val="10"/>
      <color theme="10"/>
      <name val="Arial"/>
      <family val="2"/>
      <charset val="238"/>
    </font>
    <font>
      <u/>
      <sz val="10"/>
      <color theme="10"/>
      <name val="Helvetica"/>
    </font>
    <font>
      <u/>
      <sz val="10"/>
      <name val="Helvetica"/>
    </font>
    <font>
      <b/>
      <sz val="16"/>
      <name val="Helvetica"/>
    </font>
    <font>
      <b/>
      <sz val="12"/>
      <color indexed="23"/>
      <name val="Helvetica"/>
    </font>
    <font>
      <b/>
      <i/>
      <sz val="12"/>
      <name val="Helvetica"/>
    </font>
    <font>
      <i/>
      <sz val="8"/>
      <name val="Helvetica"/>
    </font>
    <font>
      <b/>
      <sz val="9"/>
      <name val="Helvetica"/>
    </font>
    <font>
      <b/>
      <sz val="14"/>
      <name val="Helvetica"/>
    </font>
    <font>
      <sz val="9"/>
      <name val="Helvetica"/>
    </font>
    <font>
      <sz val="10"/>
      <color rgb="FFFF0000"/>
      <name val="Helvetica"/>
    </font>
    <font>
      <b/>
      <sz val="12"/>
      <color rgb="FF000000"/>
      <name val="Helvetica"/>
    </font>
    <font>
      <sz val="10"/>
      <color rgb="FF000000"/>
      <name val="Helvetica"/>
    </font>
    <font>
      <b/>
      <sz val="11"/>
      <color rgb="FF000000"/>
      <name val="Helvetica"/>
    </font>
    <font>
      <sz val="11"/>
      <color rgb="FF000000"/>
      <name val="Helvetica"/>
    </font>
    <font>
      <sz val="12"/>
      <color rgb="FF000000"/>
      <name val="Helvetica"/>
    </font>
    <font>
      <b/>
      <sz val="10"/>
      <color rgb="FF000000"/>
      <name val="Helvetica"/>
    </font>
    <font>
      <vertAlign val="superscript"/>
      <sz val="11"/>
      <color rgb="FF000000"/>
      <name val="Helvetica"/>
    </font>
    <font>
      <b/>
      <sz val="13"/>
      <color rgb="FF000000"/>
      <name val="Helvetica"/>
    </font>
    <font>
      <sz val="10"/>
      <color theme="1"/>
      <name val="Helvetica"/>
    </font>
    <font>
      <b/>
      <sz val="10"/>
      <color theme="1"/>
      <name val="Helvetica"/>
    </font>
    <font>
      <b/>
      <u/>
      <sz val="10"/>
      <color theme="1"/>
      <name val="Helvetica"/>
    </font>
    <font>
      <u/>
      <sz val="10"/>
      <color theme="1"/>
      <name val="Helvetica"/>
    </font>
    <font>
      <vertAlign val="superscript"/>
      <sz val="10"/>
      <color theme="1"/>
      <name val="Helvetica"/>
    </font>
    <font>
      <sz val="9"/>
      <color rgb="FFFF0000"/>
      <name val="Helvetica"/>
    </font>
    <font>
      <b/>
      <sz val="10"/>
      <color theme="1"/>
      <name val="Helvetica"/>
      <family val="2"/>
    </font>
    <font>
      <b/>
      <sz val="10"/>
      <name val="Helvetica"/>
      <family val="2"/>
    </font>
    <font>
      <b/>
      <sz val="12"/>
      <color theme="1"/>
      <name val="Helvetica"/>
      <family val="2"/>
    </font>
    <font>
      <b/>
      <sz val="12"/>
      <color indexed="23"/>
      <name val="Helvetica"/>
      <family val="2"/>
    </font>
    <font>
      <i/>
      <sz val="8"/>
      <name val="Helvetica"/>
      <family val="2"/>
    </font>
    <font>
      <sz val="10"/>
      <color theme="1"/>
      <name val="Helvetica"/>
      <family val="2"/>
      <charset val="238"/>
    </font>
  </fonts>
  <fills count="49">
    <fill>
      <patternFill patternType="none"/>
    </fill>
    <fill>
      <patternFill patternType="gray125"/>
    </fill>
    <fill>
      <patternFill patternType="solid">
        <fgColor indexed="53"/>
        <bgColor indexed="64"/>
      </patternFill>
    </fill>
    <fill>
      <patternFill patternType="solid">
        <fgColor indexed="31"/>
      </patternFill>
    </fill>
    <fill>
      <patternFill patternType="solid">
        <fgColor indexed="44"/>
        <bgColor indexed="64"/>
      </patternFill>
    </fill>
    <fill>
      <patternFill patternType="solid">
        <fgColor indexed="9"/>
      </patternFill>
    </fill>
    <fill>
      <patternFill patternType="solid">
        <fgColor indexed="45"/>
      </patternFill>
    </fill>
    <fill>
      <patternFill patternType="solid">
        <fgColor indexed="29"/>
        <bgColor indexed="64"/>
      </patternFill>
    </fill>
    <fill>
      <patternFill patternType="solid">
        <fgColor indexed="47"/>
      </patternFill>
    </fill>
    <fill>
      <patternFill patternType="solid">
        <fgColor indexed="42"/>
      </patternFill>
    </fill>
    <fill>
      <patternFill patternType="solid">
        <fgColor indexed="26"/>
        <bgColor indexed="64"/>
      </patternFill>
    </fill>
    <fill>
      <patternFill patternType="solid">
        <fgColor indexed="26"/>
      </patternFill>
    </fill>
    <fill>
      <patternFill patternType="solid">
        <fgColor indexed="46"/>
      </patternFill>
    </fill>
    <fill>
      <patternFill patternType="solid">
        <fgColor indexed="47"/>
        <bgColor indexed="64"/>
      </patternFill>
    </fill>
    <fill>
      <patternFill patternType="solid">
        <fgColor indexed="27"/>
      </patternFill>
    </fill>
    <fill>
      <patternFill patternType="solid">
        <fgColor indexed="27"/>
        <bgColor indexed="64"/>
      </patternFill>
    </fill>
    <fill>
      <patternFill patternType="solid">
        <fgColor indexed="44"/>
      </patternFill>
    </fill>
    <fill>
      <patternFill patternType="solid">
        <fgColor indexed="22"/>
      </patternFill>
    </fill>
    <fill>
      <patternFill patternType="solid">
        <fgColor indexed="29"/>
      </patternFill>
    </fill>
    <fill>
      <patternFill patternType="solid">
        <fgColor indexed="11"/>
      </patternFill>
    </fill>
    <fill>
      <patternFill patternType="solid">
        <fgColor indexed="43"/>
        <bgColor indexed="64"/>
      </patternFill>
    </fill>
    <fill>
      <patternFill patternType="solid">
        <fgColor indexed="43"/>
      </patternFill>
    </fill>
    <fill>
      <patternFill patternType="solid">
        <fgColor indexed="45"/>
        <bgColor indexed="64"/>
      </patternFill>
    </fill>
    <fill>
      <patternFill patternType="solid">
        <fgColor indexed="51"/>
      </patternFill>
    </fill>
    <fill>
      <patternFill patternType="solid">
        <fgColor indexed="30"/>
      </patternFill>
    </fill>
    <fill>
      <patternFill patternType="solid">
        <fgColor indexed="49"/>
      </patternFill>
    </fill>
    <fill>
      <patternFill patternType="solid">
        <fgColor indexed="51"/>
        <bgColor indexed="64"/>
      </patternFill>
    </fill>
    <fill>
      <patternFill patternType="solid">
        <fgColor indexed="36"/>
      </patternFill>
    </fill>
    <fill>
      <patternFill patternType="solid">
        <fgColor indexed="52"/>
      </patternFill>
    </fill>
    <fill>
      <patternFill patternType="solid">
        <fgColor indexed="62"/>
      </patternFill>
    </fill>
    <fill>
      <patternFill patternType="solid">
        <fgColor indexed="56"/>
        <bgColor indexed="64"/>
      </patternFill>
    </fill>
    <fill>
      <patternFill patternType="solid">
        <fgColor indexed="10"/>
      </patternFill>
    </fill>
    <fill>
      <patternFill patternType="solid">
        <fgColor indexed="57"/>
      </patternFill>
    </fill>
    <fill>
      <patternFill patternType="solid">
        <fgColor indexed="54"/>
        <bgColor indexed="64"/>
      </patternFill>
    </fill>
    <fill>
      <patternFill patternType="solid">
        <fgColor indexed="54"/>
      </patternFill>
    </fill>
    <fill>
      <patternFill patternType="solid">
        <fgColor indexed="49"/>
        <bgColor indexed="64"/>
      </patternFill>
    </fill>
    <fill>
      <patternFill patternType="solid">
        <fgColor indexed="53"/>
      </patternFill>
    </fill>
    <fill>
      <patternFill patternType="solid">
        <fgColor indexed="10"/>
        <bgColor indexed="64"/>
      </patternFill>
    </fill>
    <fill>
      <patternFill patternType="solid">
        <fgColor indexed="46"/>
        <bgColor indexed="64"/>
      </patternFill>
    </fill>
    <fill>
      <patternFill patternType="solid">
        <fgColor indexed="9"/>
        <bgColor indexed="64"/>
      </patternFill>
    </fill>
    <fill>
      <patternFill patternType="solid">
        <fgColor indexed="55"/>
      </patternFill>
    </fill>
    <fill>
      <patternFill patternType="solid">
        <fgColor indexed="55"/>
        <bgColor indexed="64"/>
      </patternFill>
    </fill>
    <fill>
      <patternFill patternType="solid">
        <fgColor indexed="22"/>
        <bgColor indexed="64"/>
      </patternFill>
    </fill>
    <fill>
      <patternFill patternType="solid">
        <fgColor indexed="27"/>
        <bgColor indexed="41"/>
      </patternFill>
    </fill>
    <fill>
      <patternFill patternType="solid">
        <fgColor indexed="44"/>
        <bgColor indexed="31"/>
      </patternFill>
    </fill>
    <fill>
      <patternFill patternType="solid">
        <fgColor indexed="26"/>
        <bgColor indexed="9"/>
      </patternFill>
    </fill>
    <fill>
      <patternFill patternType="solid">
        <fgColor indexed="42"/>
        <bgColor indexed="27"/>
      </patternFill>
    </fill>
    <fill>
      <patternFill patternType="solid">
        <fgColor indexed="45"/>
        <bgColor indexed="29"/>
      </patternFill>
    </fill>
    <fill>
      <patternFill patternType="solid">
        <fgColor indexed="22"/>
        <bgColor indexed="31"/>
      </patternFill>
    </fill>
  </fills>
  <borders count="41">
    <border>
      <left/>
      <right/>
      <top/>
      <bottom/>
      <diagonal/>
    </border>
    <border>
      <left/>
      <right/>
      <top style="thin">
        <color indexed="64"/>
      </top>
      <bottom style="thin">
        <color indexed="64"/>
      </bottom>
      <diagonal/>
    </border>
    <border>
      <left/>
      <right/>
      <top/>
      <bottom style="thin">
        <color indexed="64"/>
      </bottom>
      <diagonal/>
    </border>
    <border>
      <left/>
      <right/>
      <top style="hair">
        <color indexed="64"/>
      </top>
      <bottom/>
      <diagonal/>
    </border>
    <border>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style="medium">
        <color auto="1"/>
      </top>
      <bottom style="medium">
        <color auto="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56"/>
      </bottom>
      <diagonal/>
    </border>
    <border>
      <left/>
      <right/>
      <top/>
      <bottom style="thick">
        <color indexed="49"/>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medium">
        <color indexed="49"/>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double">
        <color indexed="10"/>
      </bottom>
      <diagonal/>
    </border>
    <border>
      <left style="thin">
        <color indexed="8"/>
      </left>
      <right style="thin">
        <color indexed="8"/>
      </right>
      <top/>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indexed="49"/>
      </top>
      <bottom style="double">
        <color indexed="49"/>
      </bottom>
      <diagonal/>
    </border>
    <border>
      <left/>
      <right/>
      <top style="hair">
        <color indexed="8"/>
      </top>
      <bottom style="hair">
        <color indexed="8"/>
      </bottom>
      <diagonal/>
    </border>
    <border>
      <left/>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right/>
      <top style="hair">
        <color indexed="64"/>
      </top>
      <bottom style="thin">
        <color indexed="64"/>
      </bottom>
      <diagonal/>
    </border>
    <border>
      <left style="thin">
        <color indexed="64"/>
      </left>
      <right style="thin">
        <color indexed="64"/>
      </right>
      <top style="hair">
        <color indexed="64"/>
      </top>
      <bottom style="thin">
        <color indexed="64"/>
      </bottom>
      <diagonal/>
    </border>
  </borders>
  <cellStyleXfs count="2518">
    <xf numFmtId="0" fontId="0" fillId="0" borderId="0"/>
    <xf numFmtId="0" fontId="10" fillId="0" borderId="0"/>
    <xf numFmtId="9" fontId="10" fillId="0" borderId="0" applyFont="0" applyFill="0" applyBorder="0" applyAlignment="0" applyProtection="0"/>
    <xf numFmtId="0" fontId="10" fillId="0" borderId="0"/>
    <xf numFmtId="0" fontId="17" fillId="0" borderId="0" applyNumberFormat="0" applyFont="0" applyFill="0" applyBorder="0" applyAlignment="0" applyProtection="0">
      <alignment vertical="top"/>
    </xf>
    <xf numFmtId="0" fontId="18" fillId="0" borderId="0"/>
    <xf numFmtId="43" fontId="19" fillId="0" borderId="0" applyFont="0" applyFill="0" applyBorder="0" applyAlignment="0" applyProtection="0"/>
    <xf numFmtId="0" fontId="10" fillId="0" borderId="0"/>
    <xf numFmtId="0" fontId="10" fillId="0" borderId="0"/>
    <xf numFmtId="0" fontId="10" fillId="0" borderId="0"/>
    <xf numFmtId="0" fontId="20" fillId="0" borderId="0">
      <alignment vertical="top" wrapText="1"/>
    </xf>
    <xf numFmtId="164" fontId="20" fillId="0" borderId="0" applyFont="0" applyFill="0" applyBorder="0" applyAlignment="0" applyProtection="0"/>
    <xf numFmtId="0" fontId="9" fillId="0" borderId="0"/>
    <xf numFmtId="0" fontId="10" fillId="0" borderId="0"/>
    <xf numFmtId="0" fontId="16" fillId="0" borderId="0"/>
    <xf numFmtId="0" fontId="9" fillId="0" borderId="0"/>
    <xf numFmtId="0" fontId="20" fillId="0" borderId="0">
      <alignment vertical="top" wrapText="1"/>
    </xf>
    <xf numFmtId="0" fontId="20" fillId="0" borderId="0">
      <alignment vertical="top" wrapText="1"/>
    </xf>
    <xf numFmtId="0" fontId="9" fillId="0" borderId="0"/>
    <xf numFmtId="0" fontId="20" fillId="0" borderId="0">
      <alignment vertical="top" wrapText="1"/>
    </xf>
    <xf numFmtId="0" fontId="9" fillId="0" borderId="0"/>
    <xf numFmtId="0" fontId="9" fillId="0" borderId="0"/>
    <xf numFmtId="0" fontId="20" fillId="0" borderId="0">
      <alignment vertical="top" wrapText="1"/>
    </xf>
    <xf numFmtId="0" fontId="9" fillId="0" borderId="0"/>
    <xf numFmtId="0" fontId="10" fillId="0" borderId="0"/>
    <xf numFmtId="0" fontId="20" fillId="0" borderId="0">
      <alignment vertical="top" wrapText="1"/>
    </xf>
    <xf numFmtId="0" fontId="20" fillId="0" borderId="0">
      <alignment vertical="top" wrapText="1"/>
    </xf>
    <xf numFmtId="0" fontId="20" fillId="0" borderId="0">
      <alignment vertical="top" wrapText="1"/>
    </xf>
    <xf numFmtId="0" fontId="9" fillId="0" borderId="0"/>
    <xf numFmtId="0" fontId="9" fillId="0" borderId="0"/>
    <xf numFmtId="0" fontId="20" fillId="0" borderId="0">
      <alignment vertical="top" wrapText="1"/>
    </xf>
    <xf numFmtId="0" fontId="20" fillId="0" borderId="0">
      <alignment vertical="top" wrapText="1"/>
    </xf>
    <xf numFmtId="0" fontId="20" fillId="0" borderId="0">
      <alignment vertical="top" wrapText="1"/>
    </xf>
    <xf numFmtId="0" fontId="20" fillId="0" borderId="0">
      <alignment vertical="top" wrapText="1"/>
    </xf>
    <xf numFmtId="0" fontId="10" fillId="0" borderId="0"/>
    <xf numFmtId="164" fontId="10" fillId="0" borderId="0" applyFont="0" applyFill="0" applyBorder="0" applyAlignment="0" applyProtection="0"/>
    <xf numFmtId="164" fontId="10" fillId="0" borderId="0" applyFont="0" applyFill="0" applyBorder="0" applyAlignment="0" applyProtection="0"/>
    <xf numFmtId="0" fontId="10" fillId="0" borderId="0"/>
    <xf numFmtId="0" fontId="10" fillId="0" borderId="0"/>
    <xf numFmtId="0" fontId="21" fillId="0" borderId="0"/>
    <xf numFmtId="0" fontId="10" fillId="0" borderId="0"/>
    <xf numFmtId="0" fontId="10" fillId="0" borderId="0"/>
    <xf numFmtId="0" fontId="10" fillId="0" borderId="0"/>
    <xf numFmtId="0" fontId="21" fillId="0" borderId="0"/>
    <xf numFmtId="0" fontId="10" fillId="0" borderId="0"/>
    <xf numFmtId="0" fontId="10" fillId="0" borderId="0"/>
    <xf numFmtId="0" fontId="8" fillId="0" borderId="0"/>
    <xf numFmtId="165" fontId="10" fillId="0" borderId="0" applyFont="0" applyFill="0" applyBorder="0" applyAlignment="0" applyProtection="0"/>
    <xf numFmtId="0" fontId="10" fillId="0" borderId="0"/>
    <xf numFmtId="0" fontId="10" fillId="0" borderId="0"/>
    <xf numFmtId="0" fontId="10" fillId="0" borderId="0"/>
    <xf numFmtId="0" fontId="12" fillId="0" borderId="0"/>
    <xf numFmtId="0" fontId="12" fillId="0" borderId="0"/>
    <xf numFmtId="0" fontId="12" fillId="0" borderId="0"/>
    <xf numFmtId="0" fontId="10" fillId="0" borderId="0"/>
    <xf numFmtId="0" fontId="10" fillId="0" borderId="0"/>
    <xf numFmtId="0" fontId="10" fillId="0" borderId="0"/>
    <xf numFmtId="0" fontId="10" fillId="0" borderId="0"/>
    <xf numFmtId="0" fontId="28" fillId="0" borderId="0"/>
    <xf numFmtId="0" fontId="29" fillId="0" borderId="0"/>
    <xf numFmtId="0" fontId="10" fillId="0" borderId="0"/>
    <xf numFmtId="0" fontId="10" fillId="0" borderId="0"/>
    <xf numFmtId="0" fontId="8" fillId="0" borderId="0"/>
    <xf numFmtId="0" fontId="10" fillId="0" borderId="0"/>
    <xf numFmtId="0" fontId="10" fillId="0" borderId="0"/>
    <xf numFmtId="0" fontId="14" fillId="0" borderId="0"/>
    <xf numFmtId="0" fontId="14" fillId="0" borderId="0"/>
    <xf numFmtId="0" fontId="21" fillId="0" borderId="0"/>
    <xf numFmtId="0" fontId="21" fillId="0" borderId="0"/>
    <xf numFmtId="0" fontId="21" fillId="0" borderId="0"/>
    <xf numFmtId="0" fontId="21" fillId="0" borderId="0"/>
    <xf numFmtId="0" fontId="14" fillId="0" borderId="0"/>
    <xf numFmtId="0" fontId="14" fillId="0" borderId="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4"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5"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8"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1"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3"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5"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5"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10"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3" borderId="0" applyNumberFormat="0" applyBorder="0" applyAlignment="0" applyProtection="0"/>
    <xf numFmtId="0" fontId="30" fillId="3" borderId="0" applyNumberFormat="0" applyBorder="0" applyAlignment="0" applyProtection="0"/>
    <xf numFmtId="0" fontId="30" fillId="6" borderId="0" applyNumberFormat="0" applyBorder="0" applyAlignment="0" applyProtection="0"/>
    <xf numFmtId="0" fontId="30" fillId="6" borderId="0" applyNumberFormat="0" applyBorder="0" applyAlignment="0" applyProtection="0"/>
    <xf numFmtId="0" fontId="30" fillId="9" borderId="0" applyNumberFormat="0" applyBorder="0" applyAlignment="0" applyProtection="0"/>
    <xf numFmtId="0" fontId="30" fillId="9"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4" borderId="0" applyNumberFormat="0" applyBorder="0" applyAlignment="0" applyProtection="0"/>
    <xf numFmtId="0" fontId="30" fillId="14" borderId="0" applyNumberFormat="0" applyBorder="0" applyAlignment="0" applyProtection="0"/>
    <xf numFmtId="0" fontId="30" fillId="8" borderId="0" applyNumberFormat="0" applyBorder="0" applyAlignment="0" applyProtection="0"/>
    <xf numFmtId="0" fontId="30" fillId="8"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7"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7"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20"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21"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2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7"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5"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10"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8"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18" borderId="0" applyNumberFormat="0" applyBorder="0" applyAlignment="0" applyProtection="0"/>
    <xf numFmtId="0" fontId="30" fillId="18" borderId="0" applyNumberFormat="0" applyBorder="0" applyAlignment="0" applyProtection="0"/>
    <xf numFmtId="0" fontId="30" fillId="19" borderId="0" applyNumberFormat="0" applyBorder="0" applyAlignment="0" applyProtection="0"/>
    <xf numFmtId="0" fontId="30" fillId="19" borderId="0" applyNumberFormat="0" applyBorder="0" applyAlignment="0" applyProtection="0"/>
    <xf numFmtId="0" fontId="30" fillId="12" borderId="0" applyNumberFormat="0" applyBorder="0" applyAlignment="0" applyProtection="0"/>
    <xf numFmtId="0" fontId="30" fillId="12"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0" fillId="23" borderId="0" applyNumberFormat="0" applyBorder="0" applyAlignment="0" applyProtection="0"/>
    <xf numFmtId="0" fontId="30" fillId="23" borderId="0" applyNumberFormat="0" applyBorder="0" applyAlignment="0" applyProtection="0"/>
    <xf numFmtId="0" fontId="30" fillId="16" borderId="0" applyNumberFormat="0" applyBorder="0" applyAlignment="0" applyProtection="0"/>
    <xf numFmtId="0" fontId="30" fillId="16" borderId="0" applyNumberFormat="0" applyBorder="0" applyAlignment="0" applyProtection="0"/>
    <xf numFmtId="0" fontId="31" fillId="24" borderId="0" applyNumberFormat="0" applyBorder="0" applyAlignment="0" applyProtection="0"/>
    <xf numFmtId="0" fontId="31" fillId="15" borderId="0" applyNumberFormat="0" applyBorder="0" applyAlignment="0" applyProtection="0"/>
    <xf numFmtId="0" fontId="31" fillId="25"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24" borderId="0" applyNumberFormat="0" applyBorder="0" applyAlignment="0" applyProtection="0"/>
    <xf numFmtId="0" fontId="31" fillId="18" borderId="0" applyNumberFormat="0" applyBorder="0" applyAlignment="0" applyProtection="0"/>
    <xf numFmtId="0" fontId="31" fillId="2"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31" fillId="26" borderId="0" applyNumberFormat="0" applyBorder="0" applyAlignment="0" applyProtection="0"/>
    <xf numFmtId="0" fontId="31" fillId="21"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19" borderId="0" applyNumberFormat="0" applyBorder="0" applyAlignment="0" applyProtection="0"/>
    <xf numFmtId="0" fontId="31" fillId="27" borderId="0" applyNumberFormat="0" applyBorder="0" applyAlignment="0" applyProtection="0"/>
    <xf numFmtId="0" fontId="31" fillId="22" borderId="0" applyNumberFormat="0" applyBorder="0" applyAlignment="0" applyProtection="0"/>
    <xf numFmtId="0" fontId="31" fillId="1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5" borderId="0" applyNumberFormat="0" applyBorder="0" applyAlignment="0" applyProtection="0"/>
    <xf numFmtId="0" fontId="31" fillId="1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8" borderId="0" applyNumberFormat="0" applyBorder="0" applyAlignment="0" applyProtection="0"/>
    <xf numFmtId="0" fontId="31" fillId="7" borderId="0" applyNumberFormat="0" applyBorder="0" applyAlignment="0" applyProtection="0"/>
    <xf numFmtId="0" fontId="31" fillId="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8" borderId="0" applyNumberFormat="0" applyBorder="0" applyAlignment="0" applyProtection="0"/>
    <xf numFmtId="0" fontId="31" fillId="24" borderId="0" applyNumberFormat="0" applyBorder="0" applyAlignment="0" applyProtection="0"/>
    <xf numFmtId="0" fontId="31" fillId="18" borderId="0" applyNumberFormat="0" applyBorder="0" applyAlignment="0" applyProtection="0"/>
    <xf numFmtId="0" fontId="31" fillId="19" borderId="0" applyNumberFormat="0" applyBorder="0" applyAlignment="0" applyProtection="0"/>
    <xf numFmtId="0" fontId="31" fillId="27" borderId="0" applyNumberFormat="0" applyBorder="0" applyAlignment="0" applyProtection="0"/>
    <xf numFmtId="0" fontId="31" fillId="25" borderId="0" applyNumberFormat="0" applyBorder="0" applyAlignment="0" applyProtection="0"/>
    <xf numFmtId="0" fontId="31" fillId="28" borderId="0" applyNumberFormat="0" applyBorder="0" applyAlignment="0" applyProtection="0"/>
    <xf numFmtId="0" fontId="31" fillId="29" borderId="0" applyNumberFormat="0" applyBorder="0" applyAlignment="0" applyProtection="0"/>
    <xf numFmtId="0" fontId="31" fillId="30" borderId="0" applyNumberFormat="0" applyBorder="0" applyAlignment="0" applyProtection="0"/>
    <xf numFmtId="0" fontId="31" fillId="25"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29" borderId="0" applyNumberFormat="0" applyBorder="0" applyAlignment="0" applyProtection="0"/>
    <xf numFmtId="0" fontId="31" fillId="31" borderId="0" applyNumberFormat="0" applyBorder="0" applyAlignment="0" applyProtection="0"/>
    <xf numFmtId="0" fontId="31" fillId="2"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26"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32" borderId="0" applyNumberFormat="0" applyBorder="0" applyAlignment="0" applyProtection="0"/>
    <xf numFmtId="0" fontId="31" fillId="27" borderId="0" applyNumberFormat="0" applyBorder="0" applyAlignment="0" applyProtection="0"/>
    <xf numFmtId="0" fontId="31" fillId="33" borderId="0" applyNumberFormat="0" applyBorder="0" applyAlignment="0" applyProtection="0"/>
    <xf numFmtId="0" fontId="31" fillId="34"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7" borderId="0" applyNumberFormat="0" applyBorder="0" applyAlignment="0" applyProtection="0"/>
    <xf numFmtId="0" fontId="31" fillId="25" borderId="0" applyNumberFormat="0" applyBorder="0" applyAlignment="0" applyProtection="0"/>
    <xf numFmtId="0" fontId="31" fillId="3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25" borderId="0" applyNumberFormat="0" applyBorder="0" applyAlignment="0" applyProtection="0"/>
    <xf numFmtId="0" fontId="31" fillId="36" borderId="0" applyNumberFormat="0" applyBorder="0" applyAlignment="0" applyProtection="0"/>
    <xf numFmtId="0" fontId="31" fillId="37"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1" fillId="36" borderId="0" applyNumberFormat="0" applyBorder="0" applyAlignment="0" applyProtection="0"/>
    <xf numFmtId="0" fontId="32" fillId="6" borderId="0" applyNumberFormat="0" applyBorder="0" applyAlignment="0" applyProtection="0"/>
    <xf numFmtId="0" fontId="32" fillId="38"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32" fillId="6" borderId="0" applyNumberFormat="0" applyBorder="0" applyAlignment="0" applyProtection="0"/>
    <xf numFmtId="0" fontId="10" fillId="11" borderId="13" applyNumberFormat="0" applyFont="0" applyAlignment="0" applyProtection="0"/>
    <xf numFmtId="0" fontId="26" fillId="10" borderId="12" applyNumberFormat="0" applyFont="0" applyAlignment="0" applyProtection="0"/>
    <xf numFmtId="0" fontId="10" fillId="11" borderId="13" applyNumberFormat="0" applyFont="0" applyAlignment="0" applyProtection="0"/>
    <xf numFmtId="168" fontId="59" fillId="0" borderId="9" applyAlignment="0" applyProtection="0"/>
    <xf numFmtId="169" fontId="27" fillId="0" borderId="0" applyFill="0" applyBorder="0" applyAlignment="0"/>
    <xf numFmtId="170" fontId="27" fillId="0" borderId="0" applyFill="0" applyBorder="0" applyAlignment="0"/>
    <xf numFmtId="171" fontId="27" fillId="0" borderId="0" applyFill="0" applyBorder="0" applyAlignment="0"/>
    <xf numFmtId="172" fontId="27" fillId="0" borderId="0" applyFill="0" applyBorder="0" applyAlignment="0"/>
    <xf numFmtId="173" fontId="27" fillId="0" borderId="0" applyFill="0" applyBorder="0" applyAlignment="0"/>
    <xf numFmtId="169" fontId="27" fillId="0" borderId="0" applyFill="0" applyBorder="0" applyAlignment="0"/>
    <xf numFmtId="174" fontId="27" fillId="0" borderId="0" applyFill="0" applyBorder="0" applyAlignment="0"/>
    <xf numFmtId="170" fontId="27" fillId="0" borderId="0" applyFill="0" applyBorder="0" applyAlignment="0"/>
    <xf numFmtId="0" fontId="33" fillId="17" borderId="14" applyNumberFormat="0" applyAlignment="0" applyProtection="0"/>
    <xf numFmtId="0" fontId="60" fillId="39" borderId="14" applyNumberFormat="0" applyAlignment="0" applyProtection="0"/>
    <xf numFmtId="0" fontId="33" fillId="5"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3" fillId="17" borderId="14" applyNumberFormat="0" applyAlignment="0" applyProtection="0"/>
    <xf numFmtId="0" fontId="34" fillId="40" borderId="15" applyNumberFormat="0" applyAlignment="0" applyProtection="0"/>
    <xf numFmtId="0" fontId="34" fillId="41"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0" fontId="34" fillId="40" borderId="15" applyNumberFormat="0" applyAlignment="0" applyProtection="0"/>
    <xf numFmtId="169"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48"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 fontId="12" fillId="0" borderId="0" applyFill="0" applyBorder="0" applyAlignment="0" applyProtection="0"/>
    <xf numFmtId="4" fontId="12" fillId="0" borderId="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ill="0" applyBorder="0" applyAlignment="0" applyProtection="0"/>
    <xf numFmtId="164" fontId="10" fillId="0" borderId="0" applyFont="0" applyFill="0" applyBorder="0" applyAlignment="0" applyProtection="0"/>
    <xf numFmtId="164" fontId="10" fillId="0" borderId="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48"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0" fontId="61" fillId="0" borderId="0" applyNumberFormat="0" applyFill="0" applyBorder="0" applyAlignment="0" applyProtection="0"/>
    <xf numFmtId="170"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167" fontId="78"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61" fillId="0" borderId="0" applyNumberFormat="0" applyFill="0" applyBorder="0" applyAlignment="0" applyProtection="0"/>
    <xf numFmtId="14" fontId="27" fillId="0" borderId="0" applyFill="0" applyBorder="0" applyAlignment="0"/>
    <xf numFmtId="0" fontId="47" fillId="0" borderId="0" applyBorder="0" applyProtection="0">
      <alignment horizontal="left" wrapText="1" indent="1"/>
    </xf>
    <xf numFmtId="175" fontId="48" fillId="0" borderId="0" applyFont="0" applyFill="0" applyBorder="0" applyAlignment="0" applyProtection="0"/>
    <xf numFmtId="176" fontId="48" fillId="0" borderId="0" applyFont="0" applyFill="0" applyBorder="0" applyAlignment="0" applyProtection="0"/>
    <xf numFmtId="0" fontId="36" fillId="9" borderId="0" applyNumberFormat="0" applyBorder="0" applyAlignment="0" applyProtection="0"/>
    <xf numFmtId="0" fontId="83" fillId="15" borderId="0" applyNumberFormat="0" applyBorder="0" applyAlignment="0" applyProtection="0"/>
    <xf numFmtId="169" fontId="62" fillId="0" borderId="0" applyFill="0" applyBorder="0" applyAlignment="0"/>
    <xf numFmtId="170" fontId="62" fillId="0" borderId="0" applyFill="0" applyBorder="0" applyAlignment="0"/>
    <xf numFmtId="169" fontId="62" fillId="0" borderId="0" applyFill="0" applyBorder="0" applyAlignment="0"/>
    <xf numFmtId="174" fontId="62" fillId="0" borderId="0" applyFill="0" applyBorder="0" applyAlignment="0"/>
    <xf numFmtId="170" fontId="62" fillId="0" borderId="0" applyFill="0" applyBorder="0" applyAlignment="0"/>
    <xf numFmtId="0" fontId="10" fillId="0" borderId="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9" borderId="0" applyNumberFormat="0" applyBorder="0" applyAlignment="0" applyProtection="0"/>
    <xf numFmtId="0" fontId="36" fillId="15"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38" fontId="63" fillId="42" borderId="0" applyNumberFormat="0" applyBorder="0" applyAlignment="0" applyProtection="0"/>
    <xf numFmtId="0" fontId="22" fillId="0" borderId="10" applyNumberFormat="0" applyAlignment="0" applyProtection="0">
      <alignment horizontal="left" vertical="center"/>
    </xf>
    <xf numFmtId="0" fontId="22" fillId="0" borderId="1">
      <alignment horizontal="left" vertical="center"/>
    </xf>
    <xf numFmtId="0" fontId="37" fillId="0" borderId="16" applyNumberFormat="0" applyFill="0" applyAlignment="0" applyProtection="0"/>
    <xf numFmtId="0" fontId="64" fillId="0" borderId="17" applyNumberFormat="0" applyFill="0" applyAlignment="0" applyProtection="0"/>
    <xf numFmtId="0" fontId="64" fillId="0" borderId="18"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7" fillId="0" borderId="16" applyNumberFormat="0" applyFill="0" applyAlignment="0" applyProtection="0"/>
    <xf numFmtId="0" fontId="38" fillId="0" borderId="19" applyNumberFormat="0" applyFill="0" applyAlignment="0" applyProtection="0"/>
    <xf numFmtId="0" fontId="65" fillId="0" borderId="20" applyNumberFormat="0" applyFill="0" applyAlignment="0" applyProtection="0"/>
    <xf numFmtId="0" fontId="65"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8" fillId="0" borderId="19" applyNumberFormat="0" applyFill="0" applyAlignment="0" applyProtection="0"/>
    <xf numFmtId="0" fontId="39" fillId="0" borderId="21" applyNumberFormat="0" applyFill="0" applyAlignment="0" applyProtection="0"/>
    <xf numFmtId="0" fontId="66" fillId="0" borderId="22" applyNumberFormat="0" applyFill="0" applyAlignment="0" applyProtection="0"/>
    <xf numFmtId="0" fontId="66" fillId="0" borderId="23"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21" applyNumberFormat="0" applyFill="0" applyAlignment="0" applyProtection="0"/>
    <xf numFmtId="0" fontId="39" fillId="0" borderId="0" applyNumberFormat="0" applyFill="0" applyBorder="0" applyAlignment="0" applyProtection="0"/>
    <xf numFmtId="0" fontId="66"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39" fillId="0" borderId="0" applyNumberFormat="0" applyFill="0" applyBorder="0" applyAlignment="0" applyProtection="0"/>
    <xf numFmtId="0" fontId="76" fillId="0" borderId="0" applyNumberFormat="0" applyFill="0" applyBorder="0" applyAlignment="0" applyProtection="0">
      <alignment vertical="top"/>
      <protection locked="0"/>
    </xf>
    <xf numFmtId="0" fontId="82" fillId="0" borderId="0" applyNumberFormat="0" applyFill="0" applyBorder="0" applyAlignment="0" applyProtection="0">
      <alignment vertical="top"/>
      <protection locked="0"/>
    </xf>
    <xf numFmtId="0" fontId="84" fillId="0" borderId="0" applyNumberFormat="0" applyFill="0" applyBorder="0" applyAlignment="0" applyProtection="0"/>
    <xf numFmtId="0" fontId="73" fillId="0" borderId="0" applyNumberFormat="0" applyFill="0" applyBorder="0" applyAlignment="0" applyProtection="0">
      <alignment vertical="top"/>
      <protection locked="0"/>
    </xf>
    <xf numFmtId="10" fontId="63" fillId="10" borderId="7" applyNumberFormat="0" applyBorder="0" applyAlignment="0" applyProtection="0"/>
    <xf numFmtId="0" fontId="40" fillId="20" borderId="14" applyNumberFormat="0" applyAlignment="0" applyProtection="0"/>
    <xf numFmtId="0" fontId="40" fillId="20" borderId="14" applyNumberFormat="0" applyAlignment="0" applyProtection="0"/>
    <xf numFmtId="0" fontId="40" fillId="20" borderId="14" applyNumberFormat="0" applyAlignment="0" applyProtection="0"/>
    <xf numFmtId="0" fontId="40" fillId="20" borderId="14" applyNumberFormat="0" applyAlignment="0" applyProtection="0"/>
    <xf numFmtId="0" fontId="40" fillId="20" borderId="14" applyNumberFormat="0" applyAlignment="0" applyProtection="0"/>
    <xf numFmtId="0" fontId="40" fillId="20" borderId="14" applyNumberFormat="0" applyAlignment="0" applyProtection="0"/>
    <xf numFmtId="0" fontId="40" fillId="20" borderId="14" applyNumberFormat="0" applyAlignment="0" applyProtection="0"/>
    <xf numFmtId="0" fontId="40" fillId="20" borderId="14" applyNumberFormat="0" applyAlignment="0" applyProtection="0"/>
    <xf numFmtId="0" fontId="40" fillId="20" borderId="14" applyNumberFormat="0" applyAlignment="0" applyProtection="0"/>
    <xf numFmtId="0" fontId="40" fillId="20" borderId="14" applyNumberFormat="0" applyAlignment="0" applyProtection="0"/>
    <xf numFmtId="0" fontId="40" fillId="8" borderId="14" applyNumberFormat="0" applyAlignment="0" applyProtection="0"/>
    <xf numFmtId="0" fontId="40" fillId="20" borderId="14" applyNumberFormat="0" applyAlignment="0" applyProtection="0"/>
    <xf numFmtId="0" fontId="40" fillId="20" borderId="14" applyNumberFormat="0" applyAlignment="0" applyProtection="0"/>
    <xf numFmtId="0" fontId="40" fillId="20" borderId="14" applyNumberFormat="0" applyAlignment="0" applyProtection="0"/>
    <xf numFmtId="0" fontId="40" fillId="20" borderId="14" applyNumberFormat="0" applyAlignment="0" applyProtection="0"/>
    <xf numFmtId="0" fontId="40" fillId="20" borderId="14" applyNumberFormat="0" applyAlignment="0" applyProtection="0"/>
    <xf numFmtId="0" fontId="40" fillId="20" borderId="14" applyNumberFormat="0" applyAlignment="0" applyProtection="0"/>
    <xf numFmtId="0" fontId="40" fillId="8" borderId="14" applyNumberFormat="0" applyAlignment="0" applyProtection="0"/>
    <xf numFmtId="0" fontId="40" fillId="8" borderId="14" applyNumberFormat="0" applyAlignment="0" applyProtection="0"/>
    <xf numFmtId="0" fontId="40" fillId="20"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8" borderId="14" applyNumberFormat="0" applyAlignment="0" applyProtection="0"/>
    <xf numFmtId="0" fontId="40" fillId="20" borderId="14" applyNumberFormat="0" applyAlignment="0" applyProtection="0"/>
    <xf numFmtId="0" fontId="40" fillId="8" borderId="14" applyNumberFormat="0" applyAlignment="0" applyProtection="0"/>
    <xf numFmtId="0" fontId="40" fillId="20" borderId="14" applyNumberFormat="0" applyAlignment="0" applyProtection="0"/>
    <xf numFmtId="0" fontId="40" fillId="20" borderId="14" applyNumberFormat="0" applyAlignment="0" applyProtection="0"/>
    <xf numFmtId="0" fontId="40" fillId="20" borderId="14" applyNumberFormat="0" applyAlignment="0" applyProtection="0"/>
    <xf numFmtId="0" fontId="40" fillId="20" borderId="14" applyNumberFormat="0" applyAlignment="0" applyProtection="0"/>
    <xf numFmtId="0" fontId="40" fillId="20" borderId="14" applyNumberFormat="0" applyAlignment="0" applyProtection="0"/>
    <xf numFmtId="0" fontId="31" fillId="29" borderId="0" applyNumberFormat="0" applyBorder="0" applyAlignment="0" applyProtection="0"/>
    <xf numFmtId="0" fontId="31" fillId="31" borderId="0" applyNumberFormat="0" applyBorder="0" applyAlignment="0" applyProtection="0"/>
    <xf numFmtId="0" fontId="31" fillId="32" borderId="0" applyNumberFormat="0" applyBorder="0" applyAlignment="0" applyProtection="0"/>
    <xf numFmtId="0" fontId="31" fillId="27" borderId="0" applyNumberFormat="0" applyBorder="0" applyAlignment="0" applyProtection="0"/>
    <xf numFmtId="0" fontId="31" fillId="25" borderId="0" applyNumberFormat="0" applyBorder="0" applyAlignment="0" applyProtection="0"/>
    <xf numFmtId="0" fontId="31" fillId="36" borderId="0" applyNumberFormat="0" applyBorder="0" applyAlignment="0" applyProtection="0"/>
    <xf numFmtId="0" fontId="43" fillId="17" borderId="24" applyNumberFormat="0" applyAlignment="0" applyProtection="0"/>
    <xf numFmtId="0" fontId="85" fillId="42" borderId="11" applyNumberFormat="0" applyAlignment="0" applyProtection="0"/>
    <xf numFmtId="0" fontId="33" fillId="17" borderId="14" applyNumberFormat="0" applyAlignment="0" applyProtection="0"/>
    <xf numFmtId="0" fontId="54" fillId="0" borderId="0">
      <alignment horizontal="right" vertical="top"/>
    </xf>
    <xf numFmtId="0" fontId="55" fillId="0" borderId="0">
      <alignment horizontal="justify" vertical="top" wrapText="1"/>
    </xf>
    <xf numFmtId="0" fontId="54" fillId="0" borderId="0">
      <alignment horizontal="left"/>
    </xf>
    <xf numFmtId="4" fontId="55" fillId="0" borderId="0">
      <alignment horizontal="right"/>
    </xf>
    <xf numFmtId="0" fontId="55" fillId="0" borderId="0">
      <alignment horizontal="right"/>
    </xf>
    <xf numFmtId="4" fontId="55" fillId="0" borderId="0">
      <alignment horizontal="right" wrapText="1"/>
    </xf>
    <xf numFmtId="0" fontId="55" fillId="0" borderId="0">
      <alignment horizontal="right"/>
    </xf>
    <xf numFmtId="4" fontId="55" fillId="0" borderId="0">
      <alignment horizontal="right"/>
    </xf>
    <xf numFmtId="169" fontId="67" fillId="0" borderId="0" applyFill="0" applyBorder="0" applyAlignment="0"/>
    <xf numFmtId="170" fontId="67" fillId="0" borderId="0" applyFill="0" applyBorder="0" applyAlignment="0"/>
    <xf numFmtId="169" fontId="67" fillId="0" borderId="0" applyFill="0" applyBorder="0" applyAlignment="0"/>
    <xf numFmtId="174" fontId="67" fillId="0" borderId="0" applyFill="0" applyBorder="0" applyAlignment="0"/>
    <xf numFmtId="170" fontId="67" fillId="0" borderId="0" applyFill="0" applyBorder="0" applyAlignment="0"/>
    <xf numFmtId="0" fontId="41" fillId="0" borderId="25" applyNumberFormat="0" applyFill="0" applyAlignment="0" applyProtection="0"/>
    <xf numFmtId="0" fontId="46" fillId="0" borderId="26"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41" fillId="0" borderId="25" applyNumberFormat="0" applyFill="0" applyAlignment="0" applyProtection="0"/>
    <xf numFmtId="0" fontId="32" fillId="6" borderId="0" applyNumberFormat="0" applyBorder="0" applyAlignment="0" applyProtection="0"/>
    <xf numFmtId="177" fontId="48" fillId="0" borderId="0" applyFont="0" applyFill="0" applyBorder="0" applyAlignment="0" applyProtection="0"/>
    <xf numFmtId="178" fontId="48" fillId="0" borderId="0" applyFont="0" applyFill="0" applyBorder="0" applyAlignment="0" applyProtection="0"/>
    <xf numFmtId="0" fontId="44" fillId="0" borderId="0" applyNumberFormat="0" applyFill="0" applyBorder="0" applyAlignment="0" applyProtection="0"/>
    <xf numFmtId="0" fontId="37" fillId="0" borderId="16" applyNumberFormat="0" applyFill="0" applyAlignment="0" applyProtection="0"/>
    <xf numFmtId="0" fontId="38" fillId="0" borderId="19" applyNumberFormat="0" applyFill="0" applyAlignment="0" applyProtection="0"/>
    <xf numFmtId="0" fontId="39" fillId="0" borderId="21" applyNumberFormat="0" applyFill="0" applyAlignment="0" applyProtection="0"/>
    <xf numFmtId="0" fontId="39" fillId="0" borderId="0" applyNumberFormat="0" applyFill="0" applyBorder="0" applyAlignment="0" applyProtection="0"/>
    <xf numFmtId="0" fontId="44" fillId="0" borderId="0" applyNumberFormat="0" applyFill="0" applyBorder="0" applyAlignment="0" applyProtection="0"/>
    <xf numFmtId="0" fontId="10" fillId="0" borderId="0"/>
    <xf numFmtId="0" fontId="42" fillId="21" borderId="0" applyNumberFormat="0" applyBorder="0" applyAlignment="0" applyProtection="0"/>
    <xf numFmtId="0" fontId="68" fillId="20"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68"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0" fontId="42" fillId="21" borderId="0" applyNumberFormat="0" applyBorder="0" applyAlignment="0" applyProtection="0"/>
    <xf numFmtId="179" fontId="69" fillId="0" borderId="0"/>
    <xf numFmtId="0" fontId="79" fillId="0" borderId="27"/>
    <xf numFmtId="0" fontId="21" fillId="0" borderId="0"/>
    <xf numFmtId="0" fontId="4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5" fillId="0" borderId="0"/>
    <xf numFmtId="0" fontId="10" fillId="0" borderId="0"/>
    <xf numFmtId="0" fontId="10"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75"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10" fillId="0" borderId="0"/>
    <xf numFmtId="0" fontId="10" fillId="0" borderId="0"/>
    <xf numFmtId="0" fontId="28" fillId="0" borderId="0"/>
    <xf numFmtId="0" fontId="13" fillId="0" borderId="0"/>
    <xf numFmtId="0" fontId="13" fillId="0" borderId="0"/>
    <xf numFmtId="0" fontId="13" fillId="0" borderId="0"/>
    <xf numFmtId="0" fontId="10" fillId="0" borderId="0"/>
    <xf numFmtId="0" fontId="13" fillId="0" borderId="0"/>
    <xf numFmtId="0" fontId="10" fillId="0" borderId="0"/>
    <xf numFmtId="0" fontId="10" fillId="0" borderId="0"/>
    <xf numFmtId="0" fontId="10" fillId="0" borderId="0"/>
    <xf numFmtId="0" fontId="12" fillId="0" borderId="0"/>
    <xf numFmtId="0" fontId="75" fillId="0" borderId="0"/>
    <xf numFmtId="0" fontId="10" fillId="0" borderId="0"/>
    <xf numFmtId="0" fontId="13" fillId="0" borderId="0"/>
    <xf numFmtId="0" fontId="17" fillId="0" borderId="0"/>
    <xf numFmtId="0" fontId="75" fillId="0" borderId="0"/>
    <xf numFmtId="0" fontId="17" fillId="0" borderId="0"/>
    <xf numFmtId="0" fontId="13" fillId="0" borderId="0"/>
    <xf numFmtId="0" fontId="10" fillId="0" borderId="0"/>
    <xf numFmtId="0" fontId="10" fillId="0" borderId="0"/>
    <xf numFmtId="0" fontId="28" fillId="0" borderId="0"/>
    <xf numFmtId="0" fontId="10" fillId="0" borderId="0"/>
    <xf numFmtId="0" fontId="13" fillId="0" borderId="0"/>
    <xf numFmtId="0" fontId="74" fillId="0" borderId="0"/>
    <xf numFmtId="0" fontId="13" fillId="0" borderId="0"/>
    <xf numFmtId="0" fontId="10" fillId="0" borderId="0"/>
    <xf numFmtId="0" fontId="13" fillId="0" borderId="0"/>
    <xf numFmtId="0" fontId="75" fillId="0" borderId="0"/>
    <xf numFmtId="0" fontId="13" fillId="0" borderId="0"/>
    <xf numFmtId="0" fontId="13" fillId="0" borderId="0"/>
    <xf numFmtId="0" fontId="13" fillId="0" borderId="0"/>
    <xf numFmtId="0" fontId="75" fillId="0" borderId="0"/>
    <xf numFmtId="0" fontId="8" fillId="0" borderId="0"/>
    <xf numFmtId="0" fontId="10" fillId="0" borderId="0"/>
    <xf numFmtId="0" fontId="10" fillId="0" borderId="0"/>
    <xf numFmtId="0" fontId="10" fillId="0" borderId="0"/>
    <xf numFmtId="0" fontId="10" fillId="0" borderId="0"/>
    <xf numFmtId="0" fontId="8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xf numFmtId="0" fontId="10" fillId="0" borderId="0"/>
    <xf numFmtId="0" fontId="10" fillId="0" borderId="0"/>
    <xf numFmtId="0" fontId="10" fillId="0" borderId="0"/>
    <xf numFmtId="0" fontId="10" fillId="0" borderId="0"/>
    <xf numFmtId="0" fontId="10" fillId="0" borderId="0"/>
    <xf numFmtId="0" fontId="8" fillId="0" borderId="0"/>
    <xf numFmtId="0" fontId="8" fillId="0" borderId="0"/>
    <xf numFmtId="0" fontId="10" fillId="0" borderId="0"/>
    <xf numFmtId="0" fontId="10" fillId="0" borderId="0"/>
    <xf numFmtId="0" fontId="10" fillId="0" borderId="0"/>
    <xf numFmtId="0" fontId="10" fillId="0" borderId="0"/>
    <xf numFmtId="0" fontId="12" fillId="0" borderId="0"/>
    <xf numFmtId="0" fontId="10" fillId="0" borderId="0"/>
    <xf numFmtId="0" fontId="10" fillId="0" borderId="0"/>
    <xf numFmtId="0" fontId="13" fillId="0" borderId="0"/>
    <xf numFmtId="0" fontId="77" fillId="0" borderId="0"/>
    <xf numFmtId="0" fontId="10" fillId="0" borderId="0"/>
    <xf numFmtId="43" fontId="71" fillId="0" borderId="0" applyFill="0" applyBorder="0" applyAlignment="0" applyProtection="0"/>
    <xf numFmtId="43" fontId="71" fillId="0" borderId="0" applyFill="0" applyBorder="0" applyAlignment="0" applyProtection="0"/>
    <xf numFmtId="43" fontId="71" fillId="0" borderId="0" applyFill="0" applyBorder="0" applyAlignment="0" applyProtection="0"/>
    <xf numFmtId="43" fontId="71" fillId="0" borderId="0" applyFill="0" applyBorder="0" applyAlignment="0" applyProtection="0"/>
    <xf numFmtId="43" fontId="71" fillId="0" borderId="0" applyFill="0" applyBorder="0" applyAlignment="0" applyProtection="0"/>
    <xf numFmtId="0" fontId="75" fillId="0" borderId="0"/>
    <xf numFmtId="43" fontId="71" fillId="0" borderId="0" applyFill="0" applyBorder="0" applyAlignment="0" applyProtection="0"/>
    <xf numFmtId="43" fontId="71" fillId="0" borderId="0" applyFill="0" applyBorder="0" applyAlignment="0" applyProtection="0"/>
    <xf numFmtId="43" fontId="71" fillId="0" borderId="0" applyFill="0" applyBorder="0" applyAlignment="0" applyProtection="0"/>
    <xf numFmtId="0" fontId="30" fillId="0" borderId="0"/>
    <xf numFmtId="0" fontId="10" fillId="0" borderId="0"/>
    <xf numFmtId="0" fontId="10" fillId="0" borderId="0"/>
    <xf numFmtId="0" fontId="8" fillId="0" borderId="0"/>
    <xf numFmtId="0" fontId="2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30" fillId="0" borderId="0"/>
    <xf numFmtId="0" fontId="10" fillId="0" borderId="0"/>
    <xf numFmtId="0" fontId="30" fillId="0" borderId="0"/>
    <xf numFmtId="0" fontId="30" fillId="0" borderId="0"/>
    <xf numFmtId="0" fontId="10" fillId="0" borderId="0"/>
    <xf numFmtId="0" fontId="10" fillId="0" borderId="0"/>
    <xf numFmtId="0" fontId="10" fillId="0" borderId="0"/>
    <xf numFmtId="0" fontId="30" fillId="0" borderId="0"/>
    <xf numFmtId="0" fontId="30" fillId="0" borderId="0"/>
    <xf numFmtId="0" fontId="10"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 fillId="0" borderId="0"/>
    <xf numFmtId="0" fontId="10" fillId="0" borderId="0"/>
    <xf numFmtId="0" fontId="10" fillId="0" borderId="0"/>
    <xf numFmtId="0" fontId="10" fillId="0" borderId="0"/>
    <xf numFmtId="166" fontId="12" fillId="0" borderId="0">
      <alignment horizontal="justify" vertical="top" wrapText="1"/>
    </xf>
    <xf numFmtId="0" fontId="10" fillId="0" borderId="0"/>
    <xf numFmtId="0" fontId="13" fillId="0" borderId="0"/>
    <xf numFmtId="0" fontId="10" fillId="0" borderId="0"/>
    <xf numFmtId="0" fontId="4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2" fillId="0" borderId="0"/>
    <xf numFmtId="0" fontId="12" fillId="0" borderId="0"/>
    <xf numFmtId="0" fontId="10" fillId="0" borderId="0"/>
    <xf numFmtId="0" fontId="10" fillId="0" borderId="0"/>
    <xf numFmtId="0" fontId="48" fillId="0" borderId="0"/>
    <xf numFmtId="0" fontId="10" fillId="0" borderId="0"/>
    <xf numFmtId="0" fontId="10" fillId="0" borderId="0"/>
    <xf numFmtId="0" fontId="10" fillId="0" borderId="0"/>
    <xf numFmtId="0" fontId="10" fillId="0" borderId="0"/>
    <xf numFmtId="0" fontId="10" fillId="0" borderId="0"/>
    <xf numFmtId="0" fontId="88" fillId="0" borderId="0"/>
    <xf numFmtId="0" fontId="10" fillId="0" borderId="0"/>
    <xf numFmtId="0" fontId="10" fillId="0" borderId="0"/>
    <xf numFmtId="0" fontId="10" fillId="0" borderId="0"/>
    <xf numFmtId="0" fontId="10" fillId="0" borderId="0"/>
    <xf numFmtId="0" fontId="10" fillId="0" borderId="0"/>
    <xf numFmtId="0" fontId="10" fillId="0" borderId="0"/>
    <xf numFmtId="0" fontId="8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4" fontId="50" fillId="0" borderId="0">
      <alignment horizontal="justify" vertical="justify"/>
    </xf>
    <xf numFmtId="4" fontId="14" fillId="0" borderId="0">
      <alignment horizontal="justify" vertical="justify"/>
    </xf>
    <xf numFmtId="4" fontId="51" fillId="0" borderId="0">
      <alignment horizontal="justify" vertical="top" wrapText="1"/>
    </xf>
    <xf numFmtId="4" fontId="15" fillId="0" borderId="0">
      <alignment horizontal="justify"/>
    </xf>
    <xf numFmtId="0" fontId="10" fillId="0" borderId="0"/>
    <xf numFmtId="0" fontId="26" fillId="0" borderId="0"/>
    <xf numFmtId="0" fontId="8" fillId="0" borderId="0"/>
    <xf numFmtId="0" fontId="10" fillId="0" borderId="0"/>
    <xf numFmtId="0" fontId="12" fillId="0" borderId="0"/>
    <xf numFmtId="0" fontId="71" fillId="0" borderId="0"/>
    <xf numFmtId="0" fontId="26" fillId="0" borderId="0"/>
    <xf numFmtId="0" fontId="10" fillId="0" borderId="0"/>
    <xf numFmtId="0" fontId="26" fillId="0" borderId="0"/>
    <xf numFmtId="0" fontId="10" fillId="0" borderId="0"/>
    <xf numFmtId="0" fontId="87" fillId="0" borderId="0"/>
    <xf numFmtId="0" fontId="26" fillId="0" borderId="0"/>
    <xf numFmtId="0" fontId="56" fillId="11" borderId="13" applyNumberFormat="0" applyFont="0" applyAlignment="0" applyProtection="0"/>
    <xf numFmtId="0" fontId="26" fillId="10"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11" borderId="13" applyNumberFormat="0" applyFont="0" applyAlignment="0" applyProtection="0"/>
    <xf numFmtId="0" fontId="10" fillId="0" borderId="0" applyProtection="0"/>
    <xf numFmtId="0" fontId="10" fillId="0" borderId="0" applyProtection="0"/>
    <xf numFmtId="0" fontId="10" fillId="0" borderId="0" applyProtection="0"/>
    <xf numFmtId="0" fontId="10" fillId="0" borderId="0" applyProtection="0"/>
    <xf numFmtId="0" fontId="10" fillId="0" borderId="0" applyProtection="0"/>
    <xf numFmtId="166" fontId="56" fillId="0" borderId="0"/>
    <xf numFmtId="0" fontId="17" fillId="0" borderId="0"/>
    <xf numFmtId="0" fontId="8" fillId="0" borderId="0"/>
    <xf numFmtId="186" fontId="30" fillId="0" borderId="0"/>
    <xf numFmtId="0" fontId="10" fillId="0" borderId="0"/>
    <xf numFmtId="0" fontId="53" fillId="0" borderId="0"/>
    <xf numFmtId="0" fontId="27" fillId="0" borderId="0"/>
    <xf numFmtId="0" fontId="10" fillId="0" borderId="0" applyProtection="0"/>
    <xf numFmtId="0" fontId="10" fillId="0" borderId="0" applyProtection="0"/>
    <xf numFmtId="0" fontId="10" fillId="0" borderId="0" applyProtection="0"/>
    <xf numFmtId="0" fontId="10" fillId="0" borderId="0" applyProtection="0"/>
    <xf numFmtId="0" fontId="10" fillId="0" borderId="0" applyProtection="0"/>
    <xf numFmtId="0" fontId="10" fillId="0" borderId="0" applyProtection="0"/>
    <xf numFmtId="0" fontId="10" fillId="0" borderId="0"/>
    <xf numFmtId="0" fontId="72" fillId="0" borderId="0"/>
    <xf numFmtId="0" fontId="8" fillId="0" borderId="0"/>
    <xf numFmtId="0" fontId="10" fillId="0" borderId="0" applyProtection="0"/>
    <xf numFmtId="0" fontId="10" fillId="0" borderId="0" applyProtection="0"/>
    <xf numFmtId="0" fontId="10" fillId="0" borderId="0" applyProtection="0"/>
    <xf numFmtId="0" fontId="10" fillId="0" borderId="0" applyProtection="0"/>
    <xf numFmtId="0" fontId="10" fillId="0" borderId="0" applyProtection="0"/>
    <xf numFmtId="0" fontId="27" fillId="0" borderId="0"/>
    <xf numFmtId="0" fontId="27" fillId="0" borderId="0"/>
    <xf numFmtId="0" fontId="10" fillId="0" borderId="0" applyProtection="0"/>
    <xf numFmtId="0" fontId="10" fillId="0" borderId="0" applyProtection="0"/>
    <xf numFmtId="0" fontId="8" fillId="0" borderId="0"/>
    <xf numFmtId="0" fontId="10" fillId="0" borderId="0"/>
    <xf numFmtId="9" fontId="10" fillId="0" borderId="0" applyFill="0" applyBorder="0" applyAlignment="0" applyProtection="0"/>
    <xf numFmtId="9" fontId="10" fillId="0" borderId="0" applyFill="0" applyBorder="0" applyAlignment="0" applyProtection="0"/>
    <xf numFmtId="0" fontId="43" fillId="17" borderId="24" applyNumberFormat="0" applyAlignment="0" applyProtection="0"/>
    <xf numFmtId="0" fontId="43" fillId="39" borderId="24" applyNumberFormat="0" applyAlignment="0" applyProtection="0"/>
    <xf numFmtId="0" fontId="43" fillId="5"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0" fontId="43" fillId="17" borderId="24" applyNumberFormat="0" applyAlignment="0" applyProtection="0"/>
    <xf numFmtId="173" fontId="10" fillId="0" borderId="0" applyFont="0" applyFill="0" applyBorder="0" applyAlignment="0" applyProtection="0"/>
    <xf numFmtId="180" fontId="10" fillId="0" borderId="0" applyFont="0" applyFill="0" applyBorder="0" applyAlignment="0" applyProtection="0"/>
    <xf numFmtId="10"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41" fillId="0" borderId="25" applyNumberFormat="0" applyFill="0" applyAlignment="0" applyProtection="0"/>
    <xf numFmtId="169" fontId="52" fillId="0" borderId="0" applyFill="0" applyBorder="0" applyAlignment="0"/>
    <xf numFmtId="170" fontId="52" fillId="0" borderId="0" applyFill="0" applyBorder="0" applyAlignment="0"/>
    <xf numFmtId="169" fontId="52" fillId="0" borderId="0" applyFill="0" applyBorder="0" applyAlignment="0"/>
    <xf numFmtId="174" fontId="52" fillId="0" borderId="0" applyFill="0" applyBorder="0" applyAlignment="0"/>
    <xf numFmtId="170" fontId="52" fillId="0" borderId="0" applyFill="0" applyBorder="0" applyAlignment="0"/>
    <xf numFmtId="0" fontId="34" fillId="40" borderId="15" applyNumberFormat="0" applyAlignment="0" applyProtection="0"/>
    <xf numFmtId="0" fontId="57" fillId="0" borderId="0"/>
    <xf numFmtId="0" fontId="80" fillId="0" borderId="0"/>
    <xf numFmtId="0" fontId="21" fillId="0" borderId="0"/>
    <xf numFmtId="0" fontId="21" fillId="0" borderId="0"/>
    <xf numFmtId="0" fontId="24" fillId="0" borderId="0"/>
    <xf numFmtId="0" fontId="35" fillId="0" borderId="0" applyNumberFormat="0" applyFill="0" applyBorder="0" applyAlignment="0" applyProtection="0"/>
    <xf numFmtId="0" fontId="46" fillId="0" borderId="0" applyNumberFormat="0" applyFill="0" applyBorder="0" applyAlignment="0" applyProtection="0"/>
    <xf numFmtId="0" fontId="58" fillId="0" borderId="0" applyNumberFormat="0" applyFill="0" applyBorder="0" applyAlignment="0" applyProtection="0"/>
    <xf numFmtId="49" fontId="27" fillId="0" borderId="0" applyFill="0" applyBorder="0" applyAlignment="0"/>
    <xf numFmtId="181" fontId="27" fillId="0" borderId="0" applyFill="0" applyBorder="0" applyAlignment="0"/>
    <xf numFmtId="182" fontId="27" fillId="0" borderId="0" applyFill="0" applyBorder="0" applyAlignment="0"/>
    <xf numFmtId="0" fontId="44" fillId="0" borderId="0" applyNumberFormat="0" applyFill="0" applyBorder="0" applyAlignment="0" applyProtection="0"/>
    <xf numFmtId="0" fontId="70"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5" fillId="0" borderId="28" applyNumberFormat="0" applyFill="0" applyAlignment="0" applyProtection="0"/>
    <xf numFmtId="0" fontId="45" fillId="0" borderId="29" applyNumberFormat="0" applyFill="0" applyAlignment="0" applyProtection="0"/>
    <xf numFmtId="0" fontId="45" fillId="0" borderId="30"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0" fontId="45" fillId="0" borderId="28" applyNumberFormat="0" applyFill="0" applyAlignment="0" applyProtection="0"/>
    <xf numFmtId="187" fontId="11" fillId="43" borderId="31">
      <alignment vertical="center"/>
    </xf>
    <xf numFmtId="187" fontId="11" fillId="43" borderId="31">
      <alignment vertical="center"/>
    </xf>
    <xf numFmtId="0" fontId="40" fillId="8" borderId="14" applyNumberFormat="0" applyAlignment="0" applyProtection="0"/>
    <xf numFmtId="188" fontId="89" fillId="0" borderId="0" applyFont="0" applyFill="0" applyBorder="0" applyAlignment="0" applyProtection="0"/>
    <xf numFmtId="183" fontId="10" fillId="0" borderId="0" applyFont="0" applyFill="0" applyBorder="0" applyAlignment="0" applyProtection="0"/>
    <xf numFmtId="184" fontId="10" fillId="0" borderId="0" applyFon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185" fontId="10" fillId="0" borderId="0" applyFont="0" applyFill="0" applyBorder="0" applyAlignment="0" applyProtection="0"/>
    <xf numFmtId="164" fontId="10" fillId="0" borderId="0" applyFont="0" applyFill="0" applyBorder="0" applyAlignment="0" applyProtection="0"/>
    <xf numFmtId="0" fontId="13" fillId="0" borderId="0"/>
    <xf numFmtId="0" fontId="10" fillId="0" borderId="0"/>
    <xf numFmtId="0" fontId="47" fillId="0" borderId="0">
      <alignment horizontal="justify" wrapText="1"/>
      <protection locked="0"/>
    </xf>
    <xf numFmtId="0" fontId="47" fillId="0" borderId="0">
      <alignment horizontal="justify" wrapText="1"/>
      <protection locked="0"/>
    </xf>
    <xf numFmtId="0" fontId="47" fillId="0" borderId="0">
      <alignment horizontal="left" wrapText="1" indent="1"/>
    </xf>
    <xf numFmtId="0" fontId="7" fillId="0" borderId="0"/>
    <xf numFmtId="0" fontId="7" fillId="0" borderId="0"/>
    <xf numFmtId="0" fontId="14" fillId="0" borderId="0">
      <alignment horizontal="left" vertical="top" wrapText="1"/>
    </xf>
    <xf numFmtId="0" fontId="14" fillId="0" borderId="0">
      <alignment horizontal="left" vertical="top" wrapText="1"/>
    </xf>
    <xf numFmtId="0" fontId="30" fillId="44" borderId="0" applyNumberFormat="0" applyBorder="0" applyAlignment="0" applyProtection="0"/>
    <xf numFmtId="0" fontId="30" fillId="44" borderId="0" applyNumberFormat="0" applyBorder="0" applyAlignment="0" applyProtection="0"/>
    <xf numFmtId="0" fontId="30" fillId="44" borderId="0" applyNumberFormat="0" applyBorder="0" applyAlignment="0" applyProtection="0"/>
    <xf numFmtId="0" fontId="10" fillId="45" borderId="13" applyNumberFormat="0" applyAlignment="0" applyProtection="0"/>
    <xf numFmtId="0" fontId="10" fillId="45" borderId="13" applyNumberFormat="0" applyAlignment="0" applyProtection="0"/>
    <xf numFmtId="0" fontId="10" fillId="45" borderId="13" applyNumberFormat="0" applyAlignment="0" applyProtection="0"/>
    <xf numFmtId="0" fontId="10" fillId="45" borderId="13" applyNumberFormat="0" applyAlignment="0" applyProtection="0"/>
    <xf numFmtId="189" fontId="10" fillId="0" borderId="0" applyFill="0" applyBorder="0" applyAlignment="0" applyProtection="0"/>
    <xf numFmtId="189" fontId="10" fillId="0" borderId="0" applyFill="0" applyBorder="0" applyAlignment="0" applyProtection="0"/>
    <xf numFmtId="189" fontId="10" fillId="0" borderId="0" applyFill="0" applyBorder="0" applyAlignment="0" applyProtection="0"/>
    <xf numFmtId="189" fontId="10" fillId="0" borderId="0" applyFill="0" applyBorder="0" applyAlignment="0" applyProtection="0"/>
    <xf numFmtId="189" fontId="10" fillId="0" borderId="0" applyFill="0" applyBorder="0" applyAlignment="0" applyProtection="0"/>
    <xf numFmtId="190" fontId="10" fillId="0" borderId="0" applyFill="0" applyBorder="0" applyAlignment="0" applyProtection="0"/>
    <xf numFmtId="189" fontId="10" fillId="0" borderId="0" applyFill="0" applyBorder="0" applyAlignment="0" applyProtection="0"/>
    <xf numFmtId="189" fontId="10" fillId="0" borderId="0" applyFill="0" applyBorder="0" applyAlignment="0" applyProtection="0"/>
    <xf numFmtId="164" fontId="13" fillId="0" borderId="0" applyFill="0" applyBorder="0" applyAlignment="0" applyProtection="0"/>
    <xf numFmtId="164" fontId="13" fillId="0" borderId="0" applyFill="0" applyBorder="0" applyAlignment="0" applyProtection="0"/>
    <xf numFmtId="164" fontId="13" fillId="0" borderId="0" applyFill="0" applyBorder="0" applyAlignment="0" applyProtection="0"/>
    <xf numFmtId="164" fontId="13" fillId="0" borderId="0" applyFill="0" applyBorder="0" applyAlignment="0" applyProtection="0"/>
    <xf numFmtId="164" fontId="13" fillId="0" borderId="0" applyFill="0" applyBorder="0" applyAlignment="0" applyProtection="0"/>
    <xf numFmtId="189" fontId="10" fillId="0" borderId="0" applyFill="0" applyBorder="0" applyAlignment="0" applyProtection="0"/>
    <xf numFmtId="189" fontId="10" fillId="0" borderId="0" applyFill="0" applyBorder="0" applyAlignment="0" applyProtection="0"/>
    <xf numFmtId="189" fontId="10" fillId="0" borderId="0" applyFill="0" applyBorder="0" applyAlignment="0" applyProtection="0"/>
    <xf numFmtId="189" fontId="10" fillId="0" borderId="0" applyFill="0" applyBorder="0" applyAlignment="0" applyProtection="0"/>
    <xf numFmtId="189" fontId="10" fillId="0" borderId="0" applyFill="0" applyBorder="0" applyAlignment="0" applyProtection="0"/>
    <xf numFmtId="189" fontId="10" fillId="0" borderId="0" applyFill="0" applyBorder="0" applyAlignment="0" applyProtection="0"/>
    <xf numFmtId="189" fontId="10" fillId="0" borderId="0" applyFill="0" applyBorder="0" applyAlignment="0" applyProtection="0"/>
    <xf numFmtId="189" fontId="10" fillId="0" borderId="0" applyFill="0" applyBorder="0" applyAlignment="0" applyProtection="0"/>
    <xf numFmtId="164" fontId="13" fillId="0" borderId="0" applyFill="0" applyBorder="0" applyAlignment="0" applyProtection="0"/>
    <xf numFmtId="191" fontId="30" fillId="0" borderId="0" applyFill="0" applyBorder="0" applyProtection="0">
      <alignment horizontal="justify" wrapText="1"/>
    </xf>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6" fillId="46" borderId="0" applyNumberFormat="0" applyBorder="0" applyAlignment="0" applyProtection="0"/>
    <xf numFmtId="0" fontId="30" fillId="0" borderId="0"/>
    <xf numFmtId="0" fontId="30" fillId="47" borderId="0" applyNumberFormat="0" applyBorder="0" applyProtection="0">
      <alignment horizontal="justify" vertical="top" wrapText="1"/>
    </xf>
    <xf numFmtId="0" fontId="36" fillId="46" borderId="0" applyNumberFormat="0" applyBorder="0" applyAlignment="0" applyProtection="0"/>
    <xf numFmtId="0" fontId="36" fillId="46" borderId="0" applyNumberFormat="0" applyBorder="0" applyAlignment="0" applyProtection="0"/>
    <xf numFmtId="0" fontId="43" fillId="48" borderId="24" applyNumberFormat="0" applyAlignment="0" applyProtection="0"/>
    <xf numFmtId="0" fontId="43" fillId="48" borderId="24" applyNumberFormat="0" applyAlignment="0" applyProtection="0"/>
    <xf numFmtId="0" fontId="43" fillId="48" borderId="24" applyNumberFormat="0" applyAlignment="0" applyProtection="0"/>
    <xf numFmtId="0" fontId="43" fillId="48" borderId="24" applyNumberFormat="0" applyAlignment="0" applyProtection="0"/>
    <xf numFmtId="0" fontId="10" fillId="0" borderId="0">
      <alignment horizontal="justify" vertical="top" wrapText="1"/>
    </xf>
    <xf numFmtId="0" fontId="44" fillId="0" borderId="0" applyNumberFormat="0" applyFill="0" applyBorder="0" applyAlignment="0" applyProtection="0"/>
    <xf numFmtId="0" fontId="12" fillId="0" borderId="0"/>
    <xf numFmtId="0" fontId="10" fillId="0" borderId="0"/>
    <xf numFmtId="0" fontId="23" fillId="0" borderId="0"/>
    <xf numFmtId="0" fontId="23" fillId="0" borderId="0"/>
    <xf numFmtId="0" fontId="47" fillId="0" borderId="0">
      <alignment horizontal="justify" wrapText="1"/>
    </xf>
    <xf numFmtId="0" fontId="47" fillId="0" borderId="0">
      <alignment horizontal="justify" vertical="top" wrapText="1"/>
    </xf>
    <xf numFmtId="0" fontId="10" fillId="0" borderId="0"/>
    <xf numFmtId="0" fontId="47" fillId="0" borderId="0">
      <alignment horizontal="justify" vertical="top" wrapText="1"/>
    </xf>
    <xf numFmtId="0" fontId="47" fillId="0" borderId="0">
      <alignment horizontal="justify" vertical="top" wrapText="1"/>
    </xf>
    <xf numFmtId="0" fontId="47" fillId="0" borderId="0">
      <alignment horizontal="justify" wrapText="1"/>
    </xf>
    <xf numFmtId="0" fontId="47" fillId="0" borderId="0">
      <alignment horizontal="justify" wrapText="1"/>
    </xf>
    <xf numFmtId="0" fontId="47" fillId="0" borderId="0">
      <alignment horizontal="justify" wrapText="1"/>
    </xf>
    <xf numFmtId="0" fontId="47" fillId="0" borderId="0">
      <alignment horizontal="justify" wrapText="1"/>
    </xf>
    <xf numFmtId="0" fontId="6" fillId="0" borderId="0"/>
    <xf numFmtId="0" fontId="6" fillId="0" borderId="0"/>
    <xf numFmtId="0" fontId="30" fillId="0" borderId="0"/>
    <xf numFmtId="0" fontId="10" fillId="0" borderId="0"/>
    <xf numFmtId="0" fontId="30" fillId="0" borderId="0"/>
    <xf numFmtId="0" fontId="30" fillId="0" borderId="0"/>
    <xf numFmtId="0" fontId="47" fillId="0" borderId="0">
      <alignment horizontal="justify" wrapText="1"/>
    </xf>
    <xf numFmtId="0" fontId="10" fillId="0" borderId="0"/>
    <xf numFmtId="0" fontId="47" fillId="0" borderId="0">
      <alignment horizontal="justify" wrapText="1"/>
    </xf>
    <xf numFmtId="0" fontId="47" fillId="0" borderId="0">
      <alignment horizontal="justify" wrapText="1"/>
    </xf>
    <xf numFmtId="0" fontId="6" fillId="0" borderId="0"/>
    <xf numFmtId="0" fontId="30" fillId="0" borderId="0"/>
    <xf numFmtId="0" fontId="47" fillId="0" borderId="0">
      <alignment horizontal="justify" wrapText="1"/>
    </xf>
    <xf numFmtId="0" fontId="47" fillId="0" borderId="0">
      <alignment horizontal="justify" wrapText="1"/>
    </xf>
    <xf numFmtId="0" fontId="47" fillId="0" borderId="0">
      <alignment horizontal="justify" wrapText="1"/>
    </xf>
    <xf numFmtId="0" fontId="47" fillId="0" borderId="0">
      <alignment horizontal="justify" wrapText="1"/>
    </xf>
    <xf numFmtId="0" fontId="47" fillId="0" borderId="0">
      <alignment horizontal="justify" wrapText="1"/>
      <protection locked="0"/>
    </xf>
    <xf numFmtId="0" fontId="47" fillId="0" borderId="0">
      <alignment horizontal="justify" wrapText="1"/>
    </xf>
    <xf numFmtId="0" fontId="47" fillId="0" borderId="0">
      <alignment horizontal="justify" wrapText="1"/>
    </xf>
    <xf numFmtId="0" fontId="47" fillId="0" borderId="0">
      <alignment horizontal="justify" wrapText="1"/>
    </xf>
    <xf numFmtId="0" fontId="47" fillId="0" borderId="0">
      <alignment horizontal="justify" wrapText="1"/>
      <protection locked="0"/>
    </xf>
    <xf numFmtId="0" fontId="47" fillId="0" borderId="0">
      <alignment horizontal="justify" wrapText="1"/>
      <protection locked="0"/>
    </xf>
    <xf numFmtId="0" fontId="47" fillId="0" borderId="0">
      <alignment horizontal="justify" wrapText="1"/>
      <protection locked="0"/>
    </xf>
    <xf numFmtId="0" fontId="23" fillId="0" borderId="0"/>
    <xf numFmtId="0" fontId="47" fillId="0" borderId="0">
      <alignment horizontal="justify" vertical="top" wrapText="1"/>
    </xf>
    <xf numFmtId="0" fontId="23" fillId="0" borderId="0"/>
    <xf numFmtId="0" fontId="10" fillId="0" borderId="0"/>
    <xf numFmtId="0" fontId="23" fillId="0" borderId="0"/>
    <xf numFmtId="0" fontId="23" fillId="0" borderId="0"/>
    <xf numFmtId="0" fontId="47" fillId="0" borderId="0">
      <alignment horizontal="justify" wrapText="1"/>
    </xf>
    <xf numFmtId="0" fontId="47" fillId="0" borderId="0">
      <alignment horizontal="justify" wrapText="1"/>
    </xf>
    <xf numFmtId="0" fontId="10" fillId="0" borderId="0"/>
    <xf numFmtId="0" fontId="6" fillId="0" borderId="0"/>
    <xf numFmtId="4" fontId="12" fillId="0" borderId="0"/>
    <xf numFmtId="4" fontId="12" fillId="0" borderId="0"/>
    <xf numFmtId="0" fontId="10" fillId="0" borderId="0"/>
    <xf numFmtId="0" fontId="25" fillId="0" borderId="0">
      <alignment horizontal="justify" wrapText="1"/>
    </xf>
    <xf numFmtId="0" fontId="25" fillId="0" borderId="0">
      <alignment horizontal="justify" wrapText="1"/>
    </xf>
    <xf numFmtId="0" fontId="47" fillId="0" borderId="0">
      <alignment horizontal="justify" wrapText="1"/>
      <protection locked="0"/>
    </xf>
    <xf numFmtId="0" fontId="25" fillId="0" borderId="0">
      <alignment horizontal="justify" wrapText="1"/>
    </xf>
    <xf numFmtId="0" fontId="47" fillId="0" borderId="0">
      <alignment horizontal="justify" wrapText="1"/>
      <protection locked="0"/>
    </xf>
    <xf numFmtId="0" fontId="25" fillId="0" borderId="0">
      <alignment horizontal="justify" wrapText="1"/>
    </xf>
    <xf numFmtId="0" fontId="47" fillId="0" borderId="0">
      <alignment horizontal="justify" wrapText="1"/>
      <protection locked="0"/>
    </xf>
    <xf numFmtId="0" fontId="47" fillId="0" borderId="0">
      <alignment horizontal="justify" wrapText="1"/>
      <protection locked="0"/>
    </xf>
    <xf numFmtId="0" fontId="47" fillId="0" borderId="0">
      <alignment horizontal="justify" wrapText="1"/>
      <protection locked="0"/>
    </xf>
    <xf numFmtId="0" fontId="47" fillId="0" borderId="0">
      <alignment horizontal="justify" wrapText="1"/>
      <protection locked="0"/>
    </xf>
    <xf numFmtId="0" fontId="90" fillId="0" borderId="0">
      <alignment horizontal="justify" vertical="top" wrapText="1"/>
    </xf>
    <xf numFmtId="0" fontId="30" fillId="0" borderId="0"/>
    <xf numFmtId="0" fontId="30" fillId="0" borderId="0"/>
    <xf numFmtId="0" fontId="30" fillId="0" borderId="0"/>
    <xf numFmtId="0" fontId="30" fillId="0" borderId="0"/>
    <xf numFmtId="0" fontId="90" fillId="0" borderId="0">
      <alignment horizontal="justify" vertical="top" wrapText="1"/>
    </xf>
    <xf numFmtId="0" fontId="10" fillId="0" borderId="0"/>
    <xf numFmtId="0" fontId="47" fillId="0" borderId="0">
      <alignment horizontal="justify" wrapText="1"/>
    </xf>
    <xf numFmtId="0" fontId="30" fillId="0" borderId="0">
      <alignment vertical="center"/>
    </xf>
    <xf numFmtId="0" fontId="10" fillId="45" borderId="13" applyNumberFormat="0" applyAlignment="0" applyProtection="0"/>
    <xf numFmtId="0" fontId="10" fillId="45" borderId="13" applyNumberFormat="0" applyAlignment="0" applyProtection="0"/>
    <xf numFmtId="168" fontId="56" fillId="0" borderId="0"/>
    <xf numFmtId="0" fontId="90" fillId="0" borderId="0">
      <alignment horizontal="justify" vertical="top" wrapText="1"/>
    </xf>
    <xf numFmtId="0" fontId="43" fillId="48" borderId="24" applyNumberFormat="0" applyAlignment="0" applyProtection="0"/>
    <xf numFmtId="0" fontId="43" fillId="48" borderId="24" applyNumberFormat="0" applyAlignment="0" applyProtection="0"/>
    <xf numFmtId="9" fontId="10" fillId="0" borderId="0" applyFill="0" applyBorder="0" applyAlignment="0" applyProtection="0"/>
    <xf numFmtId="9" fontId="10" fillId="0" borderId="0" applyFill="0" applyBorder="0" applyAlignment="0" applyProtection="0"/>
    <xf numFmtId="9" fontId="10" fillId="0" borderId="0" applyFill="0" applyBorder="0" applyAlignment="0" applyProtection="0"/>
    <xf numFmtId="9" fontId="10" fillId="0" borderId="0" applyFill="0" applyBorder="0" applyAlignment="0" applyProtection="0"/>
    <xf numFmtId="9" fontId="10" fillId="0" borderId="0" applyFill="0" applyBorder="0" applyAlignment="0" applyProtection="0"/>
    <xf numFmtId="0" fontId="10" fillId="0" borderId="0"/>
    <xf numFmtId="0" fontId="10" fillId="0" borderId="0"/>
    <xf numFmtId="0" fontId="46" fillId="0" borderId="0" applyNumberFormat="0" applyFill="0" applyBorder="0" applyAlignment="0" applyProtection="0"/>
    <xf numFmtId="189" fontId="10" fillId="0" borderId="0" applyFill="0" applyBorder="0" applyAlignment="0" applyProtection="0"/>
    <xf numFmtId="189" fontId="10" fillId="0" borderId="0" applyFill="0" applyBorder="0" applyAlignment="0" applyProtection="0"/>
    <xf numFmtId="0" fontId="5" fillId="0" borderId="0"/>
    <xf numFmtId="0" fontId="5" fillId="0" borderId="0"/>
    <xf numFmtId="0" fontId="4" fillId="0" borderId="0"/>
    <xf numFmtId="43" fontId="10" fillId="0" borderId="0" applyFont="0" applyFill="0" applyBorder="0" applyAlignment="0" applyProtection="0"/>
    <xf numFmtId="0" fontId="3" fillId="0" borderId="0"/>
    <xf numFmtId="0" fontId="2" fillId="0" borderId="0"/>
    <xf numFmtId="0" fontId="2" fillId="0" borderId="0"/>
    <xf numFmtId="164" fontId="92" fillId="0" borderId="0" applyFont="0" applyFill="0" applyBorder="0" applyAlignment="0" applyProtection="0"/>
    <xf numFmtId="43" fontId="10" fillId="0" borderId="0" applyFont="0" applyFill="0" applyBorder="0" applyAlignment="0" applyProtection="0"/>
    <xf numFmtId="4" fontId="93" fillId="0" borderId="0"/>
    <xf numFmtId="0" fontId="10" fillId="0" borderId="0"/>
    <xf numFmtId="0" fontId="30" fillId="0" borderId="0"/>
    <xf numFmtId="0" fontId="94" fillId="0" borderId="0"/>
    <xf numFmtId="0" fontId="10" fillId="0" borderId="0"/>
    <xf numFmtId="0" fontId="16" fillId="0" borderId="0"/>
    <xf numFmtId="0" fontId="16" fillId="0" borderId="0"/>
    <xf numFmtId="0" fontId="1" fillId="0" borderId="0"/>
    <xf numFmtId="0" fontId="98" fillId="0" borderId="0" applyNumberFormat="0" applyFill="0" applyBorder="0" applyAlignment="0" applyProtection="0"/>
    <xf numFmtId="9" fontId="10" fillId="0" borderId="0" applyFont="0" applyFill="0" applyBorder="0" applyAlignment="0" applyProtection="0"/>
    <xf numFmtId="0" fontId="1" fillId="0" borderId="0"/>
  </cellStyleXfs>
  <cellXfs count="260">
    <xf numFmtId="0" fontId="0" fillId="0" borderId="0" xfId="0"/>
    <xf numFmtId="0" fontId="95" fillId="0" borderId="0" xfId="37" applyFont="1"/>
    <xf numFmtId="0" fontId="96" fillId="0" borderId="0" xfId="37" applyFont="1" applyAlignment="1">
      <alignment horizontal="right"/>
    </xf>
    <xf numFmtId="0" fontId="95" fillId="0" borderId="0" xfId="37" applyFont="1" applyAlignment="1">
      <alignment horizontal="right"/>
    </xf>
    <xf numFmtId="0" fontId="96" fillId="0" borderId="0" xfId="37" applyFont="1" applyAlignment="1">
      <alignment horizontal="right" wrapText="1"/>
    </xf>
    <xf numFmtId="0" fontId="97" fillId="0" borderId="0" xfId="37" applyFont="1"/>
    <xf numFmtId="9" fontId="95" fillId="0" borderId="0" xfId="2516" applyFont="1"/>
    <xf numFmtId="49" fontId="91" fillId="0" borderId="0" xfId="1925" applyNumberFormat="1" applyFont="1" applyAlignment="1">
      <alignment horizontal="left"/>
    </xf>
    <xf numFmtId="49" fontId="91" fillId="0" borderId="0" xfId="1925" applyNumberFormat="1" applyFont="1"/>
    <xf numFmtId="49" fontId="91" fillId="0" borderId="0" xfId="1925" applyNumberFormat="1" applyFont="1" applyAlignment="1">
      <alignment wrapText="1"/>
    </xf>
    <xf numFmtId="0" fontId="106" fillId="0" borderId="0" xfId="37" applyFont="1" applyAlignment="1">
      <alignment horizontal="left" indent="12"/>
    </xf>
    <xf numFmtId="0" fontId="95" fillId="0" borderId="0" xfId="37" applyFont="1" applyAlignment="1">
      <alignment vertical="top"/>
    </xf>
    <xf numFmtId="49" fontId="109" fillId="0" borderId="0" xfId="0" applyNumberFormat="1" applyFont="1" applyAlignment="1">
      <alignment horizontal="right" vertical="center"/>
    </xf>
    <xf numFmtId="49" fontId="110" fillId="0" borderId="0" xfId="0" applyNumberFormat="1" applyFont="1" applyAlignment="1">
      <alignment horizontal="justify" vertical="center" wrapText="1"/>
    </xf>
    <xf numFmtId="49" fontId="110" fillId="0" borderId="0" xfId="0" applyNumberFormat="1" applyFont="1" applyAlignment="1">
      <alignment horizontal="center" vertical="center"/>
    </xf>
    <xf numFmtId="4" fontId="110" fillId="0" borderId="0" xfId="0" applyNumberFormat="1" applyFont="1" applyAlignment="1">
      <alignment horizontal="right" vertical="center"/>
    </xf>
    <xf numFmtId="4" fontId="110" fillId="0" borderId="0" xfId="0" applyNumberFormat="1" applyFont="1" applyAlignment="1">
      <alignment horizontal="right"/>
    </xf>
    <xf numFmtId="0" fontId="110" fillId="0" borderId="0" xfId="0" applyFont="1"/>
    <xf numFmtId="0" fontId="111" fillId="0" borderId="0" xfId="0" applyFont="1" applyAlignment="1">
      <alignment horizontal="center" wrapText="1"/>
    </xf>
    <xf numFmtId="0" fontId="109" fillId="0" borderId="2" xfId="0" applyFont="1" applyBorder="1" applyAlignment="1">
      <alignment horizontal="left" vertical="top"/>
    </xf>
    <xf numFmtId="0" fontId="110" fillId="0" borderId="2" xfId="0" applyFont="1" applyBorder="1" applyAlignment="1">
      <alignment horizontal="left" vertical="top"/>
    </xf>
    <xf numFmtId="0" fontId="110" fillId="0" borderId="0" xfId="0" applyFont="1" applyAlignment="1">
      <alignment horizontal="left"/>
    </xf>
    <xf numFmtId="49" fontId="110" fillId="0" borderId="0" xfId="0" applyNumberFormat="1" applyFont="1" applyAlignment="1">
      <alignment horizontal="left" vertical="center"/>
    </xf>
    <xf numFmtId="0" fontId="112" fillId="0" borderId="0" xfId="0" applyFont="1" applyAlignment="1">
      <alignment horizontal="justify" vertical="top"/>
    </xf>
    <xf numFmtId="0" fontId="110" fillId="0" borderId="0" xfId="0" applyFont="1" applyAlignment="1">
      <alignment horizontal="justify" vertical="top"/>
    </xf>
    <xf numFmtId="49" fontId="110" fillId="0" borderId="0" xfId="0" applyNumberFormat="1" applyFont="1" applyAlignment="1">
      <alignment vertical="center"/>
    </xf>
    <xf numFmtId="0" fontId="112" fillId="0" borderId="0" xfId="0" applyFont="1" applyAlignment="1">
      <alignment horizontal="justify" vertical="top" wrapText="1"/>
    </xf>
    <xf numFmtId="0" fontId="112" fillId="0" borderId="0" xfId="0" applyFont="1" applyAlignment="1">
      <alignment horizontal="right" vertical="top"/>
    </xf>
    <xf numFmtId="0" fontId="112" fillId="0" borderId="0" xfId="0" applyFont="1" applyAlignment="1">
      <alignment horizontal="left" vertical="top" wrapText="1"/>
    </xf>
    <xf numFmtId="49" fontId="112" fillId="0" borderId="0" xfId="0" applyNumberFormat="1" applyFont="1" applyAlignment="1">
      <alignment horizontal="justify" vertical="top"/>
    </xf>
    <xf numFmtId="0" fontId="112" fillId="0" borderId="0" xfId="0" applyFont="1" applyAlignment="1">
      <alignment vertical="top"/>
    </xf>
    <xf numFmtId="0" fontId="113" fillId="0" borderId="2" xfId="0" applyFont="1" applyBorder="1" applyAlignment="1">
      <alignment horizontal="justify" vertical="top"/>
    </xf>
    <xf numFmtId="49" fontId="113" fillId="0" borderId="0" xfId="0" applyNumberFormat="1" applyFont="1" applyAlignment="1">
      <alignment vertical="center"/>
    </xf>
    <xf numFmtId="3" fontId="110" fillId="0" borderId="0" xfId="0" applyNumberFormat="1" applyFont="1" applyAlignment="1">
      <alignment horizontal="right" vertical="center"/>
    </xf>
    <xf numFmtId="49" fontId="114" fillId="0" borderId="0" xfId="0" applyNumberFormat="1" applyFont="1" applyAlignment="1">
      <alignment vertical="center"/>
    </xf>
    <xf numFmtId="49" fontId="110" fillId="0" borderId="0" xfId="0" applyNumberFormat="1" applyFont="1" applyAlignment="1">
      <alignment horizontal="justify" vertical="top"/>
    </xf>
    <xf numFmtId="49" fontId="110" fillId="0" borderId="0" xfId="0" applyNumberFormat="1" applyFont="1" applyAlignment="1">
      <alignment horizontal="justify" vertical="top" wrapText="1"/>
    </xf>
    <xf numFmtId="4" fontId="110" fillId="0" borderId="0" xfId="0" applyNumberFormat="1" applyFont="1" applyAlignment="1">
      <alignment horizontal="justify" vertical="top"/>
    </xf>
    <xf numFmtId="49" fontId="111" fillId="0" borderId="0" xfId="0" applyNumberFormat="1" applyFont="1" applyAlignment="1">
      <alignment horizontal="center" vertical="top" wrapText="1"/>
    </xf>
    <xf numFmtId="49" fontId="111" fillId="0" borderId="0" xfId="0" applyNumberFormat="1" applyFont="1" applyAlignment="1">
      <alignment horizontal="right" vertical="top"/>
    </xf>
    <xf numFmtId="49" fontId="112" fillId="0" borderId="0" xfId="0" applyNumberFormat="1" applyFont="1" applyAlignment="1">
      <alignment horizontal="center" vertical="top"/>
    </xf>
    <xf numFmtId="4" fontId="110" fillId="0" borderId="0" xfId="0" applyNumberFormat="1" applyFont="1" applyAlignment="1">
      <alignment horizontal="right" vertical="top"/>
    </xf>
    <xf numFmtId="0" fontId="111" fillId="0" borderId="0" xfId="0" applyFont="1" applyAlignment="1">
      <alignment horizontal="left" vertical="top"/>
    </xf>
    <xf numFmtId="0" fontId="111" fillId="0" borderId="0" xfId="0" applyFont="1" applyAlignment="1">
      <alignment vertical="top" wrapText="1"/>
    </xf>
    <xf numFmtId="49" fontId="112" fillId="0" borderId="0" xfId="0" applyNumberFormat="1" applyFont="1" applyAlignment="1">
      <alignment horizontal="justify" vertical="top" wrapText="1"/>
    </xf>
    <xf numFmtId="4" fontId="112" fillId="0" borderId="0" xfId="0" applyNumberFormat="1" applyFont="1" applyAlignment="1">
      <alignment horizontal="justify" vertical="top"/>
    </xf>
    <xf numFmtId="0" fontId="111" fillId="0" borderId="2" xfId="0" applyFont="1" applyBorder="1" applyAlignment="1">
      <alignment horizontal="left" vertical="top"/>
    </xf>
    <xf numFmtId="0" fontId="111" fillId="0" borderId="2" xfId="0" applyFont="1" applyBorder="1" applyAlignment="1">
      <alignment horizontal="justify" vertical="top"/>
    </xf>
    <xf numFmtId="0" fontId="112" fillId="0" borderId="2" xfId="0" applyFont="1" applyBorder="1" applyAlignment="1">
      <alignment horizontal="justify" vertical="top"/>
    </xf>
    <xf numFmtId="4" fontId="112" fillId="0" borderId="2" xfId="0" applyNumberFormat="1" applyFont="1" applyBorder="1" applyAlignment="1">
      <alignment horizontal="justify" vertical="top"/>
    </xf>
    <xf numFmtId="0" fontId="112" fillId="0" borderId="0" xfId="0" applyFont="1" applyAlignment="1">
      <alignment vertical="top" wrapText="1"/>
    </xf>
    <xf numFmtId="0" fontId="112" fillId="0" borderId="0" xfId="0" applyFont="1" applyAlignment="1">
      <alignment horizontal="center" wrapText="1"/>
    </xf>
    <xf numFmtId="0" fontId="112" fillId="0" borderId="0" xfId="0" applyFont="1" applyAlignment="1">
      <alignment horizontal="left" vertical="top"/>
    </xf>
    <xf numFmtId="4" fontId="112" fillId="0" borderId="0" xfId="0" applyNumberFormat="1" applyFont="1" applyAlignment="1">
      <alignment horizontal="center" vertical="top"/>
    </xf>
    <xf numFmtId="4" fontId="112" fillId="0" borderId="0" xfId="0" applyNumberFormat="1" applyFont="1" applyAlignment="1">
      <alignment horizontal="center" vertical="top" wrapText="1"/>
    </xf>
    <xf numFmtId="49" fontId="111" fillId="0" borderId="0" xfId="0" applyNumberFormat="1" applyFont="1" applyAlignment="1">
      <alignment horizontal="left" vertical="top"/>
    </xf>
    <xf numFmtId="49" fontId="112" fillId="0" borderId="0" xfId="0" applyNumberFormat="1" applyFont="1" applyAlignment="1">
      <alignment horizontal="left" vertical="top"/>
    </xf>
    <xf numFmtId="0" fontId="110" fillId="0" borderId="0" xfId="0" applyFont="1" applyAlignment="1">
      <alignment horizontal="justify" vertical="top" wrapText="1"/>
    </xf>
    <xf numFmtId="0" fontId="116" fillId="0" borderId="2" xfId="0" applyFont="1" applyBorder="1" applyAlignment="1">
      <alignment horizontal="left" vertical="top"/>
    </xf>
    <xf numFmtId="0" fontId="112" fillId="0" borderId="2" xfId="0" applyFont="1" applyBorder="1" applyAlignment="1">
      <alignment horizontal="justify" vertical="top" wrapText="1"/>
    </xf>
    <xf numFmtId="49" fontId="112" fillId="0" borderId="2" xfId="0" applyNumberFormat="1" applyFont="1" applyBorder="1" applyAlignment="1">
      <alignment horizontal="center" vertical="top"/>
    </xf>
    <xf numFmtId="4" fontId="110" fillId="0" borderId="2" xfId="0" applyNumberFormat="1" applyFont="1" applyBorder="1" applyAlignment="1">
      <alignment horizontal="right" vertical="top"/>
    </xf>
    <xf numFmtId="4" fontId="114" fillId="0" borderId="2" xfId="0" applyNumberFormat="1" applyFont="1" applyBorder="1" applyAlignment="1">
      <alignment horizontal="right" vertical="top"/>
    </xf>
    <xf numFmtId="0" fontId="114" fillId="0" borderId="0" xfId="0" applyFont="1" applyAlignment="1">
      <alignment horizontal="justify" vertical="top" wrapText="1"/>
    </xf>
    <xf numFmtId="0" fontId="111" fillId="0" borderId="0" xfId="0" applyFont="1" applyAlignment="1">
      <alignment horizontal="left" vertical="top" wrapText="1"/>
    </xf>
    <xf numFmtId="49" fontId="112" fillId="0" borderId="0" xfId="0" applyNumberFormat="1" applyFont="1" applyAlignment="1">
      <alignment vertical="top"/>
    </xf>
    <xf numFmtId="49" fontId="112" fillId="0" borderId="0" xfId="0" applyNumberFormat="1" applyFont="1" applyAlignment="1">
      <alignment vertical="top" wrapText="1"/>
    </xf>
    <xf numFmtId="49" fontId="112" fillId="0" borderId="0" xfId="0" applyNumberFormat="1" applyFont="1" applyAlignment="1">
      <alignment horizontal="left" vertical="top" wrapText="1"/>
    </xf>
    <xf numFmtId="49" fontId="111" fillId="0" borderId="0" xfId="0" applyNumberFormat="1" applyFont="1" applyAlignment="1">
      <alignment horizontal="center" vertical="top"/>
    </xf>
    <xf numFmtId="0" fontId="109" fillId="0" borderId="2" xfId="0" applyFont="1" applyBorder="1" applyAlignment="1">
      <alignment horizontal="justify" vertical="top"/>
    </xf>
    <xf numFmtId="4" fontId="113" fillId="0" borderId="2" xfId="0" applyNumberFormat="1" applyFont="1" applyBorder="1" applyAlignment="1">
      <alignment horizontal="justify" vertical="top"/>
    </xf>
    <xf numFmtId="0" fontId="111" fillId="0" borderId="0" xfId="0" applyFont="1" applyAlignment="1">
      <alignment vertical="top"/>
    </xf>
    <xf numFmtId="49" fontId="112" fillId="0" borderId="0" xfId="0" applyNumberFormat="1" applyFont="1" applyAlignment="1">
      <alignment horizontal="right" vertical="top"/>
    </xf>
    <xf numFmtId="4" fontId="112" fillId="0" borderId="0" xfId="0" applyNumberFormat="1" applyFont="1" applyAlignment="1">
      <alignment horizontal="right" vertical="top"/>
    </xf>
    <xf numFmtId="0" fontId="111" fillId="0" borderId="0" xfId="0" applyFont="1" applyAlignment="1">
      <alignment horizontal="left"/>
    </xf>
    <xf numFmtId="0" fontId="112" fillId="0" borderId="0" xfId="0" applyFont="1" applyAlignment="1">
      <alignment horizontal="right" vertical="top" wrapText="1"/>
    </xf>
    <xf numFmtId="0" fontId="112" fillId="0" borderId="0" xfId="0" applyFont="1" applyAlignment="1">
      <alignment horizontal="left" wrapText="1"/>
    </xf>
    <xf numFmtId="0" fontId="111" fillId="0" borderId="0" xfId="0" applyFont="1" applyAlignment="1">
      <alignment horizontal="justify" vertical="top"/>
    </xf>
    <xf numFmtId="0" fontId="110" fillId="0" borderId="2" xfId="0" applyFont="1" applyBorder="1" applyAlignment="1">
      <alignment horizontal="justify" vertical="top"/>
    </xf>
    <xf numFmtId="4" fontId="110" fillId="0" borderId="2" xfId="0" applyNumberFormat="1" applyFont="1" applyBorder="1" applyAlignment="1">
      <alignment horizontal="justify" vertical="top"/>
    </xf>
    <xf numFmtId="0" fontId="112" fillId="0" borderId="0" xfId="0" applyFont="1" applyAlignment="1">
      <alignment horizontal="right" wrapText="1"/>
    </xf>
    <xf numFmtId="0" fontId="112" fillId="0" borderId="0" xfId="0" applyFont="1" applyAlignment="1">
      <alignment horizontal="justify" wrapText="1"/>
    </xf>
    <xf numFmtId="49" fontId="109" fillId="0" borderId="2" xfId="0" applyNumberFormat="1" applyFont="1" applyBorder="1" applyAlignment="1">
      <alignment horizontal="left" vertical="top"/>
    </xf>
    <xf numFmtId="49" fontId="109" fillId="0" borderId="2" xfId="0" applyNumberFormat="1" applyFont="1" applyBorder="1" applyAlignment="1">
      <alignment horizontal="justify" vertical="top"/>
    </xf>
    <xf numFmtId="49" fontId="111" fillId="0" borderId="0" xfId="0" applyNumberFormat="1" applyFont="1" applyAlignment="1">
      <alignment horizontal="justify" vertical="top"/>
    </xf>
    <xf numFmtId="49" fontId="113" fillId="0" borderId="0" xfId="0" applyNumberFormat="1" applyFont="1" applyAlignment="1">
      <alignment horizontal="justify" vertical="top"/>
    </xf>
    <xf numFmtId="49" fontId="113" fillId="0" borderId="0" xfId="0" applyNumberFormat="1" applyFont="1" applyAlignment="1">
      <alignment horizontal="justify" vertical="top" wrapText="1"/>
    </xf>
    <xf numFmtId="4" fontId="111" fillId="0" borderId="2" xfId="0" applyNumberFormat="1" applyFont="1" applyBorder="1" applyAlignment="1">
      <alignment horizontal="justify" vertical="top"/>
    </xf>
    <xf numFmtId="49" fontId="109" fillId="0" borderId="0" xfId="0" applyNumberFormat="1" applyFont="1" applyAlignment="1">
      <alignment vertical="center"/>
    </xf>
    <xf numFmtId="4" fontId="111" fillId="0" borderId="0" xfId="0" applyNumberFormat="1" applyFont="1" applyAlignment="1">
      <alignment horizontal="justify" vertical="top"/>
    </xf>
    <xf numFmtId="4" fontId="113" fillId="0" borderId="0" xfId="0" applyNumberFormat="1" applyFont="1" applyAlignment="1">
      <alignment vertical="center"/>
    </xf>
    <xf numFmtId="0" fontId="112" fillId="0" borderId="0" xfId="0" applyFont="1" applyAlignment="1">
      <alignment horizontal="right"/>
    </xf>
    <xf numFmtId="0" fontId="112" fillId="0" borderId="0" xfId="0" applyFont="1" applyAlignment="1">
      <alignment horizontal="left"/>
    </xf>
    <xf numFmtId="4" fontId="112" fillId="0" borderId="0" xfId="0" applyNumberFormat="1" applyFont="1" applyAlignment="1">
      <alignment horizontal="left"/>
    </xf>
    <xf numFmtId="0" fontId="110" fillId="0" borderId="0" xfId="0" applyFont="1" applyAlignment="1">
      <alignment horizontal="justify" vertical="justify" wrapText="1"/>
    </xf>
    <xf numFmtId="49" fontId="111" fillId="0" borderId="0" xfId="0" applyNumberFormat="1" applyFont="1" applyAlignment="1">
      <alignment horizontal="center" vertical="center" wrapText="1"/>
    </xf>
    <xf numFmtId="49" fontId="117" fillId="0" borderId="0" xfId="0" applyNumberFormat="1" applyFont="1" applyAlignment="1">
      <alignment horizontal="center" vertical="center" wrapText="1"/>
    </xf>
    <xf numFmtId="49" fontId="117" fillId="0" borderId="35" xfId="0" applyNumberFormat="1" applyFont="1" applyBorder="1" applyAlignment="1">
      <alignment horizontal="center" wrapText="1"/>
    </xf>
    <xf numFmtId="4" fontId="117" fillId="0" borderId="35" xfId="0" applyNumberFormat="1" applyFont="1" applyBorder="1" applyAlignment="1">
      <alignment horizontal="center" wrapText="1"/>
    </xf>
    <xf numFmtId="49" fontId="117" fillId="0" borderId="6" xfId="0" applyNumberFormat="1" applyFont="1" applyBorder="1" applyAlignment="1">
      <alignment horizontal="justify" vertical="center" wrapText="1"/>
    </xf>
    <xf numFmtId="49" fontId="117" fillId="0" borderId="36" xfId="0" applyNumberFormat="1" applyFont="1" applyBorder="1" applyAlignment="1">
      <alignment horizontal="center"/>
    </xf>
    <xf numFmtId="4" fontId="117" fillId="0" borderId="36" xfId="0" applyNumberFormat="1" applyFont="1" applyBorder="1" applyAlignment="1">
      <alignment horizontal="right"/>
    </xf>
    <xf numFmtId="49" fontId="117" fillId="0" borderId="0" xfId="0" applyNumberFormat="1" applyFont="1" applyAlignment="1">
      <alignment vertical="center"/>
    </xf>
    <xf numFmtId="49" fontId="118" fillId="0" borderId="0" xfId="0" applyNumberFormat="1" applyFont="1" applyAlignment="1">
      <alignment horizontal="left" vertical="center"/>
    </xf>
    <xf numFmtId="49" fontId="117" fillId="0" borderId="0" xfId="0" applyNumberFormat="1" applyFont="1" applyAlignment="1">
      <alignment horizontal="justify" vertical="center" wrapText="1"/>
    </xf>
    <xf numFmtId="49" fontId="117" fillId="0" borderId="35" xfId="0" applyNumberFormat="1" applyFont="1" applyBorder="1" applyAlignment="1">
      <alignment horizontal="center"/>
    </xf>
    <xf numFmtId="4" fontId="117" fillId="0" borderId="35" xfId="0" applyNumberFormat="1" applyFont="1" applyBorder="1" applyAlignment="1">
      <alignment horizontal="right"/>
    </xf>
    <xf numFmtId="49" fontId="118" fillId="0" borderId="35" xfId="0" applyNumberFormat="1" applyFont="1" applyBorder="1"/>
    <xf numFmtId="4" fontId="118" fillId="0" borderId="35" xfId="0" applyNumberFormat="1" applyFont="1" applyBorder="1"/>
    <xf numFmtId="49" fontId="118" fillId="0" borderId="0" xfId="0" applyNumberFormat="1" applyFont="1" applyAlignment="1">
      <alignment vertical="center"/>
    </xf>
    <xf numFmtId="49" fontId="118" fillId="0" borderId="0" xfId="0" applyNumberFormat="1" applyFont="1" applyAlignment="1">
      <alignment horizontal="left" vertical="center" wrapText="1"/>
    </xf>
    <xf numFmtId="49" fontId="118" fillId="0" borderId="35" xfId="0" applyNumberFormat="1" applyFont="1" applyBorder="1" applyAlignment="1">
      <alignment horizontal="left" wrapText="1"/>
    </xf>
    <xf numFmtId="4" fontId="117" fillId="0" borderId="35" xfId="0" applyNumberFormat="1" applyFont="1" applyBorder="1" applyAlignment="1">
      <alignment horizontal="left" wrapText="1"/>
    </xf>
    <xf numFmtId="0" fontId="117" fillId="0" borderId="0" xfId="0" applyFont="1" applyAlignment="1">
      <alignment vertical="top" wrapText="1"/>
    </xf>
    <xf numFmtId="0" fontId="117" fillId="0" borderId="0" xfId="0" applyFont="1" applyAlignment="1">
      <alignment horizontal="justify" vertical="top" wrapText="1"/>
    </xf>
    <xf numFmtId="0" fontId="117" fillId="0" borderId="35" xfId="0" applyFont="1" applyBorder="1" applyAlignment="1">
      <alignment wrapText="1"/>
    </xf>
    <xf numFmtId="0" fontId="117" fillId="0" borderId="35" xfId="0" applyFont="1" applyBorder="1" applyAlignment="1">
      <alignment horizontal="center" wrapText="1"/>
    </xf>
    <xf numFmtId="0" fontId="118" fillId="0" borderId="0" xfId="0" applyFont="1" applyAlignment="1">
      <alignment horizontal="justify" vertical="top" wrapText="1"/>
    </xf>
    <xf numFmtId="0" fontId="118" fillId="0" borderId="35" xfId="0" applyFont="1" applyBorder="1" applyAlignment="1">
      <alignment horizontal="justify" wrapText="1"/>
    </xf>
    <xf numFmtId="4" fontId="118" fillId="0" borderId="35" xfId="0" applyNumberFormat="1" applyFont="1" applyBorder="1" applyAlignment="1">
      <alignment horizontal="justify" wrapText="1"/>
    </xf>
    <xf numFmtId="49" fontId="118" fillId="0" borderId="6" xfId="0" applyNumberFormat="1" applyFont="1" applyBorder="1" applyAlignment="1">
      <alignment horizontal="left" vertical="center" wrapText="1"/>
    </xf>
    <xf numFmtId="49" fontId="118" fillId="0" borderId="36" xfId="0" applyNumberFormat="1" applyFont="1" applyBorder="1" applyAlignment="1">
      <alignment horizontal="left" wrapText="1"/>
    </xf>
    <xf numFmtId="49" fontId="118" fillId="0" borderId="6" xfId="0" applyNumberFormat="1" applyFont="1" applyBorder="1" applyAlignment="1">
      <alignment vertical="center"/>
    </xf>
    <xf numFmtId="49" fontId="117" fillId="0" borderId="0" xfId="0" applyNumberFormat="1" applyFont="1" applyAlignment="1">
      <alignment horizontal="left" vertical="center"/>
    </xf>
    <xf numFmtId="49" fontId="117" fillId="0" borderId="35" xfId="0" applyNumberFormat="1" applyFont="1" applyBorder="1" applyAlignment="1">
      <alignment horizontal="right"/>
    </xf>
    <xf numFmtId="49" fontId="118" fillId="0" borderId="0" xfId="0" applyNumberFormat="1" applyFont="1" applyAlignment="1">
      <alignment vertical="top" wrapText="1"/>
    </xf>
    <xf numFmtId="49" fontId="118" fillId="0" borderId="35" xfId="0" applyNumberFormat="1" applyFont="1" applyBorder="1" applyAlignment="1">
      <alignment wrapText="1"/>
    </xf>
    <xf numFmtId="0" fontId="117" fillId="0" borderId="0" xfId="0" applyFont="1" applyAlignment="1">
      <alignment wrapText="1"/>
    </xf>
    <xf numFmtId="0" fontId="117" fillId="0" borderId="0" xfId="0" applyFont="1" applyAlignment="1">
      <alignment horizontal="left" wrapText="1"/>
    </xf>
    <xf numFmtId="0" fontId="117" fillId="0" borderId="35" xfId="0" applyFont="1" applyBorder="1" applyAlignment="1">
      <alignment horizontal="left" wrapText="1"/>
    </xf>
    <xf numFmtId="0" fontId="117" fillId="0" borderId="0" xfId="0" applyFont="1" applyAlignment="1">
      <alignment horizontal="left" vertical="top" wrapText="1"/>
    </xf>
    <xf numFmtId="0" fontId="118" fillId="0" borderId="0" xfId="0" applyFont="1" applyAlignment="1">
      <alignment horizontal="left" vertical="top" wrapText="1"/>
    </xf>
    <xf numFmtId="49" fontId="118" fillId="0" borderId="0" xfId="0" applyNumberFormat="1" applyFont="1" applyAlignment="1">
      <alignment horizontal="center" vertical="center"/>
    </xf>
    <xf numFmtId="0" fontId="117" fillId="0" borderId="33" xfId="0" applyFont="1" applyBorder="1" applyAlignment="1">
      <alignment horizontal="justify" vertical="top" wrapText="1"/>
    </xf>
    <xf numFmtId="0" fontId="118" fillId="0" borderId="33" xfId="0" applyFont="1" applyBorder="1" applyAlignment="1">
      <alignment horizontal="justify" wrapText="1"/>
    </xf>
    <xf numFmtId="0" fontId="118" fillId="0" borderId="35" xfId="0" applyFont="1" applyBorder="1" applyAlignment="1">
      <alignment horizontal="left" wrapText="1"/>
    </xf>
    <xf numFmtId="4" fontId="117" fillId="0" borderId="0" xfId="0" applyNumberFormat="1" applyFont="1" applyAlignment="1">
      <alignment horizontal="right"/>
    </xf>
    <xf numFmtId="4" fontId="117" fillId="0" borderId="35" xfId="0" applyNumberFormat="1" applyFont="1" applyBorder="1"/>
    <xf numFmtId="4" fontId="117" fillId="0" borderId="0" xfId="0" applyNumberFormat="1" applyFont="1"/>
    <xf numFmtId="4" fontId="95" fillId="0" borderId="35" xfId="0" applyNumberFormat="1" applyFont="1" applyBorder="1"/>
    <xf numFmtId="0" fontId="117" fillId="0" borderId="35" xfId="0" applyFont="1" applyBorder="1"/>
    <xf numFmtId="0" fontId="117" fillId="0" borderId="0" xfId="0" applyFont="1"/>
    <xf numFmtId="49" fontId="117" fillId="0" borderId="0" xfId="0" applyNumberFormat="1" applyFont="1" applyAlignment="1">
      <alignment horizontal="justify" vertical="top" wrapText="1"/>
    </xf>
    <xf numFmtId="0" fontId="117" fillId="0" borderId="35" xfId="0" applyFont="1" applyBorder="1" applyAlignment="1">
      <alignment horizontal="center"/>
    </xf>
    <xf numFmtId="0" fontId="117" fillId="0" borderId="38" xfId="0" applyFont="1" applyBorder="1" applyAlignment="1">
      <alignment horizontal="center"/>
    </xf>
    <xf numFmtId="0" fontId="118" fillId="0" borderId="0" xfId="4" applyNumberFormat="1" applyFont="1" applyFill="1" applyBorder="1" applyAlignment="1" applyProtection="1">
      <alignment horizontal="justify" vertical="center" wrapText="1"/>
    </xf>
    <xf numFmtId="4" fontId="118" fillId="0" borderId="35" xfId="34" applyNumberFormat="1" applyFont="1" applyBorder="1" applyAlignment="1">
      <alignment horizontal="right"/>
    </xf>
    <xf numFmtId="49" fontId="118" fillId="0" borderId="4" xfId="0" applyNumberFormat="1" applyFont="1" applyBorder="1" applyAlignment="1">
      <alignment horizontal="justify" vertical="center" wrapText="1"/>
    </xf>
    <xf numFmtId="4" fontId="117" fillId="0" borderId="38" xfId="0" applyNumberFormat="1" applyFont="1" applyBorder="1" applyAlignment="1">
      <alignment horizontal="right"/>
    </xf>
    <xf numFmtId="49" fontId="118" fillId="0" borderId="0" xfId="0" applyNumberFormat="1" applyFont="1" applyAlignment="1">
      <alignment vertical="top"/>
    </xf>
    <xf numFmtId="0" fontId="117" fillId="0" borderId="0" xfId="1" applyFont="1" applyAlignment="1">
      <alignment horizontal="justify" vertical="top" wrapText="1"/>
    </xf>
    <xf numFmtId="4" fontId="117" fillId="0" borderId="35" xfId="0" applyNumberFormat="1" applyFont="1" applyBorder="1" applyAlignment="1">
      <alignment horizontal="right" wrapText="1"/>
    </xf>
    <xf numFmtId="4" fontId="117" fillId="0" borderId="35" xfId="0" applyNumberFormat="1" applyFont="1" applyBorder="1" applyAlignment="1">
      <alignment wrapText="1"/>
    </xf>
    <xf numFmtId="49" fontId="95" fillId="0" borderId="35" xfId="0" applyNumberFormat="1" applyFont="1" applyBorder="1" applyAlignment="1">
      <alignment horizontal="center"/>
    </xf>
    <xf numFmtId="4" fontId="118" fillId="0" borderId="35" xfId="0" applyNumberFormat="1" applyFont="1" applyBorder="1" applyAlignment="1">
      <alignment wrapText="1"/>
    </xf>
    <xf numFmtId="0" fontId="117" fillId="0" borderId="37" xfId="0" applyFont="1" applyBorder="1" applyAlignment="1">
      <alignment horizontal="center"/>
    </xf>
    <xf numFmtId="4" fontId="117" fillId="0" borderId="37" xfId="0" applyNumberFormat="1" applyFont="1" applyBorder="1" applyAlignment="1">
      <alignment horizontal="right"/>
    </xf>
    <xf numFmtId="0" fontId="117" fillId="0" borderId="3" xfId="0" applyFont="1" applyBorder="1" applyAlignment="1">
      <alignment vertical="top" wrapText="1"/>
    </xf>
    <xf numFmtId="0" fontId="117" fillId="0" borderId="38" xfId="0" applyFont="1" applyBorder="1" applyAlignment="1">
      <alignment wrapText="1"/>
    </xf>
    <xf numFmtId="4" fontId="117" fillId="0" borderId="35" xfId="0" applyNumberFormat="1" applyFont="1" applyBorder="1" applyAlignment="1">
      <alignment horizontal="justify" wrapText="1"/>
    </xf>
    <xf numFmtId="49" fontId="118" fillId="0" borderId="4" xfId="0" applyNumberFormat="1" applyFont="1" applyBorder="1" applyAlignment="1">
      <alignment vertical="center"/>
    </xf>
    <xf numFmtId="49" fontId="118" fillId="0" borderId="37" xfId="0" applyNumberFormat="1" applyFont="1" applyBorder="1"/>
    <xf numFmtId="49" fontId="118" fillId="0" borderId="4" xfId="0" applyNumberFormat="1" applyFont="1" applyBorder="1" applyAlignment="1">
      <alignment horizontal="justify" vertical="top" wrapText="1"/>
    </xf>
    <xf numFmtId="0" fontId="117" fillId="0" borderId="0" xfId="0" applyFont="1" applyAlignment="1">
      <alignment vertical="top"/>
    </xf>
    <xf numFmtId="0" fontId="118" fillId="0" borderId="35" xfId="0" applyFont="1" applyBorder="1" applyAlignment="1">
      <alignment horizontal="center" wrapText="1"/>
    </xf>
    <xf numFmtId="2" fontId="117" fillId="0" borderId="0" xfId="0" applyNumberFormat="1" applyFont="1" applyAlignment="1">
      <alignment horizontal="justify" vertical="top" wrapText="1"/>
    </xf>
    <xf numFmtId="2" fontId="118" fillId="0" borderId="0" xfId="0" applyNumberFormat="1" applyFont="1" applyAlignment="1">
      <alignment horizontal="justify" vertical="top" wrapText="1"/>
    </xf>
    <xf numFmtId="0" fontId="118" fillId="0" borderId="35" xfId="0" applyFont="1" applyBorder="1" applyAlignment="1">
      <alignment wrapText="1"/>
    </xf>
    <xf numFmtId="49" fontId="117" fillId="0" borderId="0" xfId="0" applyNumberFormat="1" applyFont="1" applyAlignment="1">
      <alignment vertical="top"/>
    </xf>
    <xf numFmtId="49" fontId="118" fillId="0" borderId="35" xfId="0" applyNumberFormat="1" applyFont="1" applyBorder="1" applyAlignment="1">
      <alignment horizontal="center"/>
    </xf>
    <xf numFmtId="4" fontId="122" fillId="0" borderId="35" xfId="0" applyNumberFormat="1" applyFont="1" applyBorder="1" applyAlignment="1">
      <alignment horizontal="center" wrapText="1"/>
    </xf>
    <xf numFmtId="4" fontId="95" fillId="0" borderId="35" xfId="0" applyNumberFormat="1" applyFont="1" applyBorder="1" applyAlignment="1">
      <alignment horizontal="right" wrapText="1"/>
    </xf>
    <xf numFmtId="49" fontId="95" fillId="0" borderId="0" xfId="0" applyNumberFormat="1" applyFont="1" applyAlignment="1">
      <alignment vertical="top"/>
    </xf>
    <xf numFmtId="4" fontId="96" fillId="0" borderId="35" xfId="0" applyNumberFormat="1" applyFont="1" applyBorder="1"/>
    <xf numFmtId="4" fontId="117" fillId="0" borderId="37" xfId="0" applyNumberFormat="1" applyFont="1" applyBorder="1"/>
    <xf numFmtId="49" fontId="117" fillId="0" borderId="0" xfId="0" applyNumberFormat="1" applyFont="1" applyAlignment="1">
      <alignment horizontal="center"/>
    </xf>
    <xf numFmtId="4" fontId="95" fillId="0" borderId="0" xfId="0" applyNumberFormat="1" applyFont="1"/>
    <xf numFmtId="0" fontId="95" fillId="0" borderId="0" xfId="4" applyNumberFormat="1" applyFont="1" applyFill="1" applyBorder="1" applyAlignment="1" applyProtection="1">
      <alignment horizontal="justify" vertical="center" wrapText="1"/>
    </xf>
    <xf numFmtId="49" fontId="123" fillId="0" borderId="0" xfId="0" applyNumberFormat="1" applyFont="1" applyAlignment="1">
      <alignment horizontal="right" vertical="top" wrapText="1"/>
    </xf>
    <xf numFmtId="49" fontId="123" fillId="0" borderId="0" xfId="0" applyNumberFormat="1" applyFont="1" applyAlignment="1">
      <alignment horizontal="left" vertical="center"/>
    </xf>
    <xf numFmtId="49" fontId="123" fillId="0" borderId="0" xfId="0" applyNumberFormat="1" applyFont="1" applyAlignment="1">
      <alignment horizontal="right" vertical="center" wrapText="1"/>
    </xf>
    <xf numFmtId="0" fontId="123" fillId="0" borderId="0" xfId="0" applyFont="1" applyAlignment="1">
      <alignment vertical="top" wrapText="1"/>
    </xf>
    <xf numFmtId="0" fontId="123" fillId="0" borderId="0" xfId="0" applyFont="1" applyAlignment="1">
      <alignment horizontal="center" vertical="top" wrapText="1"/>
    </xf>
    <xf numFmtId="0" fontId="123" fillId="0" borderId="0" xfId="0" applyFont="1" applyAlignment="1">
      <alignment horizontal="justify" vertical="top" wrapText="1"/>
    </xf>
    <xf numFmtId="49" fontId="123" fillId="0" borderId="6" xfId="0" applyNumberFormat="1" applyFont="1" applyBorder="1" applyAlignment="1">
      <alignment horizontal="left" vertical="center"/>
    </xf>
    <xf numFmtId="49" fontId="123" fillId="0" borderId="0" xfId="0" applyNumberFormat="1" applyFont="1" applyAlignment="1">
      <alignment horizontal="right" vertical="top"/>
    </xf>
    <xf numFmtId="49" fontId="123" fillId="0" borderId="0" xfId="0" applyNumberFormat="1" applyFont="1" applyAlignment="1">
      <alignment vertical="top" wrapText="1"/>
    </xf>
    <xf numFmtId="0" fontId="123" fillId="0" borderId="0" xfId="0" applyFont="1" applyAlignment="1">
      <alignment wrapText="1"/>
    </xf>
    <xf numFmtId="0" fontId="123" fillId="0" borderId="0" xfId="0" applyFont="1" applyAlignment="1">
      <alignment horizontal="left" wrapText="1"/>
    </xf>
    <xf numFmtId="0" fontId="123" fillId="0" borderId="0" xfId="0" applyFont="1" applyAlignment="1">
      <alignment horizontal="left" vertical="top" wrapText="1"/>
    </xf>
    <xf numFmtId="0" fontId="123" fillId="0" borderId="0" xfId="0" applyFont="1" applyAlignment="1">
      <alignment horizontal="right" vertical="top" wrapText="1"/>
    </xf>
    <xf numFmtId="49" fontId="123" fillId="0" borderId="0" xfId="0" applyNumberFormat="1" applyFont="1" applyAlignment="1">
      <alignment vertical="center"/>
    </xf>
    <xf numFmtId="49" fontId="123" fillId="0" borderId="0" xfId="0" applyNumberFormat="1" applyFont="1" applyAlignment="1">
      <alignment horizontal="right" vertical="center"/>
    </xf>
    <xf numFmtId="0" fontId="123" fillId="0" borderId="4" xfId="0" applyFont="1" applyBorder="1" applyAlignment="1">
      <alignment horizontal="right" vertical="center" wrapText="1"/>
    </xf>
    <xf numFmtId="0" fontId="123" fillId="0" borderId="0" xfId="0" applyFont="1" applyAlignment="1">
      <alignment horizontal="center"/>
    </xf>
    <xf numFmtId="49" fontId="123" fillId="0" borderId="4" xfId="0" applyNumberFormat="1" applyFont="1" applyBorder="1" applyAlignment="1">
      <alignment horizontal="right" vertical="center"/>
    </xf>
    <xf numFmtId="0" fontId="123" fillId="0" borderId="4" xfId="0" applyFont="1" applyBorder="1" applyAlignment="1">
      <alignment horizontal="right" vertical="top" wrapText="1"/>
    </xf>
    <xf numFmtId="49" fontId="123" fillId="0" borderId="0" xfId="0" applyNumberFormat="1" applyFont="1" applyAlignment="1">
      <alignment vertical="top"/>
    </xf>
    <xf numFmtId="4" fontId="123" fillId="0" borderId="0" xfId="0" applyNumberFormat="1" applyFont="1" applyAlignment="1">
      <alignment horizontal="right" vertical="top" wrapText="1"/>
    </xf>
    <xf numFmtId="4" fontId="124" fillId="0" borderId="0" xfId="0" applyNumberFormat="1" applyFont="1" applyAlignment="1">
      <alignment horizontal="right" vertical="top" wrapText="1"/>
    </xf>
    <xf numFmtId="0" fontId="123" fillId="0" borderId="3" xfId="0" applyFont="1" applyBorder="1" applyAlignment="1">
      <alignment horizontal="center" vertical="top"/>
    </xf>
    <xf numFmtId="49" fontId="125" fillId="0" borderId="5" xfId="0" applyNumberFormat="1" applyFont="1" applyBorder="1" applyAlignment="1">
      <alignment horizontal="left" vertical="center"/>
    </xf>
    <xf numFmtId="4" fontId="95" fillId="0" borderId="35" xfId="0" applyNumberFormat="1" applyFont="1" applyBorder="1" applyAlignment="1">
      <alignment wrapText="1"/>
    </xf>
    <xf numFmtId="4" fontId="117" fillId="0" borderId="38" xfId="0" applyNumberFormat="1" applyFont="1" applyBorder="1" applyAlignment="1">
      <alignment wrapText="1"/>
    </xf>
    <xf numFmtId="0" fontId="118" fillId="0" borderId="39" xfId="4" applyNumberFormat="1" applyFont="1" applyFill="1" applyBorder="1" applyAlignment="1" applyProtection="1">
      <alignment horizontal="justify" vertical="center" wrapText="1"/>
    </xf>
    <xf numFmtId="0" fontId="117" fillId="0" borderId="40" xfId="0" applyFont="1" applyBorder="1" applyAlignment="1">
      <alignment horizontal="center"/>
    </xf>
    <xf numFmtId="4" fontId="118" fillId="0" borderId="40" xfId="34" applyNumberFormat="1" applyFont="1" applyBorder="1" applyAlignment="1">
      <alignment horizontal="right"/>
    </xf>
    <xf numFmtId="4" fontId="117" fillId="0" borderId="36" xfId="0" applyNumberFormat="1" applyFont="1" applyBorder="1"/>
    <xf numFmtId="4" fontId="96" fillId="0" borderId="35" xfId="0" applyNumberFormat="1" applyFont="1" applyBorder="1" applyAlignment="1">
      <alignment wrapText="1"/>
    </xf>
    <xf numFmtId="4" fontId="118" fillId="0" borderId="40" xfId="34" applyNumberFormat="1" applyFont="1" applyBorder="1"/>
    <xf numFmtId="4" fontId="118" fillId="0" borderId="35" xfId="34" applyNumberFormat="1" applyFont="1" applyBorder="1"/>
    <xf numFmtId="4" fontId="117" fillId="0" borderId="38" xfId="0" applyNumberFormat="1" applyFont="1" applyBorder="1"/>
    <xf numFmtId="4" fontId="96" fillId="0" borderId="35" xfId="34" applyNumberFormat="1" applyFont="1" applyBorder="1"/>
    <xf numFmtId="0" fontId="118" fillId="0" borderId="39" xfId="4" applyNumberFormat="1" applyFont="1" applyFill="1" applyBorder="1" applyAlignment="1" applyProtection="1">
      <alignment horizontal="justify" vertical="top" wrapText="1"/>
    </xf>
    <xf numFmtId="4" fontId="95" fillId="0" borderId="36" xfId="0" applyNumberFormat="1" applyFont="1" applyBorder="1"/>
    <xf numFmtId="4" fontId="96" fillId="0" borderId="40" xfId="34" applyNumberFormat="1" applyFont="1" applyBorder="1"/>
    <xf numFmtId="4" fontId="95" fillId="0" borderId="38" xfId="0" applyNumberFormat="1" applyFont="1" applyBorder="1"/>
    <xf numFmtId="4" fontId="95" fillId="0" borderId="37" xfId="0" applyNumberFormat="1" applyFont="1" applyBorder="1"/>
    <xf numFmtId="4" fontId="95" fillId="0" borderId="38" xfId="0" applyNumberFormat="1" applyFont="1" applyBorder="1" applyAlignment="1">
      <alignment wrapText="1"/>
    </xf>
    <xf numFmtId="43" fontId="96" fillId="0" borderId="35" xfId="6" applyFont="1" applyBorder="1" applyAlignment="1">
      <alignment wrapText="1"/>
    </xf>
    <xf numFmtId="43" fontId="96" fillId="0" borderId="40" xfId="6" applyFont="1" applyBorder="1"/>
    <xf numFmtId="49" fontId="108" fillId="0" borderId="0" xfId="0" applyNumberFormat="1" applyFont="1" applyAlignment="1">
      <alignment horizontal="justify" vertical="top" wrapText="1"/>
    </xf>
    <xf numFmtId="0" fontId="108" fillId="0" borderId="0" xfId="0" applyFont="1" applyAlignment="1">
      <alignment horizontal="justify" vertical="top" wrapText="1"/>
    </xf>
    <xf numFmtId="0" fontId="95" fillId="0" borderId="0" xfId="37" applyFont="1" applyAlignment="1">
      <alignment horizontal="right"/>
    </xf>
    <xf numFmtId="0" fontId="105" fillId="0" borderId="0" xfId="37" applyFont="1" applyAlignment="1">
      <alignment horizontal="right"/>
    </xf>
    <xf numFmtId="0" fontId="107" fillId="0" borderId="0" xfId="37" applyFont="1" applyAlignment="1">
      <alignment horizontal="right" wrapText="1"/>
    </xf>
    <xf numFmtId="0" fontId="107" fillId="0" borderId="0" xfId="37" applyFont="1" applyAlignment="1">
      <alignment horizontal="right"/>
    </xf>
    <xf numFmtId="0" fontId="96" fillId="0" borderId="0" xfId="37" applyFont="1" applyAlignment="1">
      <alignment horizontal="right" vertical="top" wrapText="1"/>
    </xf>
    <xf numFmtId="0" fontId="108" fillId="0" borderId="0" xfId="37" applyFont="1" applyAlignment="1">
      <alignment horizontal="right"/>
    </xf>
    <xf numFmtId="49" fontId="96" fillId="0" borderId="0" xfId="37" applyNumberFormat="1" applyFont="1" applyAlignment="1">
      <alignment horizontal="right"/>
    </xf>
    <xf numFmtId="0" fontId="101" fillId="0" borderId="0" xfId="37" applyFont="1" applyAlignment="1">
      <alignment horizontal="center" vertical="center" wrapText="1"/>
    </xf>
    <xf numFmtId="0" fontId="101" fillId="0" borderId="0" xfId="37" applyFont="1" applyAlignment="1">
      <alignment horizontal="center"/>
    </xf>
    <xf numFmtId="0" fontId="126" fillId="0" borderId="2" xfId="37" applyFont="1" applyBorder="1" applyAlignment="1">
      <alignment horizontal="right"/>
    </xf>
    <xf numFmtId="0" fontId="102" fillId="0" borderId="2" xfId="37" applyFont="1" applyBorder="1" applyAlignment="1">
      <alignment horizontal="right"/>
    </xf>
    <xf numFmtId="0" fontId="103" fillId="0" borderId="32" xfId="37" applyFont="1" applyBorder="1" applyAlignment="1">
      <alignment horizontal="right"/>
    </xf>
    <xf numFmtId="0" fontId="103" fillId="0" borderId="0" xfId="37" applyFont="1" applyAlignment="1">
      <alignment horizontal="right"/>
    </xf>
    <xf numFmtId="0" fontId="127" fillId="0" borderId="0" xfId="37" applyFont="1" applyAlignment="1">
      <alignment horizontal="right" vertical="top" wrapText="1"/>
    </xf>
    <xf numFmtId="0" fontId="104" fillId="0" borderId="0" xfId="37" applyFont="1" applyAlignment="1">
      <alignment horizontal="right" vertical="top" wrapText="1"/>
    </xf>
    <xf numFmtId="0" fontId="96" fillId="0" borderId="0" xfId="37" applyFont="1" applyAlignment="1">
      <alignment horizontal="right"/>
    </xf>
    <xf numFmtId="0" fontId="95" fillId="0" borderId="0" xfId="37" applyFont="1" applyAlignment="1">
      <alignment horizontal="center"/>
    </xf>
    <xf numFmtId="0" fontId="100" fillId="0" borderId="0" xfId="2515" applyFont="1" applyAlignment="1" applyProtection="1">
      <alignment horizontal="right"/>
    </xf>
    <xf numFmtId="3" fontId="95" fillId="0" borderId="0" xfId="37" applyNumberFormat="1" applyFont="1" applyAlignment="1">
      <alignment horizontal="right"/>
    </xf>
    <xf numFmtId="0" fontId="99" fillId="0" borderId="0" xfId="2515" applyFont="1" applyAlignment="1" applyProtection="1">
      <alignment horizontal="right"/>
    </xf>
    <xf numFmtId="0" fontId="112" fillId="0" borderId="0" xfId="0" applyFont="1" applyAlignment="1">
      <alignment horizontal="justify" vertical="top" wrapText="1"/>
    </xf>
    <xf numFmtId="0" fontId="112" fillId="0" borderId="0" xfId="0" applyFont="1" applyAlignment="1">
      <alignment horizontal="left" vertical="top" wrapText="1"/>
    </xf>
    <xf numFmtId="0" fontId="110" fillId="0" borderId="0" xfId="0" applyFont="1" applyAlignment="1">
      <alignment horizontal="justify" vertical="top"/>
    </xf>
    <xf numFmtId="0" fontId="0" fillId="0" borderId="0" xfId="0" applyAlignment="1">
      <alignment horizontal="justify" vertical="top"/>
    </xf>
    <xf numFmtId="49" fontId="112" fillId="0" borderId="0" xfId="0" applyNumberFormat="1" applyFont="1" applyAlignment="1">
      <alignment horizontal="left" vertical="top" wrapText="1"/>
    </xf>
    <xf numFmtId="49" fontId="112" fillId="0" borderId="0" xfId="0" applyNumberFormat="1" applyFont="1" applyAlignment="1">
      <alignment horizontal="left" wrapText="1"/>
    </xf>
    <xf numFmtId="0" fontId="110" fillId="0" borderId="0" xfId="0" applyFont="1" applyAlignment="1">
      <alignment horizontal="justify" vertical="top" wrapText="1"/>
    </xf>
    <xf numFmtId="0" fontId="112" fillId="0" borderId="0" xfId="0" applyFont="1" applyAlignment="1">
      <alignment horizontal="left" wrapText="1"/>
    </xf>
    <xf numFmtId="0" fontId="111" fillId="0" borderId="0" xfId="0" applyFont="1" applyAlignment="1">
      <alignment horizontal="justify" vertical="top" wrapText="1"/>
    </xf>
    <xf numFmtId="49" fontId="128" fillId="0" borderId="34" xfId="0" applyNumberFormat="1" applyFont="1" applyBorder="1" applyAlignment="1">
      <alignment horizontal="center" vertical="center" wrapText="1"/>
    </xf>
    <xf numFmtId="0" fontId="13" fillId="0" borderId="8" xfId="0" applyFont="1" applyBorder="1" applyAlignment="1">
      <alignment horizontal="center" vertical="center" wrapText="1"/>
    </xf>
    <xf numFmtId="4" fontId="117" fillId="0" borderId="34" xfId="0" applyNumberFormat="1" applyFont="1" applyBorder="1" applyAlignment="1">
      <alignment horizontal="center" vertical="center" wrapText="1"/>
    </xf>
    <xf numFmtId="4" fontId="117" fillId="0" borderId="8" xfId="0" applyNumberFormat="1" applyFont="1" applyBorder="1" applyAlignment="1">
      <alignment horizontal="center" vertical="center" wrapText="1"/>
    </xf>
    <xf numFmtId="4" fontId="95" fillId="0" borderId="34" xfId="0" applyNumberFormat="1" applyFont="1" applyBorder="1" applyAlignment="1">
      <alignment horizontal="center" vertical="center" wrapText="1"/>
    </xf>
    <xf numFmtId="4" fontId="95" fillId="0" borderId="8" xfId="0" applyNumberFormat="1" applyFont="1" applyBorder="1" applyAlignment="1">
      <alignment horizontal="center" vertical="center" wrapText="1"/>
    </xf>
    <xf numFmtId="49" fontId="117" fillId="0" borderId="34" xfId="0" applyNumberFormat="1" applyFont="1" applyBorder="1" applyAlignment="1">
      <alignment horizontal="center" vertical="center" wrapText="1"/>
    </xf>
    <xf numFmtId="49" fontId="117" fillId="0" borderId="8" xfId="0" applyNumberFormat="1" applyFont="1" applyBorder="1" applyAlignment="1">
      <alignment horizontal="center" vertical="center" wrapText="1"/>
    </xf>
  </cellXfs>
  <cellStyles count="2518">
    <cellStyle name="_BMS" xfId="65" xr:uid="{00000000-0005-0000-0000-000000000000}"/>
    <cellStyle name="_BMS_OTP banka-42hr7-p349-3-Valentić" xfId="66" xr:uid="{00000000-0005-0000-0000-000001000000}"/>
    <cellStyle name="_Enel-42hr6-p271-1-1" xfId="67" xr:uid="{00000000-0005-0000-0000-000002000000}"/>
    <cellStyle name="_HOTEL LONE" xfId="2368" xr:uid="{00000000-0005-0000-0000-000003000000}"/>
    <cellStyle name="_HOTEL LONE 2" xfId="2369" xr:uid="{00000000-0005-0000-0000-000004000000}"/>
    <cellStyle name="_naslovnica" xfId="68" xr:uid="{00000000-0005-0000-0000-000005000000}"/>
    <cellStyle name="_primjer ponude novi" xfId="69" xr:uid="{00000000-0005-0000-0000-000006000000}"/>
    <cellStyle name="_Stipić-42hr6-p271-4" xfId="70" xr:uid="{00000000-0005-0000-0000-000007000000}"/>
    <cellStyle name="_STRUJA" xfId="71" xr:uid="{00000000-0005-0000-0000-000008000000}"/>
    <cellStyle name="_STRUJA_OTP banka-42hr7-p349-3-Valentić" xfId="72" xr:uid="{00000000-0005-0000-0000-000009000000}"/>
    <cellStyle name="20% - Accent1 2" xfId="73" xr:uid="{00000000-0005-0000-0000-00000A000000}"/>
    <cellStyle name="20% - Accent1 2 10" xfId="74" xr:uid="{00000000-0005-0000-0000-00000B000000}"/>
    <cellStyle name="20% - Accent1 2 11" xfId="75" xr:uid="{00000000-0005-0000-0000-00000C000000}"/>
    <cellStyle name="20% - Accent1 2 12" xfId="76" xr:uid="{00000000-0005-0000-0000-00000D000000}"/>
    <cellStyle name="20% - Accent1 2 13" xfId="77" xr:uid="{00000000-0005-0000-0000-00000E000000}"/>
    <cellStyle name="20% - Accent1 2 14" xfId="78" xr:uid="{00000000-0005-0000-0000-00000F000000}"/>
    <cellStyle name="20% - Accent1 2 15" xfId="79" xr:uid="{00000000-0005-0000-0000-000010000000}"/>
    <cellStyle name="20% - Accent1 2 16" xfId="80" xr:uid="{00000000-0005-0000-0000-000011000000}"/>
    <cellStyle name="20% - Accent1 2 17" xfId="81" xr:uid="{00000000-0005-0000-0000-000012000000}"/>
    <cellStyle name="20% - Accent1 2 18" xfId="82" xr:uid="{00000000-0005-0000-0000-000013000000}"/>
    <cellStyle name="20% - Accent1 2 19" xfId="83" xr:uid="{00000000-0005-0000-0000-000014000000}"/>
    <cellStyle name="20% - Accent1 2 2" xfId="84" xr:uid="{00000000-0005-0000-0000-000015000000}"/>
    <cellStyle name="20% - Accent1 2 20" xfId="85" xr:uid="{00000000-0005-0000-0000-000016000000}"/>
    <cellStyle name="20% - Accent1 2 21" xfId="86" xr:uid="{00000000-0005-0000-0000-000017000000}"/>
    <cellStyle name="20% - Accent1 2 22" xfId="87" xr:uid="{00000000-0005-0000-0000-000018000000}"/>
    <cellStyle name="20% - Accent1 2 23" xfId="88" xr:uid="{00000000-0005-0000-0000-000019000000}"/>
    <cellStyle name="20% - Accent1 2 24" xfId="89" xr:uid="{00000000-0005-0000-0000-00001A000000}"/>
    <cellStyle name="20% - Accent1 2 25" xfId="90" xr:uid="{00000000-0005-0000-0000-00001B000000}"/>
    <cellStyle name="20% - Accent1 2 3" xfId="91" xr:uid="{00000000-0005-0000-0000-00001C000000}"/>
    <cellStyle name="20% - Accent1 2 4" xfId="92" xr:uid="{00000000-0005-0000-0000-00001D000000}"/>
    <cellStyle name="20% - Accent1 2 5" xfId="93" xr:uid="{00000000-0005-0000-0000-00001E000000}"/>
    <cellStyle name="20% - Accent1 2 6" xfId="94" xr:uid="{00000000-0005-0000-0000-00001F000000}"/>
    <cellStyle name="20% - Accent1 2 7" xfId="95" xr:uid="{00000000-0005-0000-0000-000020000000}"/>
    <cellStyle name="20% - Accent1 2 8" xfId="96" xr:uid="{00000000-0005-0000-0000-000021000000}"/>
    <cellStyle name="20% - Accent1 2 9" xfId="97" xr:uid="{00000000-0005-0000-0000-000022000000}"/>
    <cellStyle name="20% - Accent1 3" xfId="98" xr:uid="{00000000-0005-0000-0000-000023000000}"/>
    <cellStyle name="20% - Accent1 3 10" xfId="99" xr:uid="{00000000-0005-0000-0000-000024000000}"/>
    <cellStyle name="20% - Accent1 3 11" xfId="100" xr:uid="{00000000-0005-0000-0000-000025000000}"/>
    <cellStyle name="20% - Accent1 3 12" xfId="101" xr:uid="{00000000-0005-0000-0000-000026000000}"/>
    <cellStyle name="20% - Accent1 3 13" xfId="102" xr:uid="{00000000-0005-0000-0000-000027000000}"/>
    <cellStyle name="20% - Accent1 3 14" xfId="103" xr:uid="{00000000-0005-0000-0000-000028000000}"/>
    <cellStyle name="20% - Accent1 3 15" xfId="104" xr:uid="{00000000-0005-0000-0000-000029000000}"/>
    <cellStyle name="20% - Accent1 3 16" xfId="105" xr:uid="{00000000-0005-0000-0000-00002A000000}"/>
    <cellStyle name="20% - Accent1 3 17" xfId="106" xr:uid="{00000000-0005-0000-0000-00002B000000}"/>
    <cellStyle name="20% - Accent1 3 18" xfId="107" xr:uid="{00000000-0005-0000-0000-00002C000000}"/>
    <cellStyle name="20% - Accent1 3 19" xfId="108" xr:uid="{00000000-0005-0000-0000-00002D000000}"/>
    <cellStyle name="20% - Accent1 3 2" xfId="109" xr:uid="{00000000-0005-0000-0000-00002E000000}"/>
    <cellStyle name="20% - Accent1 3 3" xfId="110" xr:uid="{00000000-0005-0000-0000-00002F000000}"/>
    <cellStyle name="20% - Accent1 3 4" xfId="111" xr:uid="{00000000-0005-0000-0000-000030000000}"/>
    <cellStyle name="20% - Accent1 3 5" xfId="112" xr:uid="{00000000-0005-0000-0000-000031000000}"/>
    <cellStyle name="20% - Accent1 3 6" xfId="113" xr:uid="{00000000-0005-0000-0000-000032000000}"/>
    <cellStyle name="20% - Accent1 3 7" xfId="114" xr:uid="{00000000-0005-0000-0000-000033000000}"/>
    <cellStyle name="20% - Accent1 3 8" xfId="115" xr:uid="{00000000-0005-0000-0000-000034000000}"/>
    <cellStyle name="20% - Accent1 3 9" xfId="116" xr:uid="{00000000-0005-0000-0000-000035000000}"/>
    <cellStyle name="20% - Accent1 4" xfId="117" xr:uid="{00000000-0005-0000-0000-000036000000}"/>
    <cellStyle name="20% - Accent1 4 10" xfId="118" xr:uid="{00000000-0005-0000-0000-000037000000}"/>
    <cellStyle name="20% - Accent1 4 11" xfId="119" xr:uid="{00000000-0005-0000-0000-000038000000}"/>
    <cellStyle name="20% - Accent1 4 12" xfId="120" xr:uid="{00000000-0005-0000-0000-000039000000}"/>
    <cellStyle name="20% - Accent1 4 13" xfId="121" xr:uid="{00000000-0005-0000-0000-00003A000000}"/>
    <cellStyle name="20% - Accent1 4 14" xfId="122" xr:uid="{00000000-0005-0000-0000-00003B000000}"/>
    <cellStyle name="20% - Accent1 4 15" xfId="123" xr:uid="{00000000-0005-0000-0000-00003C000000}"/>
    <cellStyle name="20% - Accent1 4 16" xfId="124" xr:uid="{00000000-0005-0000-0000-00003D000000}"/>
    <cellStyle name="20% - Accent1 4 2" xfId="125" xr:uid="{00000000-0005-0000-0000-00003E000000}"/>
    <cellStyle name="20% - Accent1 4 3" xfId="126" xr:uid="{00000000-0005-0000-0000-00003F000000}"/>
    <cellStyle name="20% - Accent1 4 4" xfId="127" xr:uid="{00000000-0005-0000-0000-000040000000}"/>
    <cellStyle name="20% - Accent1 4 5" xfId="128" xr:uid="{00000000-0005-0000-0000-000041000000}"/>
    <cellStyle name="20% - Accent1 4 6" xfId="129" xr:uid="{00000000-0005-0000-0000-000042000000}"/>
    <cellStyle name="20% - Accent1 4 7" xfId="130" xr:uid="{00000000-0005-0000-0000-000043000000}"/>
    <cellStyle name="20% - Accent1 4 8" xfId="131" xr:uid="{00000000-0005-0000-0000-000044000000}"/>
    <cellStyle name="20% - Accent1 4 9" xfId="132" xr:uid="{00000000-0005-0000-0000-000045000000}"/>
    <cellStyle name="20% - Accent2 2" xfId="133" xr:uid="{00000000-0005-0000-0000-000046000000}"/>
    <cellStyle name="20% - Accent2 2 10" xfId="134" xr:uid="{00000000-0005-0000-0000-000047000000}"/>
    <cellStyle name="20% - Accent2 2 11" xfId="135" xr:uid="{00000000-0005-0000-0000-000048000000}"/>
    <cellStyle name="20% - Accent2 2 12" xfId="136" xr:uid="{00000000-0005-0000-0000-000049000000}"/>
    <cellStyle name="20% - Accent2 2 13" xfId="137" xr:uid="{00000000-0005-0000-0000-00004A000000}"/>
    <cellStyle name="20% - Accent2 2 14" xfId="138" xr:uid="{00000000-0005-0000-0000-00004B000000}"/>
    <cellStyle name="20% - Accent2 2 15" xfId="139" xr:uid="{00000000-0005-0000-0000-00004C000000}"/>
    <cellStyle name="20% - Accent2 2 16" xfId="140" xr:uid="{00000000-0005-0000-0000-00004D000000}"/>
    <cellStyle name="20% - Accent2 2 17" xfId="141" xr:uid="{00000000-0005-0000-0000-00004E000000}"/>
    <cellStyle name="20% - Accent2 2 18" xfId="142" xr:uid="{00000000-0005-0000-0000-00004F000000}"/>
    <cellStyle name="20% - Accent2 2 19" xfId="143" xr:uid="{00000000-0005-0000-0000-000050000000}"/>
    <cellStyle name="20% - Accent2 2 2" xfId="144" xr:uid="{00000000-0005-0000-0000-000051000000}"/>
    <cellStyle name="20% - Accent2 2 20" xfId="145" xr:uid="{00000000-0005-0000-0000-000052000000}"/>
    <cellStyle name="20% - Accent2 2 21" xfId="146" xr:uid="{00000000-0005-0000-0000-000053000000}"/>
    <cellStyle name="20% - Accent2 2 22" xfId="147" xr:uid="{00000000-0005-0000-0000-000054000000}"/>
    <cellStyle name="20% - Accent2 2 23" xfId="148" xr:uid="{00000000-0005-0000-0000-000055000000}"/>
    <cellStyle name="20% - Accent2 2 24" xfId="149" xr:uid="{00000000-0005-0000-0000-000056000000}"/>
    <cellStyle name="20% - Accent2 2 25" xfId="150" xr:uid="{00000000-0005-0000-0000-000057000000}"/>
    <cellStyle name="20% - Accent2 2 3" xfId="151" xr:uid="{00000000-0005-0000-0000-000058000000}"/>
    <cellStyle name="20% - Accent2 2 4" xfId="152" xr:uid="{00000000-0005-0000-0000-000059000000}"/>
    <cellStyle name="20% - Accent2 2 5" xfId="153" xr:uid="{00000000-0005-0000-0000-00005A000000}"/>
    <cellStyle name="20% - Accent2 2 6" xfId="154" xr:uid="{00000000-0005-0000-0000-00005B000000}"/>
    <cellStyle name="20% - Accent2 2 7" xfId="155" xr:uid="{00000000-0005-0000-0000-00005C000000}"/>
    <cellStyle name="20% - Accent2 2 8" xfId="156" xr:uid="{00000000-0005-0000-0000-00005D000000}"/>
    <cellStyle name="20% - Accent2 2 9" xfId="157" xr:uid="{00000000-0005-0000-0000-00005E000000}"/>
    <cellStyle name="20% - Accent2 3" xfId="158" xr:uid="{00000000-0005-0000-0000-00005F000000}"/>
    <cellStyle name="20% - Accent2 3 10" xfId="159" xr:uid="{00000000-0005-0000-0000-000060000000}"/>
    <cellStyle name="20% - Accent2 3 11" xfId="160" xr:uid="{00000000-0005-0000-0000-000061000000}"/>
    <cellStyle name="20% - Accent2 3 12" xfId="161" xr:uid="{00000000-0005-0000-0000-000062000000}"/>
    <cellStyle name="20% - Accent2 3 13" xfId="162" xr:uid="{00000000-0005-0000-0000-000063000000}"/>
    <cellStyle name="20% - Accent2 3 14" xfId="163" xr:uid="{00000000-0005-0000-0000-000064000000}"/>
    <cellStyle name="20% - Accent2 3 15" xfId="164" xr:uid="{00000000-0005-0000-0000-000065000000}"/>
    <cellStyle name="20% - Accent2 3 16" xfId="165" xr:uid="{00000000-0005-0000-0000-000066000000}"/>
    <cellStyle name="20% - Accent2 3 17" xfId="166" xr:uid="{00000000-0005-0000-0000-000067000000}"/>
    <cellStyle name="20% - Accent2 3 18" xfId="167" xr:uid="{00000000-0005-0000-0000-000068000000}"/>
    <cellStyle name="20% - Accent2 3 19" xfId="168" xr:uid="{00000000-0005-0000-0000-000069000000}"/>
    <cellStyle name="20% - Accent2 3 2" xfId="169" xr:uid="{00000000-0005-0000-0000-00006A000000}"/>
    <cellStyle name="20% - Accent2 3 3" xfId="170" xr:uid="{00000000-0005-0000-0000-00006B000000}"/>
    <cellStyle name="20% - Accent2 3 4" xfId="171" xr:uid="{00000000-0005-0000-0000-00006C000000}"/>
    <cellStyle name="20% - Accent2 3 5" xfId="172" xr:uid="{00000000-0005-0000-0000-00006D000000}"/>
    <cellStyle name="20% - Accent2 3 6" xfId="173" xr:uid="{00000000-0005-0000-0000-00006E000000}"/>
    <cellStyle name="20% - Accent2 3 7" xfId="174" xr:uid="{00000000-0005-0000-0000-00006F000000}"/>
    <cellStyle name="20% - Accent2 3 8" xfId="175" xr:uid="{00000000-0005-0000-0000-000070000000}"/>
    <cellStyle name="20% - Accent2 3 9" xfId="176" xr:uid="{00000000-0005-0000-0000-000071000000}"/>
    <cellStyle name="20% - Accent2 4" xfId="177" xr:uid="{00000000-0005-0000-0000-000072000000}"/>
    <cellStyle name="20% - Accent2 4 10" xfId="178" xr:uid="{00000000-0005-0000-0000-000073000000}"/>
    <cellStyle name="20% - Accent2 4 11" xfId="179" xr:uid="{00000000-0005-0000-0000-000074000000}"/>
    <cellStyle name="20% - Accent2 4 12" xfId="180" xr:uid="{00000000-0005-0000-0000-000075000000}"/>
    <cellStyle name="20% - Accent2 4 13" xfId="181" xr:uid="{00000000-0005-0000-0000-000076000000}"/>
    <cellStyle name="20% - Accent2 4 14" xfId="182" xr:uid="{00000000-0005-0000-0000-000077000000}"/>
    <cellStyle name="20% - Accent2 4 15" xfId="183" xr:uid="{00000000-0005-0000-0000-000078000000}"/>
    <cellStyle name="20% - Accent2 4 16" xfId="184" xr:uid="{00000000-0005-0000-0000-000079000000}"/>
    <cellStyle name="20% - Accent2 4 2" xfId="185" xr:uid="{00000000-0005-0000-0000-00007A000000}"/>
    <cellStyle name="20% - Accent2 4 3" xfId="186" xr:uid="{00000000-0005-0000-0000-00007B000000}"/>
    <cellStyle name="20% - Accent2 4 4" xfId="187" xr:uid="{00000000-0005-0000-0000-00007C000000}"/>
    <cellStyle name="20% - Accent2 4 5" xfId="188" xr:uid="{00000000-0005-0000-0000-00007D000000}"/>
    <cellStyle name="20% - Accent2 4 6" xfId="189" xr:uid="{00000000-0005-0000-0000-00007E000000}"/>
    <cellStyle name="20% - Accent2 4 7" xfId="190" xr:uid="{00000000-0005-0000-0000-00007F000000}"/>
    <cellStyle name="20% - Accent2 4 8" xfId="191" xr:uid="{00000000-0005-0000-0000-000080000000}"/>
    <cellStyle name="20% - Accent2 4 9" xfId="192" xr:uid="{00000000-0005-0000-0000-000081000000}"/>
    <cellStyle name="20% - Accent3 2" xfId="193" xr:uid="{00000000-0005-0000-0000-000082000000}"/>
    <cellStyle name="20% - Accent3 2 10" xfId="194" xr:uid="{00000000-0005-0000-0000-000083000000}"/>
    <cellStyle name="20% - Accent3 2 11" xfId="195" xr:uid="{00000000-0005-0000-0000-000084000000}"/>
    <cellStyle name="20% - Accent3 2 12" xfId="196" xr:uid="{00000000-0005-0000-0000-000085000000}"/>
    <cellStyle name="20% - Accent3 2 13" xfId="197" xr:uid="{00000000-0005-0000-0000-000086000000}"/>
    <cellStyle name="20% - Accent3 2 14" xfId="198" xr:uid="{00000000-0005-0000-0000-000087000000}"/>
    <cellStyle name="20% - Accent3 2 15" xfId="199" xr:uid="{00000000-0005-0000-0000-000088000000}"/>
    <cellStyle name="20% - Accent3 2 16" xfId="200" xr:uid="{00000000-0005-0000-0000-000089000000}"/>
    <cellStyle name="20% - Accent3 2 17" xfId="201" xr:uid="{00000000-0005-0000-0000-00008A000000}"/>
    <cellStyle name="20% - Accent3 2 18" xfId="202" xr:uid="{00000000-0005-0000-0000-00008B000000}"/>
    <cellStyle name="20% - Accent3 2 19" xfId="203" xr:uid="{00000000-0005-0000-0000-00008C000000}"/>
    <cellStyle name="20% - Accent3 2 2" xfId="204" xr:uid="{00000000-0005-0000-0000-00008D000000}"/>
    <cellStyle name="20% - Accent3 2 20" xfId="205" xr:uid="{00000000-0005-0000-0000-00008E000000}"/>
    <cellStyle name="20% - Accent3 2 21" xfId="206" xr:uid="{00000000-0005-0000-0000-00008F000000}"/>
    <cellStyle name="20% - Accent3 2 22" xfId="207" xr:uid="{00000000-0005-0000-0000-000090000000}"/>
    <cellStyle name="20% - Accent3 2 23" xfId="208" xr:uid="{00000000-0005-0000-0000-000091000000}"/>
    <cellStyle name="20% - Accent3 2 24" xfId="209" xr:uid="{00000000-0005-0000-0000-000092000000}"/>
    <cellStyle name="20% - Accent3 2 25" xfId="210" xr:uid="{00000000-0005-0000-0000-000093000000}"/>
    <cellStyle name="20% - Accent3 2 3" xfId="211" xr:uid="{00000000-0005-0000-0000-000094000000}"/>
    <cellStyle name="20% - Accent3 2 4" xfId="212" xr:uid="{00000000-0005-0000-0000-000095000000}"/>
    <cellStyle name="20% - Accent3 2 5" xfId="213" xr:uid="{00000000-0005-0000-0000-000096000000}"/>
    <cellStyle name="20% - Accent3 2 6" xfId="214" xr:uid="{00000000-0005-0000-0000-000097000000}"/>
    <cellStyle name="20% - Accent3 2 7" xfId="215" xr:uid="{00000000-0005-0000-0000-000098000000}"/>
    <cellStyle name="20% - Accent3 2 8" xfId="216" xr:uid="{00000000-0005-0000-0000-000099000000}"/>
    <cellStyle name="20% - Accent3 2 9" xfId="217" xr:uid="{00000000-0005-0000-0000-00009A000000}"/>
    <cellStyle name="20% - Accent3 3" xfId="218" xr:uid="{00000000-0005-0000-0000-00009B000000}"/>
    <cellStyle name="20% - Accent3 3 10" xfId="219" xr:uid="{00000000-0005-0000-0000-00009C000000}"/>
    <cellStyle name="20% - Accent3 3 11" xfId="220" xr:uid="{00000000-0005-0000-0000-00009D000000}"/>
    <cellStyle name="20% - Accent3 3 12" xfId="221" xr:uid="{00000000-0005-0000-0000-00009E000000}"/>
    <cellStyle name="20% - Accent3 3 13" xfId="222" xr:uid="{00000000-0005-0000-0000-00009F000000}"/>
    <cellStyle name="20% - Accent3 3 14" xfId="223" xr:uid="{00000000-0005-0000-0000-0000A0000000}"/>
    <cellStyle name="20% - Accent3 3 15" xfId="224" xr:uid="{00000000-0005-0000-0000-0000A1000000}"/>
    <cellStyle name="20% - Accent3 3 16" xfId="225" xr:uid="{00000000-0005-0000-0000-0000A2000000}"/>
    <cellStyle name="20% - Accent3 3 17" xfId="226" xr:uid="{00000000-0005-0000-0000-0000A3000000}"/>
    <cellStyle name="20% - Accent3 3 18" xfId="227" xr:uid="{00000000-0005-0000-0000-0000A4000000}"/>
    <cellStyle name="20% - Accent3 3 19" xfId="228" xr:uid="{00000000-0005-0000-0000-0000A5000000}"/>
    <cellStyle name="20% - Accent3 3 2" xfId="229" xr:uid="{00000000-0005-0000-0000-0000A6000000}"/>
    <cellStyle name="20% - Accent3 3 3" xfId="230" xr:uid="{00000000-0005-0000-0000-0000A7000000}"/>
    <cellStyle name="20% - Accent3 3 4" xfId="231" xr:uid="{00000000-0005-0000-0000-0000A8000000}"/>
    <cellStyle name="20% - Accent3 3 5" xfId="232" xr:uid="{00000000-0005-0000-0000-0000A9000000}"/>
    <cellStyle name="20% - Accent3 3 6" xfId="233" xr:uid="{00000000-0005-0000-0000-0000AA000000}"/>
    <cellStyle name="20% - Accent3 3 7" xfId="234" xr:uid="{00000000-0005-0000-0000-0000AB000000}"/>
    <cellStyle name="20% - Accent3 3 8" xfId="235" xr:uid="{00000000-0005-0000-0000-0000AC000000}"/>
    <cellStyle name="20% - Accent3 3 9" xfId="236" xr:uid="{00000000-0005-0000-0000-0000AD000000}"/>
    <cellStyle name="20% - Accent3 4" xfId="237" xr:uid="{00000000-0005-0000-0000-0000AE000000}"/>
    <cellStyle name="20% - Accent3 4 10" xfId="238" xr:uid="{00000000-0005-0000-0000-0000AF000000}"/>
    <cellStyle name="20% - Accent3 4 11" xfId="239" xr:uid="{00000000-0005-0000-0000-0000B0000000}"/>
    <cellStyle name="20% - Accent3 4 12" xfId="240" xr:uid="{00000000-0005-0000-0000-0000B1000000}"/>
    <cellStyle name="20% - Accent3 4 13" xfId="241" xr:uid="{00000000-0005-0000-0000-0000B2000000}"/>
    <cellStyle name="20% - Accent3 4 14" xfId="242" xr:uid="{00000000-0005-0000-0000-0000B3000000}"/>
    <cellStyle name="20% - Accent3 4 15" xfId="243" xr:uid="{00000000-0005-0000-0000-0000B4000000}"/>
    <cellStyle name="20% - Accent3 4 16" xfId="244" xr:uid="{00000000-0005-0000-0000-0000B5000000}"/>
    <cellStyle name="20% - Accent3 4 2" xfId="245" xr:uid="{00000000-0005-0000-0000-0000B6000000}"/>
    <cellStyle name="20% - Accent3 4 3" xfId="246" xr:uid="{00000000-0005-0000-0000-0000B7000000}"/>
    <cellStyle name="20% - Accent3 4 4" xfId="247" xr:uid="{00000000-0005-0000-0000-0000B8000000}"/>
    <cellStyle name="20% - Accent3 4 5" xfId="248" xr:uid="{00000000-0005-0000-0000-0000B9000000}"/>
    <cellStyle name="20% - Accent3 4 6" xfId="249" xr:uid="{00000000-0005-0000-0000-0000BA000000}"/>
    <cellStyle name="20% - Accent3 4 7" xfId="250" xr:uid="{00000000-0005-0000-0000-0000BB000000}"/>
    <cellStyle name="20% - Accent3 4 8" xfId="251" xr:uid="{00000000-0005-0000-0000-0000BC000000}"/>
    <cellStyle name="20% - Accent3 4 9" xfId="252" xr:uid="{00000000-0005-0000-0000-0000BD000000}"/>
    <cellStyle name="20% - Accent4 2" xfId="253" xr:uid="{00000000-0005-0000-0000-0000BE000000}"/>
    <cellStyle name="20% - Accent4 2 10" xfId="254" xr:uid="{00000000-0005-0000-0000-0000BF000000}"/>
    <cellStyle name="20% - Accent4 2 11" xfId="255" xr:uid="{00000000-0005-0000-0000-0000C0000000}"/>
    <cellStyle name="20% - Accent4 2 12" xfId="256" xr:uid="{00000000-0005-0000-0000-0000C1000000}"/>
    <cellStyle name="20% - Accent4 2 13" xfId="257" xr:uid="{00000000-0005-0000-0000-0000C2000000}"/>
    <cellStyle name="20% - Accent4 2 14" xfId="258" xr:uid="{00000000-0005-0000-0000-0000C3000000}"/>
    <cellStyle name="20% - Accent4 2 15" xfId="259" xr:uid="{00000000-0005-0000-0000-0000C4000000}"/>
    <cellStyle name="20% - Accent4 2 16" xfId="260" xr:uid="{00000000-0005-0000-0000-0000C5000000}"/>
    <cellStyle name="20% - Accent4 2 17" xfId="261" xr:uid="{00000000-0005-0000-0000-0000C6000000}"/>
    <cellStyle name="20% - Accent4 2 18" xfId="262" xr:uid="{00000000-0005-0000-0000-0000C7000000}"/>
    <cellStyle name="20% - Accent4 2 19" xfId="263" xr:uid="{00000000-0005-0000-0000-0000C8000000}"/>
    <cellStyle name="20% - Accent4 2 2" xfId="264" xr:uid="{00000000-0005-0000-0000-0000C9000000}"/>
    <cellStyle name="20% - Accent4 2 20" xfId="265" xr:uid="{00000000-0005-0000-0000-0000CA000000}"/>
    <cellStyle name="20% - Accent4 2 21" xfId="266" xr:uid="{00000000-0005-0000-0000-0000CB000000}"/>
    <cellStyle name="20% - Accent4 2 22" xfId="267" xr:uid="{00000000-0005-0000-0000-0000CC000000}"/>
    <cellStyle name="20% - Accent4 2 23" xfId="268" xr:uid="{00000000-0005-0000-0000-0000CD000000}"/>
    <cellStyle name="20% - Accent4 2 24" xfId="269" xr:uid="{00000000-0005-0000-0000-0000CE000000}"/>
    <cellStyle name="20% - Accent4 2 25" xfId="270" xr:uid="{00000000-0005-0000-0000-0000CF000000}"/>
    <cellStyle name="20% - Accent4 2 3" xfId="271" xr:uid="{00000000-0005-0000-0000-0000D0000000}"/>
    <cellStyle name="20% - Accent4 2 4" xfId="272" xr:uid="{00000000-0005-0000-0000-0000D1000000}"/>
    <cellStyle name="20% - Accent4 2 5" xfId="273" xr:uid="{00000000-0005-0000-0000-0000D2000000}"/>
    <cellStyle name="20% - Accent4 2 6" xfId="274" xr:uid="{00000000-0005-0000-0000-0000D3000000}"/>
    <cellStyle name="20% - Accent4 2 7" xfId="275" xr:uid="{00000000-0005-0000-0000-0000D4000000}"/>
    <cellStyle name="20% - Accent4 2 8" xfId="276" xr:uid="{00000000-0005-0000-0000-0000D5000000}"/>
    <cellStyle name="20% - Accent4 2 9" xfId="277" xr:uid="{00000000-0005-0000-0000-0000D6000000}"/>
    <cellStyle name="20% - Accent4 3" xfId="278" xr:uid="{00000000-0005-0000-0000-0000D7000000}"/>
    <cellStyle name="20% - Accent4 3 10" xfId="279" xr:uid="{00000000-0005-0000-0000-0000D8000000}"/>
    <cellStyle name="20% - Accent4 3 11" xfId="280" xr:uid="{00000000-0005-0000-0000-0000D9000000}"/>
    <cellStyle name="20% - Accent4 3 12" xfId="281" xr:uid="{00000000-0005-0000-0000-0000DA000000}"/>
    <cellStyle name="20% - Accent4 3 13" xfId="282" xr:uid="{00000000-0005-0000-0000-0000DB000000}"/>
    <cellStyle name="20% - Accent4 3 14" xfId="283" xr:uid="{00000000-0005-0000-0000-0000DC000000}"/>
    <cellStyle name="20% - Accent4 3 15" xfId="284" xr:uid="{00000000-0005-0000-0000-0000DD000000}"/>
    <cellStyle name="20% - Accent4 3 16" xfId="285" xr:uid="{00000000-0005-0000-0000-0000DE000000}"/>
    <cellStyle name="20% - Accent4 3 17" xfId="286" xr:uid="{00000000-0005-0000-0000-0000DF000000}"/>
    <cellStyle name="20% - Accent4 3 18" xfId="287" xr:uid="{00000000-0005-0000-0000-0000E0000000}"/>
    <cellStyle name="20% - Accent4 3 19" xfId="288" xr:uid="{00000000-0005-0000-0000-0000E1000000}"/>
    <cellStyle name="20% - Accent4 3 2" xfId="289" xr:uid="{00000000-0005-0000-0000-0000E2000000}"/>
    <cellStyle name="20% - Accent4 3 3" xfId="290" xr:uid="{00000000-0005-0000-0000-0000E3000000}"/>
    <cellStyle name="20% - Accent4 3 4" xfId="291" xr:uid="{00000000-0005-0000-0000-0000E4000000}"/>
    <cellStyle name="20% - Accent4 3 5" xfId="292" xr:uid="{00000000-0005-0000-0000-0000E5000000}"/>
    <cellStyle name="20% - Accent4 3 6" xfId="293" xr:uid="{00000000-0005-0000-0000-0000E6000000}"/>
    <cellStyle name="20% - Accent4 3 7" xfId="294" xr:uid="{00000000-0005-0000-0000-0000E7000000}"/>
    <cellStyle name="20% - Accent4 3 8" xfId="295" xr:uid="{00000000-0005-0000-0000-0000E8000000}"/>
    <cellStyle name="20% - Accent4 3 9" xfId="296" xr:uid="{00000000-0005-0000-0000-0000E9000000}"/>
    <cellStyle name="20% - Accent4 4" xfId="297" xr:uid="{00000000-0005-0000-0000-0000EA000000}"/>
    <cellStyle name="20% - Accent4 4 10" xfId="298" xr:uid="{00000000-0005-0000-0000-0000EB000000}"/>
    <cellStyle name="20% - Accent4 4 11" xfId="299" xr:uid="{00000000-0005-0000-0000-0000EC000000}"/>
    <cellStyle name="20% - Accent4 4 12" xfId="300" xr:uid="{00000000-0005-0000-0000-0000ED000000}"/>
    <cellStyle name="20% - Accent4 4 13" xfId="301" xr:uid="{00000000-0005-0000-0000-0000EE000000}"/>
    <cellStyle name="20% - Accent4 4 14" xfId="302" xr:uid="{00000000-0005-0000-0000-0000EF000000}"/>
    <cellStyle name="20% - Accent4 4 15" xfId="303" xr:uid="{00000000-0005-0000-0000-0000F0000000}"/>
    <cellStyle name="20% - Accent4 4 16" xfId="304" xr:uid="{00000000-0005-0000-0000-0000F1000000}"/>
    <cellStyle name="20% - Accent4 4 2" xfId="305" xr:uid="{00000000-0005-0000-0000-0000F2000000}"/>
    <cellStyle name="20% - Accent4 4 3" xfId="306" xr:uid="{00000000-0005-0000-0000-0000F3000000}"/>
    <cellStyle name="20% - Accent4 4 4" xfId="307" xr:uid="{00000000-0005-0000-0000-0000F4000000}"/>
    <cellStyle name="20% - Accent4 4 5" xfId="308" xr:uid="{00000000-0005-0000-0000-0000F5000000}"/>
    <cellStyle name="20% - Accent4 4 6" xfId="309" xr:uid="{00000000-0005-0000-0000-0000F6000000}"/>
    <cellStyle name="20% - Accent4 4 7" xfId="310" xr:uid="{00000000-0005-0000-0000-0000F7000000}"/>
    <cellStyle name="20% - Accent4 4 8" xfId="311" xr:uid="{00000000-0005-0000-0000-0000F8000000}"/>
    <cellStyle name="20% - Accent4 4 9" xfId="312" xr:uid="{00000000-0005-0000-0000-0000F9000000}"/>
    <cellStyle name="20% - Accent5 2" xfId="313" xr:uid="{00000000-0005-0000-0000-0000FA000000}"/>
    <cellStyle name="20% - Accent5 2 10" xfId="314" xr:uid="{00000000-0005-0000-0000-0000FB000000}"/>
    <cellStyle name="20% - Accent5 2 11" xfId="315" xr:uid="{00000000-0005-0000-0000-0000FC000000}"/>
    <cellStyle name="20% - Accent5 2 12" xfId="316" xr:uid="{00000000-0005-0000-0000-0000FD000000}"/>
    <cellStyle name="20% - Accent5 2 13" xfId="317" xr:uid="{00000000-0005-0000-0000-0000FE000000}"/>
    <cellStyle name="20% - Accent5 2 14" xfId="318" xr:uid="{00000000-0005-0000-0000-0000FF000000}"/>
    <cellStyle name="20% - Accent5 2 15" xfId="319" xr:uid="{00000000-0005-0000-0000-000000010000}"/>
    <cellStyle name="20% - Accent5 2 16" xfId="320" xr:uid="{00000000-0005-0000-0000-000001010000}"/>
    <cellStyle name="20% - Accent5 2 17" xfId="321" xr:uid="{00000000-0005-0000-0000-000002010000}"/>
    <cellStyle name="20% - Accent5 2 18" xfId="322" xr:uid="{00000000-0005-0000-0000-000003010000}"/>
    <cellStyle name="20% - Accent5 2 19" xfId="323" xr:uid="{00000000-0005-0000-0000-000004010000}"/>
    <cellStyle name="20% - Accent5 2 2" xfId="324" xr:uid="{00000000-0005-0000-0000-000005010000}"/>
    <cellStyle name="20% - Accent5 2 20" xfId="325" xr:uid="{00000000-0005-0000-0000-000006010000}"/>
    <cellStyle name="20% - Accent5 2 21" xfId="326" xr:uid="{00000000-0005-0000-0000-000007010000}"/>
    <cellStyle name="20% - Accent5 2 22" xfId="327" xr:uid="{00000000-0005-0000-0000-000008010000}"/>
    <cellStyle name="20% - Accent5 2 23" xfId="328" xr:uid="{00000000-0005-0000-0000-000009010000}"/>
    <cellStyle name="20% - Accent5 2 24" xfId="329" xr:uid="{00000000-0005-0000-0000-00000A010000}"/>
    <cellStyle name="20% - Accent5 2 3" xfId="330" xr:uid="{00000000-0005-0000-0000-00000B010000}"/>
    <cellStyle name="20% - Accent5 2 4" xfId="331" xr:uid="{00000000-0005-0000-0000-00000C010000}"/>
    <cellStyle name="20% - Accent5 2 5" xfId="332" xr:uid="{00000000-0005-0000-0000-00000D010000}"/>
    <cellStyle name="20% - Accent5 2 6" xfId="333" xr:uid="{00000000-0005-0000-0000-00000E010000}"/>
    <cellStyle name="20% - Accent5 2 7" xfId="334" xr:uid="{00000000-0005-0000-0000-00000F010000}"/>
    <cellStyle name="20% - Accent5 2 8" xfId="335" xr:uid="{00000000-0005-0000-0000-000010010000}"/>
    <cellStyle name="20% - Accent5 2 9" xfId="336" xr:uid="{00000000-0005-0000-0000-000011010000}"/>
    <cellStyle name="20% - Accent5 3" xfId="337" xr:uid="{00000000-0005-0000-0000-000012010000}"/>
    <cellStyle name="20% - Accent5 3 10" xfId="338" xr:uid="{00000000-0005-0000-0000-000013010000}"/>
    <cellStyle name="20% - Accent5 3 11" xfId="339" xr:uid="{00000000-0005-0000-0000-000014010000}"/>
    <cellStyle name="20% - Accent5 3 12" xfId="340" xr:uid="{00000000-0005-0000-0000-000015010000}"/>
    <cellStyle name="20% - Accent5 3 13" xfId="341" xr:uid="{00000000-0005-0000-0000-000016010000}"/>
    <cellStyle name="20% - Accent5 3 14" xfId="342" xr:uid="{00000000-0005-0000-0000-000017010000}"/>
    <cellStyle name="20% - Accent5 3 15" xfId="343" xr:uid="{00000000-0005-0000-0000-000018010000}"/>
    <cellStyle name="20% - Accent5 3 16" xfId="344" xr:uid="{00000000-0005-0000-0000-000019010000}"/>
    <cellStyle name="20% - Accent5 3 17" xfId="345" xr:uid="{00000000-0005-0000-0000-00001A010000}"/>
    <cellStyle name="20% - Accent5 3 18" xfId="346" xr:uid="{00000000-0005-0000-0000-00001B010000}"/>
    <cellStyle name="20% - Accent5 3 19" xfId="347" xr:uid="{00000000-0005-0000-0000-00001C010000}"/>
    <cellStyle name="20% - Accent5 3 2" xfId="348" xr:uid="{00000000-0005-0000-0000-00001D010000}"/>
    <cellStyle name="20% - Accent5 3 3" xfId="349" xr:uid="{00000000-0005-0000-0000-00001E010000}"/>
    <cellStyle name="20% - Accent5 3 4" xfId="350" xr:uid="{00000000-0005-0000-0000-00001F010000}"/>
    <cellStyle name="20% - Accent5 3 5" xfId="351" xr:uid="{00000000-0005-0000-0000-000020010000}"/>
    <cellStyle name="20% - Accent5 3 6" xfId="352" xr:uid="{00000000-0005-0000-0000-000021010000}"/>
    <cellStyle name="20% - Accent5 3 7" xfId="353" xr:uid="{00000000-0005-0000-0000-000022010000}"/>
    <cellStyle name="20% - Accent5 3 8" xfId="354" xr:uid="{00000000-0005-0000-0000-000023010000}"/>
    <cellStyle name="20% - Accent5 3 9" xfId="355" xr:uid="{00000000-0005-0000-0000-000024010000}"/>
    <cellStyle name="20% - Accent5 4" xfId="356" xr:uid="{00000000-0005-0000-0000-000025010000}"/>
    <cellStyle name="20% - Accent5 4 10" xfId="357" xr:uid="{00000000-0005-0000-0000-000026010000}"/>
    <cellStyle name="20% - Accent5 4 11" xfId="358" xr:uid="{00000000-0005-0000-0000-000027010000}"/>
    <cellStyle name="20% - Accent5 4 12" xfId="359" xr:uid="{00000000-0005-0000-0000-000028010000}"/>
    <cellStyle name="20% - Accent5 4 13" xfId="360" xr:uid="{00000000-0005-0000-0000-000029010000}"/>
    <cellStyle name="20% - Accent5 4 14" xfId="361" xr:uid="{00000000-0005-0000-0000-00002A010000}"/>
    <cellStyle name="20% - Accent5 4 15" xfId="362" xr:uid="{00000000-0005-0000-0000-00002B010000}"/>
    <cellStyle name="20% - Accent5 4 16" xfId="363" xr:uid="{00000000-0005-0000-0000-00002C010000}"/>
    <cellStyle name="20% - Accent5 4 2" xfId="364" xr:uid="{00000000-0005-0000-0000-00002D010000}"/>
    <cellStyle name="20% - Accent5 4 3" xfId="365" xr:uid="{00000000-0005-0000-0000-00002E010000}"/>
    <cellStyle name="20% - Accent5 4 4" xfId="366" xr:uid="{00000000-0005-0000-0000-00002F010000}"/>
    <cellStyle name="20% - Accent5 4 5" xfId="367" xr:uid="{00000000-0005-0000-0000-000030010000}"/>
    <cellStyle name="20% - Accent5 4 6" xfId="368" xr:uid="{00000000-0005-0000-0000-000031010000}"/>
    <cellStyle name="20% - Accent5 4 7" xfId="369" xr:uid="{00000000-0005-0000-0000-000032010000}"/>
    <cellStyle name="20% - Accent5 4 8" xfId="370" xr:uid="{00000000-0005-0000-0000-000033010000}"/>
    <cellStyle name="20% - Accent5 4 9" xfId="371" xr:uid="{00000000-0005-0000-0000-000034010000}"/>
    <cellStyle name="20% - Accent6 2" xfId="372" xr:uid="{00000000-0005-0000-0000-000035010000}"/>
    <cellStyle name="20% - Accent6 2 10" xfId="373" xr:uid="{00000000-0005-0000-0000-000036010000}"/>
    <cellStyle name="20% - Accent6 2 11" xfId="374" xr:uid="{00000000-0005-0000-0000-000037010000}"/>
    <cellStyle name="20% - Accent6 2 12" xfId="375" xr:uid="{00000000-0005-0000-0000-000038010000}"/>
    <cellStyle name="20% - Accent6 2 13" xfId="376" xr:uid="{00000000-0005-0000-0000-000039010000}"/>
    <cellStyle name="20% - Accent6 2 14" xfId="377" xr:uid="{00000000-0005-0000-0000-00003A010000}"/>
    <cellStyle name="20% - Accent6 2 15" xfId="378" xr:uid="{00000000-0005-0000-0000-00003B010000}"/>
    <cellStyle name="20% - Accent6 2 16" xfId="379" xr:uid="{00000000-0005-0000-0000-00003C010000}"/>
    <cellStyle name="20% - Accent6 2 17" xfId="380" xr:uid="{00000000-0005-0000-0000-00003D010000}"/>
    <cellStyle name="20% - Accent6 2 18" xfId="381" xr:uid="{00000000-0005-0000-0000-00003E010000}"/>
    <cellStyle name="20% - Accent6 2 19" xfId="382" xr:uid="{00000000-0005-0000-0000-00003F010000}"/>
    <cellStyle name="20% - Accent6 2 2" xfId="383" xr:uid="{00000000-0005-0000-0000-000040010000}"/>
    <cellStyle name="20% - Accent6 2 20" xfId="384" xr:uid="{00000000-0005-0000-0000-000041010000}"/>
    <cellStyle name="20% - Accent6 2 21" xfId="385" xr:uid="{00000000-0005-0000-0000-000042010000}"/>
    <cellStyle name="20% - Accent6 2 22" xfId="386" xr:uid="{00000000-0005-0000-0000-000043010000}"/>
    <cellStyle name="20% - Accent6 2 23" xfId="387" xr:uid="{00000000-0005-0000-0000-000044010000}"/>
    <cellStyle name="20% - Accent6 2 24" xfId="388" xr:uid="{00000000-0005-0000-0000-000045010000}"/>
    <cellStyle name="20% - Accent6 2 3" xfId="389" xr:uid="{00000000-0005-0000-0000-000046010000}"/>
    <cellStyle name="20% - Accent6 2 4" xfId="390" xr:uid="{00000000-0005-0000-0000-000047010000}"/>
    <cellStyle name="20% - Accent6 2 5" xfId="391" xr:uid="{00000000-0005-0000-0000-000048010000}"/>
    <cellStyle name="20% - Accent6 2 6" xfId="392" xr:uid="{00000000-0005-0000-0000-000049010000}"/>
    <cellStyle name="20% - Accent6 2 7" xfId="393" xr:uid="{00000000-0005-0000-0000-00004A010000}"/>
    <cellStyle name="20% - Accent6 2 8" xfId="394" xr:uid="{00000000-0005-0000-0000-00004B010000}"/>
    <cellStyle name="20% - Accent6 2 9" xfId="395" xr:uid="{00000000-0005-0000-0000-00004C010000}"/>
    <cellStyle name="20% - Accent6 3" xfId="396" xr:uid="{00000000-0005-0000-0000-00004D010000}"/>
    <cellStyle name="20% - Accent6 3 10" xfId="397" xr:uid="{00000000-0005-0000-0000-00004E010000}"/>
    <cellStyle name="20% - Accent6 3 11" xfId="398" xr:uid="{00000000-0005-0000-0000-00004F010000}"/>
    <cellStyle name="20% - Accent6 3 12" xfId="399" xr:uid="{00000000-0005-0000-0000-000050010000}"/>
    <cellStyle name="20% - Accent6 3 13" xfId="400" xr:uid="{00000000-0005-0000-0000-000051010000}"/>
    <cellStyle name="20% - Accent6 3 14" xfId="401" xr:uid="{00000000-0005-0000-0000-000052010000}"/>
    <cellStyle name="20% - Accent6 3 15" xfId="402" xr:uid="{00000000-0005-0000-0000-000053010000}"/>
    <cellStyle name="20% - Accent6 3 16" xfId="403" xr:uid="{00000000-0005-0000-0000-000054010000}"/>
    <cellStyle name="20% - Accent6 3 17" xfId="404" xr:uid="{00000000-0005-0000-0000-000055010000}"/>
    <cellStyle name="20% - Accent6 3 18" xfId="405" xr:uid="{00000000-0005-0000-0000-000056010000}"/>
    <cellStyle name="20% - Accent6 3 19" xfId="406" xr:uid="{00000000-0005-0000-0000-000057010000}"/>
    <cellStyle name="20% - Accent6 3 2" xfId="407" xr:uid="{00000000-0005-0000-0000-000058010000}"/>
    <cellStyle name="20% - Accent6 3 3" xfId="408" xr:uid="{00000000-0005-0000-0000-000059010000}"/>
    <cellStyle name="20% - Accent6 3 4" xfId="409" xr:uid="{00000000-0005-0000-0000-00005A010000}"/>
    <cellStyle name="20% - Accent6 3 5" xfId="410" xr:uid="{00000000-0005-0000-0000-00005B010000}"/>
    <cellStyle name="20% - Accent6 3 6" xfId="411" xr:uid="{00000000-0005-0000-0000-00005C010000}"/>
    <cellStyle name="20% - Accent6 3 7" xfId="412" xr:uid="{00000000-0005-0000-0000-00005D010000}"/>
    <cellStyle name="20% - Accent6 3 8" xfId="413" xr:uid="{00000000-0005-0000-0000-00005E010000}"/>
    <cellStyle name="20% - Accent6 3 9" xfId="414" xr:uid="{00000000-0005-0000-0000-00005F010000}"/>
    <cellStyle name="20% - Accent6 4" xfId="415" xr:uid="{00000000-0005-0000-0000-000060010000}"/>
    <cellStyle name="20% - Accent6 4 10" xfId="416" xr:uid="{00000000-0005-0000-0000-000061010000}"/>
    <cellStyle name="20% - Accent6 4 11" xfId="417" xr:uid="{00000000-0005-0000-0000-000062010000}"/>
    <cellStyle name="20% - Accent6 4 12" xfId="418" xr:uid="{00000000-0005-0000-0000-000063010000}"/>
    <cellStyle name="20% - Accent6 4 13" xfId="419" xr:uid="{00000000-0005-0000-0000-000064010000}"/>
    <cellStyle name="20% - Accent6 4 14" xfId="420" xr:uid="{00000000-0005-0000-0000-000065010000}"/>
    <cellStyle name="20% - Accent6 4 15" xfId="421" xr:uid="{00000000-0005-0000-0000-000066010000}"/>
    <cellStyle name="20% - Accent6 4 16" xfId="422" xr:uid="{00000000-0005-0000-0000-000067010000}"/>
    <cellStyle name="20% - Accent6 4 2" xfId="423" xr:uid="{00000000-0005-0000-0000-000068010000}"/>
    <cellStyle name="20% - Accent6 4 3" xfId="424" xr:uid="{00000000-0005-0000-0000-000069010000}"/>
    <cellStyle name="20% - Accent6 4 4" xfId="425" xr:uid="{00000000-0005-0000-0000-00006A010000}"/>
    <cellStyle name="20% - Accent6 4 5" xfId="426" xr:uid="{00000000-0005-0000-0000-00006B010000}"/>
    <cellStyle name="20% - Accent6 4 6" xfId="427" xr:uid="{00000000-0005-0000-0000-00006C010000}"/>
    <cellStyle name="20% - Accent6 4 7" xfId="428" xr:uid="{00000000-0005-0000-0000-00006D010000}"/>
    <cellStyle name="20% - Accent6 4 8" xfId="429" xr:uid="{00000000-0005-0000-0000-00006E010000}"/>
    <cellStyle name="20% - Accent6 4 9" xfId="430" xr:uid="{00000000-0005-0000-0000-00006F010000}"/>
    <cellStyle name="20% - Isticanje1" xfId="431" xr:uid="{00000000-0005-0000-0000-000070010000}"/>
    <cellStyle name="20% - Isticanje1 2" xfId="432" xr:uid="{00000000-0005-0000-0000-000071010000}"/>
    <cellStyle name="20% - Isticanje2" xfId="433" xr:uid="{00000000-0005-0000-0000-000072010000}"/>
    <cellStyle name="20% - Isticanje2 2" xfId="434" xr:uid="{00000000-0005-0000-0000-000073010000}"/>
    <cellStyle name="20% - Isticanje3" xfId="435" xr:uid="{00000000-0005-0000-0000-000074010000}"/>
    <cellStyle name="20% - Isticanje3 2" xfId="436" xr:uid="{00000000-0005-0000-0000-000075010000}"/>
    <cellStyle name="20% - Isticanje4" xfId="437" xr:uid="{00000000-0005-0000-0000-000076010000}"/>
    <cellStyle name="20% - Isticanje4 2" xfId="438" xr:uid="{00000000-0005-0000-0000-000077010000}"/>
    <cellStyle name="20% - Isticanje5" xfId="439" xr:uid="{00000000-0005-0000-0000-000078010000}"/>
    <cellStyle name="20% - Isticanje5 2" xfId="440" xr:uid="{00000000-0005-0000-0000-000079010000}"/>
    <cellStyle name="20% - Isticanje6" xfId="441" xr:uid="{00000000-0005-0000-0000-00007A010000}"/>
    <cellStyle name="20% - Isticanje6 2" xfId="442" xr:uid="{00000000-0005-0000-0000-00007B010000}"/>
    <cellStyle name="40% - Accent1 2" xfId="443" xr:uid="{00000000-0005-0000-0000-00007C010000}"/>
    <cellStyle name="40% - Accent1 2 10" xfId="444" xr:uid="{00000000-0005-0000-0000-00007D010000}"/>
    <cellStyle name="40% - Accent1 2 11" xfId="445" xr:uid="{00000000-0005-0000-0000-00007E010000}"/>
    <cellStyle name="40% - Accent1 2 12" xfId="446" xr:uid="{00000000-0005-0000-0000-00007F010000}"/>
    <cellStyle name="40% - Accent1 2 13" xfId="447" xr:uid="{00000000-0005-0000-0000-000080010000}"/>
    <cellStyle name="40% - Accent1 2 14" xfId="448" xr:uid="{00000000-0005-0000-0000-000081010000}"/>
    <cellStyle name="40% - Accent1 2 15" xfId="449" xr:uid="{00000000-0005-0000-0000-000082010000}"/>
    <cellStyle name="40% - Accent1 2 16" xfId="450" xr:uid="{00000000-0005-0000-0000-000083010000}"/>
    <cellStyle name="40% - Accent1 2 17" xfId="451" xr:uid="{00000000-0005-0000-0000-000084010000}"/>
    <cellStyle name="40% - Accent1 2 18" xfId="452" xr:uid="{00000000-0005-0000-0000-000085010000}"/>
    <cellStyle name="40% - Accent1 2 19" xfId="453" xr:uid="{00000000-0005-0000-0000-000086010000}"/>
    <cellStyle name="40% - Accent1 2 2" xfId="454" xr:uid="{00000000-0005-0000-0000-000087010000}"/>
    <cellStyle name="40% - Accent1 2 20" xfId="455" xr:uid="{00000000-0005-0000-0000-000088010000}"/>
    <cellStyle name="40% - Accent1 2 21" xfId="456" xr:uid="{00000000-0005-0000-0000-000089010000}"/>
    <cellStyle name="40% - Accent1 2 22" xfId="457" xr:uid="{00000000-0005-0000-0000-00008A010000}"/>
    <cellStyle name="40% - Accent1 2 23" xfId="458" xr:uid="{00000000-0005-0000-0000-00008B010000}"/>
    <cellStyle name="40% - Accent1 2 24" xfId="459" xr:uid="{00000000-0005-0000-0000-00008C010000}"/>
    <cellStyle name="40% - Accent1 2 25" xfId="460" xr:uid="{00000000-0005-0000-0000-00008D010000}"/>
    <cellStyle name="40% - Accent1 2 3" xfId="461" xr:uid="{00000000-0005-0000-0000-00008E010000}"/>
    <cellStyle name="40% - Accent1 2 4" xfId="462" xr:uid="{00000000-0005-0000-0000-00008F010000}"/>
    <cellStyle name="40% - Accent1 2 5" xfId="463" xr:uid="{00000000-0005-0000-0000-000090010000}"/>
    <cellStyle name="40% - Accent1 2 6" xfId="464" xr:uid="{00000000-0005-0000-0000-000091010000}"/>
    <cellStyle name="40% - Accent1 2 7" xfId="465" xr:uid="{00000000-0005-0000-0000-000092010000}"/>
    <cellStyle name="40% - Accent1 2 8" xfId="466" xr:uid="{00000000-0005-0000-0000-000093010000}"/>
    <cellStyle name="40% - Accent1 2 9" xfId="467" xr:uid="{00000000-0005-0000-0000-000094010000}"/>
    <cellStyle name="40% - Accent1 3" xfId="468" xr:uid="{00000000-0005-0000-0000-000095010000}"/>
    <cellStyle name="40% - Accent1 3 10" xfId="469" xr:uid="{00000000-0005-0000-0000-000096010000}"/>
    <cellStyle name="40% - Accent1 3 11" xfId="470" xr:uid="{00000000-0005-0000-0000-000097010000}"/>
    <cellStyle name="40% - Accent1 3 12" xfId="471" xr:uid="{00000000-0005-0000-0000-000098010000}"/>
    <cellStyle name="40% - Accent1 3 13" xfId="472" xr:uid="{00000000-0005-0000-0000-000099010000}"/>
    <cellStyle name="40% - Accent1 3 14" xfId="473" xr:uid="{00000000-0005-0000-0000-00009A010000}"/>
    <cellStyle name="40% - Accent1 3 15" xfId="474" xr:uid="{00000000-0005-0000-0000-00009B010000}"/>
    <cellStyle name="40% - Accent1 3 16" xfId="475" xr:uid="{00000000-0005-0000-0000-00009C010000}"/>
    <cellStyle name="40% - Accent1 3 17" xfId="476" xr:uid="{00000000-0005-0000-0000-00009D010000}"/>
    <cellStyle name="40% - Accent1 3 18" xfId="477" xr:uid="{00000000-0005-0000-0000-00009E010000}"/>
    <cellStyle name="40% - Accent1 3 19" xfId="478" xr:uid="{00000000-0005-0000-0000-00009F010000}"/>
    <cellStyle name="40% - Accent1 3 2" xfId="479" xr:uid="{00000000-0005-0000-0000-0000A0010000}"/>
    <cellStyle name="40% - Accent1 3 3" xfId="480" xr:uid="{00000000-0005-0000-0000-0000A1010000}"/>
    <cellStyle name="40% - Accent1 3 4" xfId="481" xr:uid="{00000000-0005-0000-0000-0000A2010000}"/>
    <cellStyle name="40% - Accent1 3 5" xfId="482" xr:uid="{00000000-0005-0000-0000-0000A3010000}"/>
    <cellStyle name="40% - Accent1 3 6" xfId="483" xr:uid="{00000000-0005-0000-0000-0000A4010000}"/>
    <cellStyle name="40% - Accent1 3 7" xfId="484" xr:uid="{00000000-0005-0000-0000-0000A5010000}"/>
    <cellStyle name="40% - Accent1 3 8" xfId="485" xr:uid="{00000000-0005-0000-0000-0000A6010000}"/>
    <cellStyle name="40% - Accent1 3 9" xfId="486" xr:uid="{00000000-0005-0000-0000-0000A7010000}"/>
    <cellStyle name="40% - Accent1 4" xfId="487" xr:uid="{00000000-0005-0000-0000-0000A8010000}"/>
    <cellStyle name="40% - Accent1 4 10" xfId="488" xr:uid="{00000000-0005-0000-0000-0000A9010000}"/>
    <cellStyle name="40% - Accent1 4 11" xfId="489" xr:uid="{00000000-0005-0000-0000-0000AA010000}"/>
    <cellStyle name="40% - Accent1 4 12" xfId="490" xr:uid="{00000000-0005-0000-0000-0000AB010000}"/>
    <cellStyle name="40% - Accent1 4 13" xfId="491" xr:uid="{00000000-0005-0000-0000-0000AC010000}"/>
    <cellStyle name="40% - Accent1 4 14" xfId="492" xr:uid="{00000000-0005-0000-0000-0000AD010000}"/>
    <cellStyle name="40% - Accent1 4 15" xfId="493" xr:uid="{00000000-0005-0000-0000-0000AE010000}"/>
    <cellStyle name="40% - Accent1 4 16" xfId="494" xr:uid="{00000000-0005-0000-0000-0000AF010000}"/>
    <cellStyle name="40% - Accent1 4 2" xfId="495" xr:uid="{00000000-0005-0000-0000-0000B0010000}"/>
    <cellStyle name="40% - Accent1 4 3" xfId="496" xr:uid="{00000000-0005-0000-0000-0000B1010000}"/>
    <cellStyle name="40% - Accent1 4 4" xfId="497" xr:uid="{00000000-0005-0000-0000-0000B2010000}"/>
    <cellStyle name="40% - Accent1 4 5" xfId="498" xr:uid="{00000000-0005-0000-0000-0000B3010000}"/>
    <cellStyle name="40% - Accent1 4 6" xfId="499" xr:uid="{00000000-0005-0000-0000-0000B4010000}"/>
    <cellStyle name="40% - Accent1 4 7" xfId="500" xr:uid="{00000000-0005-0000-0000-0000B5010000}"/>
    <cellStyle name="40% - Accent1 4 8" xfId="501" xr:uid="{00000000-0005-0000-0000-0000B6010000}"/>
    <cellStyle name="40% - Accent1 4 9" xfId="502" xr:uid="{00000000-0005-0000-0000-0000B7010000}"/>
    <cellStyle name="40% - Accent2 2" xfId="503" xr:uid="{00000000-0005-0000-0000-0000B8010000}"/>
    <cellStyle name="40% - Accent2 2 10" xfId="504" xr:uid="{00000000-0005-0000-0000-0000B9010000}"/>
    <cellStyle name="40% - Accent2 2 11" xfId="505" xr:uid="{00000000-0005-0000-0000-0000BA010000}"/>
    <cellStyle name="40% - Accent2 2 12" xfId="506" xr:uid="{00000000-0005-0000-0000-0000BB010000}"/>
    <cellStyle name="40% - Accent2 2 13" xfId="507" xr:uid="{00000000-0005-0000-0000-0000BC010000}"/>
    <cellStyle name="40% - Accent2 2 14" xfId="508" xr:uid="{00000000-0005-0000-0000-0000BD010000}"/>
    <cellStyle name="40% - Accent2 2 15" xfId="509" xr:uid="{00000000-0005-0000-0000-0000BE010000}"/>
    <cellStyle name="40% - Accent2 2 16" xfId="510" xr:uid="{00000000-0005-0000-0000-0000BF010000}"/>
    <cellStyle name="40% - Accent2 2 17" xfId="511" xr:uid="{00000000-0005-0000-0000-0000C0010000}"/>
    <cellStyle name="40% - Accent2 2 18" xfId="512" xr:uid="{00000000-0005-0000-0000-0000C1010000}"/>
    <cellStyle name="40% - Accent2 2 19" xfId="513" xr:uid="{00000000-0005-0000-0000-0000C2010000}"/>
    <cellStyle name="40% - Accent2 2 2" xfId="514" xr:uid="{00000000-0005-0000-0000-0000C3010000}"/>
    <cellStyle name="40% - Accent2 2 20" xfId="515" xr:uid="{00000000-0005-0000-0000-0000C4010000}"/>
    <cellStyle name="40% - Accent2 2 21" xfId="516" xr:uid="{00000000-0005-0000-0000-0000C5010000}"/>
    <cellStyle name="40% - Accent2 2 22" xfId="517" xr:uid="{00000000-0005-0000-0000-0000C6010000}"/>
    <cellStyle name="40% - Accent2 2 23" xfId="518" xr:uid="{00000000-0005-0000-0000-0000C7010000}"/>
    <cellStyle name="40% - Accent2 2 24" xfId="519" xr:uid="{00000000-0005-0000-0000-0000C8010000}"/>
    <cellStyle name="40% - Accent2 2 3" xfId="520" xr:uid="{00000000-0005-0000-0000-0000C9010000}"/>
    <cellStyle name="40% - Accent2 2 4" xfId="521" xr:uid="{00000000-0005-0000-0000-0000CA010000}"/>
    <cellStyle name="40% - Accent2 2 5" xfId="522" xr:uid="{00000000-0005-0000-0000-0000CB010000}"/>
    <cellStyle name="40% - Accent2 2 6" xfId="523" xr:uid="{00000000-0005-0000-0000-0000CC010000}"/>
    <cellStyle name="40% - Accent2 2 7" xfId="524" xr:uid="{00000000-0005-0000-0000-0000CD010000}"/>
    <cellStyle name="40% - Accent2 2 8" xfId="525" xr:uid="{00000000-0005-0000-0000-0000CE010000}"/>
    <cellStyle name="40% - Accent2 2 9" xfId="526" xr:uid="{00000000-0005-0000-0000-0000CF010000}"/>
    <cellStyle name="40% - Accent2 3" xfId="527" xr:uid="{00000000-0005-0000-0000-0000D0010000}"/>
    <cellStyle name="40% - Accent2 3 10" xfId="528" xr:uid="{00000000-0005-0000-0000-0000D1010000}"/>
    <cellStyle name="40% - Accent2 3 11" xfId="529" xr:uid="{00000000-0005-0000-0000-0000D2010000}"/>
    <cellStyle name="40% - Accent2 3 12" xfId="530" xr:uid="{00000000-0005-0000-0000-0000D3010000}"/>
    <cellStyle name="40% - Accent2 3 13" xfId="531" xr:uid="{00000000-0005-0000-0000-0000D4010000}"/>
    <cellStyle name="40% - Accent2 3 14" xfId="532" xr:uid="{00000000-0005-0000-0000-0000D5010000}"/>
    <cellStyle name="40% - Accent2 3 15" xfId="533" xr:uid="{00000000-0005-0000-0000-0000D6010000}"/>
    <cellStyle name="40% - Accent2 3 16" xfId="534" xr:uid="{00000000-0005-0000-0000-0000D7010000}"/>
    <cellStyle name="40% - Accent2 3 17" xfId="535" xr:uid="{00000000-0005-0000-0000-0000D8010000}"/>
    <cellStyle name="40% - Accent2 3 18" xfId="536" xr:uid="{00000000-0005-0000-0000-0000D9010000}"/>
    <cellStyle name="40% - Accent2 3 19" xfId="537" xr:uid="{00000000-0005-0000-0000-0000DA010000}"/>
    <cellStyle name="40% - Accent2 3 2" xfId="538" xr:uid="{00000000-0005-0000-0000-0000DB010000}"/>
    <cellStyle name="40% - Accent2 3 3" xfId="539" xr:uid="{00000000-0005-0000-0000-0000DC010000}"/>
    <cellStyle name="40% - Accent2 3 4" xfId="540" xr:uid="{00000000-0005-0000-0000-0000DD010000}"/>
    <cellStyle name="40% - Accent2 3 5" xfId="541" xr:uid="{00000000-0005-0000-0000-0000DE010000}"/>
    <cellStyle name="40% - Accent2 3 6" xfId="542" xr:uid="{00000000-0005-0000-0000-0000DF010000}"/>
    <cellStyle name="40% - Accent2 3 7" xfId="543" xr:uid="{00000000-0005-0000-0000-0000E0010000}"/>
    <cellStyle name="40% - Accent2 3 8" xfId="544" xr:uid="{00000000-0005-0000-0000-0000E1010000}"/>
    <cellStyle name="40% - Accent2 3 9" xfId="545" xr:uid="{00000000-0005-0000-0000-0000E2010000}"/>
    <cellStyle name="40% - Accent2 4" xfId="546" xr:uid="{00000000-0005-0000-0000-0000E3010000}"/>
    <cellStyle name="40% - Accent2 4 10" xfId="547" xr:uid="{00000000-0005-0000-0000-0000E4010000}"/>
    <cellStyle name="40% - Accent2 4 11" xfId="548" xr:uid="{00000000-0005-0000-0000-0000E5010000}"/>
    <cellStyle name="40% - Accent2 4 12" xfId="549" xr:uid="{00000000-0005-0000-0000-0000E6010000}"/>
    <cellStyle name="40% - Accent2 4 13" xfId="550" xr:uid="{00000000-0005-0000-0000-0000E7010000}"/>
    <cellStyle name="40% - Accent2 4 14" xfId="551" xr:uid="{00000000-0005-0000-0000-0000E8010000}"/>
    <cellStyle name="40% - Accent2 4 15" xfId="552" xr:uid="{00000000-0005-0000-0000-0000E9010000}"/>
    <cellStyle name="40% - Accent2 4 16" xfId="553" xr:uid="{00000000-0005-0000-0000-0000EA010000}"/>
    <cellStyle name="40% - Accent2 4 2" xfId="554" xr:uid="{00000000-0005-0000-0000-0000EB010000}"/>
    <cellStyle name="40% - Accent2 4 3" xfId="555" xr:uid="{00000000-0005-0000-0000-0000EC010000}"/>
    <cellStyle name="40% - Accent2 4 4" xfId="556" xr:uid="{00000000-0005-0000-0000-0000ED010000}"/>
    <cellStyle name="40% - Accent2 4 5" xfId="557" xr:uid="{00000000-0005-0000-0000-0000EE010000}"/>
    <cellStyle name="40% - Accent2 4 6" xfId="558" xr:uid="{00000000-0005-0000-0000-0000EF010000}"/>
    <cellStyle name="40% - Accent2 4 7" xfId="559" xr:uid="{00000000-0005-0000-0000-0000F0010000}"/>
    <cellStyle name="40% - Accent2 4 8" xfId="560" xr:uid="{00000000-0005-0000-0000-0000F1010000}"/>
    <cellStyle name="40% - Accent2 4 9" xfId="561" xr:uid="{00000000-0005-0000-0000-0000F2010000}"/>
    <cellStyle name="40% - Accent3 2" xfId="562" xr:uid="{00000000-0005-0000-0000-0000F3010000}"/>
    <cellStyle name="40% - Accent3 2 10" xfId="563" xr:uid="{00000000-0005-0000-0000-0000F4010000}"/>
    <cellStyle name="40% - Accent3 2 11" xfId="564" xr:uid="{00000000-0005-0000-0000-0000F5010000}"/>
    <cellStyle name="40% - Accent3 2 12" xfId="565" xr:uid="{00000000-0005-0000-0000-0000F6010000}"/>
    <cellStyle name="40% - Accent3 2 13" xfId="566" xr:uid="{00000000-0005-0000-0000-0000F7010000}"/>
    <cellStyle name="40% - Accent3 2 14" xfId="567" xr:uid="{00000000-0005-0000-0000-0000F8010000}"/>
    <cellStyle name="40% - Accent3 2 15" xfId="568" xr:uid="{00000000-0005-0000-0000-0000F9010000}"/>
    <cellStyle name="40% - Accent3 2 16" xfId="569" xr:uid="{00000000-0005-0000-0000-0000FA010000}"/>
    <cellStyle name="40% - Accent3 2 17" xfId="570" xr:uid="{00000000-0005-0000-0000-0000FB010000}"/>
    <cellStyle name="40% - Accent3 2 18" xfId="571" xr:uid="{00000000-0005-0000-0000-0000FC010000}"/>
    <cellStyle name="40% - Accent3 2 19" xfId="572" xr:uid="{00000000-0005-0000-0000-0000FD010000}"/>
    <cellStyle name="40% - Accent3 2 2" xfId="573" xr:uid="{00000000-0005-0000-0000-0000FE010000}"/>
    <cellStyle name="40% - Accent3 2 20" xfId="574" xr:uid="{00000000-0005-0000-0000-0000FF010000}"/>
    <cellStyle name="40% - Accent3 2 21" xfId="575" xr:uid="{00000000-0005-0000-0000-000000020000}"/>
    <cellStyle name="40% - Accent3 2 22" xfId="576" xr:uid="{00000000-0005-0000-0000-000001020000}"/>
    <cellStyle name="40% - Accent3 2 23" xfId="577" xr:uid="{00000000-0005-0000-0000-000002020000}"/>
    <cellStyle name="40% - Accent3 2 24" xfId="578" xr:uid="{00000000-0005-0000-0000-000003020000}"/>
    <cellStyle name="40% - Accent3 2 25" xfId="579" xr:uid="{00000000-0005-0000-0000-000004020000}"/>
    <cellStyle name="40% - Accent3 2 3" xfId="580" xr:uid="{00000000-0005-0000-0000-000005020000}"/>
    <cellStyle name="40% - Accent3 2 4" xfId="581" xr:uid="{00000000-0005-0000-0000-000006020000}"/>
    <cellStyle name="40% - Accent3 2 5" xfId="582" xr:uid="{00000000-0005-0000-0000-000007020000}"/>
    <cellStyle name="40% - Accent3 2 6" xfId="583" xr:uid="{00000000-0005-0000-0000-000008020000}"/>
    <cellStyle name="40% - Accent3 2 7" xfId="584" xr:uid="{00000000-0005-0000-0000-000009020000}"/>
    <cellStyle name="40% - Accent3 2 8" xfId="585" xr:uid="{00000000-0005-0000-0000-00000A020000}"/>
    <cellStyle name="40% - Accent3 2 9" xfId="586" xr:uid="{00000000-0005-0000-0000-00000B020000}"/>
    <cellStyle name="40% - Accent3 3" xfId="587" xr:uid="{00000000-0005-0000-0000-00000C020000}"/>
    <cellStyle name="40% - Accent3 3 10" xfId="588" xr:uid="{00000000-0005-0000-0000-00000D020000}"/>
    <cellStyle name="40% - Accent3 3 11" xfId="589" xr:uid="{00000000-0005-0000-0000-00000E020000}"/>
    <cellStyle name="40% - Accent3 3 12" xfId="590" xr:uid="{00000000-0005-0000-0000-00000F020000}"/>
    <cellStyle name="40% - Accent3 3 13" xfId="591" xr:uid="{00000000-0005-0000-0000-000010020000}"/>
    <cellStyle name="40% - Accent3 3 14" xfId="592" xr:uid="{00000000-0005-0000-0000-000011020000}"/>
    <cellStyle name="40% - Accent3 3 15" xfId="593" xr:uid="{00000000-0005-0000-0000-000012020000}"/>
    <cellStyle name="40% - Accent3 3 16" xfId="594" xr:uid="{00000000-0005-0000-0000-000013020000}"/>
    <cellStyle name="40% - Accent3 3 17" xfId="595" xr:uid="{00000000-0005-0000-0000-000014020000}"/>
    <cellStyle name="40% - Accent3 3 18" xfId="596" xr:uid="{00000000-0005-0000-0000-000015020000}"/>
    <cellStyle name="40% - Accent3 3 19" xfId="597" xr:uid="{00000000-0005-0000-0000-000016020000}"/>
    <cellStyle name="40% - Accent3 3 2" xfId="598" xr:uid="{00000000-0005-0000-0000-000017020000}"/>
    <cellStyle name="40% - Accent3 3 3" xfId="599" xr:uid="{00000000-0005-0000-0000-000018020000}"/>
    <cellStyle name="40% - Accent3 3 4" xfId="600" xr:uid="{00000000-0005-0000-0000-000019020000}"/>
    <cellStyle name="40% - Accent3 3 5" xfId="601" xr:uid="{00000000-0005-0000-0000-00001A020000}"/>
    <cellStyle name="40% - Accent3 3 6" xfId="602" xr:uid="{00000000-0005-0000-0000-00001B020000}"/>
    <cellStyle name="40% - Accent3 3 7" xfId="603" xr:uid="{00000000-0005-0000-0000-00001C020000}"/>
    <cellStyle name="40% - Accent3 3 8" xfId="604" xr:uid="{00000000-0005-0000-0000-00001D020000}"/>
    <cellStyle name="40% - Accent3 3 9" xfId="605" xr:uid="{00000000-0005-0000-0000-00001E020000}"/>
    <cellStyle name="40% - Accent3 4" xfId="606" xr:uid="{00000000-0005-0000-0000-00001F020000}"/>
    <cellStyle name="40% - Accent3 4 10" xfId="607" xr:uid="{00000000-0005-0000-0000-000020020000}"/>
    <cellStyle name="40% - Accent3 4 11" xfId="608" xr:uid="{00000000-0005-0000-0000-000021020000}"/>
    <cellStyle name="40% - Accent3 4 12" xfId="609" xr:uid="{00000000-0005-0000-0000-000022020000}"/>
    <cellStyle name="40% - Accent3 4 13" xfId="610" xr:uid="{00000000-0005-0000-0000-000023020000}"/>
    <cellStyle name="40% - Accent3 4 14" xfId="611" xr:uid="{00000000-0005-0000-0000-000024020000}"/>
    <cellStyle name="40% - Accent3 4 15" xfId="612" xr:uid="{00000000-0005-0000-0000-000025020000}"/>
    <cellStyle name="40% - Accent3 4 16" xfId="613" xr:uid="{00000000-0005-0000-0000-000026020000}"/>
    <cellStyle name="40% - Accent3 4 2" xfId="614" xr:uid="{00000000-0005-0000-0000-000027020000}"/>
    <cellStyle name="40% - Accent3 4 3" xfId="615" xr:uid="{00000000-0005-0000-0000-000028020000}"/>
    <cellStyle name="40% - Accent3 4 4" xfId="616" xr:uid="{00000000-0005-0000-0000-000029020000}"/>
    <cellStyle name="40% - Accent3 4 5" xfId="617" xr:uid="{00000000-0005-0000-0000-00002A020000}"/>
    <cellStyle name="40% - Accent3 4 6" xfId="618" xr:uid="{00000000-0005-0000-0000-00002B020000}"/>
    <cellStyle name="40% - Accent3 4 7" xfId="619" xr:uid="{00000000-0005-0000-0000-00002C020000}"/>
    <cellStyle name="40% - Accent3 4 8" xfId="620" xr:uid="{00000000-0005-0000-0000-00002D020000}"/>
    <cellStyle name="40% - Accent3 4 9" xfId="621" xr:uid="{00000000-0005-0000-0000-00002E020000}"/>
    <cellStyle name="40% - Accent4 2" xfId="622" xr:uid="{00000000-0005-0000-0000-00002F020000}"/>
    <cellStyle name="40% - Accent4 2 10" xfId="623" xr:uid="{00000000-0005-0000-0000-000030020000}"/>
    <cellStyle name="40% - Accent4 2 11" xfId="624" xr:uid="{00000000-0005-0000-0000-000031020000}"/>
    <cellStyle name="40% - Accent4 2 12" xfId="625" xr:uid="{00000000-0005-0000-0000-000032020000}"/>
    <cellStyle name="40% - Accent4 2 13" xfId="626" xr:uid="{00000000-0005-0000-0000-000033020000}"/>
    <cellStyle name="40% - Accent4 2 14" xfId="627" xr:uid="{00000000-0005-0000-0000-000034020000}"/>
    <cellStyle name="40% - Accent4 2 15" xfId="628" xr:uid="{00000000-0005-0000-0000-000035020000}"/>
    <cellStyle name="40% - Accent4 2 16" xfId="629" xr:uid="{00000000-0005-0000-0000-000036020000}"/>
    <cellStyle name="40% - Accent4 2 17" xfId="630" xr:uid="{00000000-0005-0000-0000-000037020000}"/>
    <cellStyle name="40% - Accent4 2 18" xfId="631" xr:uid="{00000000-0005-0000-0000-000038020000}"/>
    <cellStyle name="40% - Accent4 2 19" xfId="632" xr:uid="{00000000-0005-0000-0000-000039020000}"/>
    <cellStyle name="40% - Accent4 2 2" xfId="633" xr:uid="{00000000-0005-0000-0000-00003A020000}"/>
    <cellStyle name="40% - Accent4 2 20" xfId="634" xr:uid="{00000000-0005-0000-0000-00003B020000}"/>
    <cellStyle name="40% - Accent4 2 21" xfId="635" xr:uid="{00000000-0005-0000-0000-00003C020000}"/>
    <cellStyle name="40% - Accent4 2 22" xfId="636" xr:uid="{00000000-0005-0000-0000-00003D020000}"/>
    <cellStyle name="40% - Accent4 2 23" xfId="637" xr:uid="{00000000-0005-0000-0000-00003E020000}"/>
    <cellStyle name="40% - Accent4 2 24" xfId="638" xr:uid="{00000000-0005-0000-0000-00003F020000}"/>
    <cellStyle name="40% - Accent4 2 25" xfId="639" xr:uid="{00000000-0005-0000-0000-000040020000}"/>
    <cellStyle name="40% - Accent4 2 3" xfId="640" xr:uid="{00000000-0005-0000-0000-000041020000}"/>
    <cellStyle name="40% - Accent4 2 4" xfId="641" xr:uid="{00000000-0005-0000-0000-000042020000}"/>
    <cellStyle name="40% - Accent4 2 5" xfId="642" xr:uid="{00000000-0005-0000-0000-000043020000}"/>
    <cellStyle name="40% - Accent4 2 6" xfId="643" xr:uid="{00000000-0005-0000-0000-000044020000}"/>
    <cellStyle name="40% - Accent4 2 7" xfId="644" xr:uid="{00000000-0005-0000-0000-000045020000}"/>
    <cellStyle name="40% - Accent4 2 8" xfId="645" xr:uid="{00000000-0005-0000-0000-000046020000}"/>
    <cellStyle name="40% - Accent4 2 9" xfId="646" xr:uid="{00000000-0005-0000-0000-000047020000}"/>
    <cellStyle name="40% - Accent4 3" xfId="647" xr:uid="{00000000-0005-0000-0000-000048020000}"/>
    <cellStyle name="40% - Accent4 3 10" xfId="648" xr:uid="{00000000-0005-0000-0000-000049020000}"/>
    <cellStyle name="40% - Accent4 3 11" xfId="649" xr:uid="{00000000-0005-0000-0000-00004A020000}"/>
    <cellStyle name="40% - Accent4 3 12" xfId="650" xr:uid="{00000000-0005-0000-0000-00004B020000}"/>
    <cellStyle name="40% - Accent4 3 13" xfId="651" xr:uid="{00000000-0005-0000-0000-00004C020000}"/>
    <cellStyle name="40% - Accent4 3 14" xfId="652" xr:uid="{00000000-0005-0000-0000-00004D020000}"/>
    <cellStyle name="40% - Accent4 3 15" xfId="653" xr:uid="{00000000-0005-0000-0000-00004E020000}"/>
    <cellStyle name="40% - Accent4 3 16" xfId="654" xr:uid="{00000000-0005-0000-0000-00004F020000}"/>
    <cellStyle name="40% - Accent4 3 17" xfId="655" xr:uid="{00000000-0005-0000-0000-000050020000}"/>
    <cellStyle name="40% - Accent4 3 18" xfId="656" xr:uid="{00000000-0005-0000-0000-000051020000}"/>
    <cellStyle name="40% - Accent4 3 19" xfId="657" xr:uid="{00000000-0005-0000-0000-000052020000}"/>
    <cellStyle name="40% - Accent4 3 2" xfId="658" xr:uid="{00000000-0005-0000-0000-000053020000}"/>
    <cellStyle name="40% - Accent4 3 3" xfId="659" xr:uid="{00000000-0005-0000-0000-000054020000}"/>
    <cellStyle name="40% - Accent4 3 4" xfId="660" xr:uid="{00000000-0005-0000-0000-000055020000}"/>
    <cellStyle name="40% - Accent4 3 5" xfId="661" xr:uid="{00000000-0005-0000-0000-000056020000}"/>
    <cellStyle name="40% - Accent4 3 6" xfId="662" xr:uid="{00000000-0005-0000-0000-000057020000}"/>
    <cellStyle name="40% - Accent4 3 7" xfId="663" xr:uid="{00000000-0005-0000-0000-000058020000}"/>
    <cellStyle name="40% - Accent4 3 8" xfId="664" xr:uid="{00000000-0005-0000-0000-000059020000}"/>
    <cellStyle name="40% - Accent4 3 9" xfId="665" xr:uid="{00000000-0005-0000-0000-00005A020000}"/>
    <cellStyle name="40% - Accent4 4" xfId="666" xr:uid="{00000000-0005-0000-0000-00005B020000}"/>
    <cellStyle name="40% - Accent4 4 10" xfId="667" xr:uid="{00000000-0005-0000-0000-00005C020000}"/>
    <cellStyle name="40% - Accent4 4 11" xfId="668" xr:uid="{00000000-0005-0000-0000-00005D020000}"/>
    <cellStyle name="40% - Accent4 4 12" xfId="669" xr:uid="{00000000-0005-0000-0000-00005E020000}"/>
    <cellStyle name="40% - Accent4 4 13" xfId="670" xr:uid="{00000000-0005-0000-0000-00005F020000}"/>
    <cellStyle name="40% - Accent4 4 14" xfId="671" xr:uid="{00000000-0005-0000-0000-000060020000}"/>
    <cellStyle name="40% - Accent4 4 15" xfId="672" xr:uid="{00000000-0005-0000-0000-000061020000}"/>
    <cellStyle name="40% - Accent4 4 16" xfId="673" xr:uid="{00000000-0005-0000-0000-000062020000}"/>
    <cellStyle name="40% - Accent4 4 2" xfId="674" xr:uid="{00000000-0005-0000-0000-000063020000}"/>
    <cellStyle name="40% - Accent4 4 3" xfId="675" xr:uid="{00000000-0005-0000-0000-000064020000}"/>
    <cellStyle name="40% - Accent4 4 4" xfId="676" xr:uid="{00000000-0005-0000-0000-000065020000}"/>
    <cellStyle name="40% - Accent4 4 5" xfId="677" xr:uid="{00000000-0005-0000-0000-000066020000}"/>
    <cellStyle name="40% - Accent4 4 6" xfId="678" xr:uid="{00000000-0005-0000-0000-000067020000}"/>
    <cellStyle name="40% - Accent4 4 7" xfId="679" xr:uid="{00000000-0005-0000-0000-000068020000}"/>
    <cellStyle name="40% - Accent4 4 8" xfId="680" xr:uid="{00000000-0005-0000-0000-000069020000}"/>
    <cellStyle name="40% - Accent4 4 9" xfId="681" xr:uid="{00000000-0005-0000-0000-00006A020000}"/>
    <cellStyle name="40% - Accent5 2" xfId="682" xr:uid="{00000000-0005-0000-0000-00006B020000}"/>
    <cellStyle name="40% - Accent5 2 10" xfId="683" xr:uid="{00000000-0005-0000-0000-00006C020000}"/>
    <cellStyle name="40% - Accent5 2 11" xfId="684" xr:uid="{00000000-0005-0000-0000-00006D020000}"/>
    <cellStyle name="40% - Accent5 2 12" xfId="685" xr:uid="{00000000-0005-0000-0000-00006E020000}"/>
    <cellStyle name="40% - Accent5 2 13" xfId="686" xr:uid="{00000000-0005-0000-0000-00006F020000}"/>
    <cellStyle name="40% - Accent5 2 14" xfId="687" xr:uid="{00000000-0005-0000-0000-000070020000}"/>
    <cellStyle name="40% - Accent5 2 15" xfId="688" xr:uid="{00000000-0005-0000-0000-000071020000}"/>
    <cellStyle name="40% - Accent5 2 16" xfId="689" xr:uid="{00000000-0005-0000-0000-000072020000}"/>
    <cellStyle name="40% - Accent5 2 17" xfId="690" xr:uid="{00000000-0005-0000-0000-000073020000}"/>
    <cellStyle name="40% - Accent5 2 18" xfId="691" xr:uid="{00000000-0005-0000-0000-000074020000}"/>
    <cellStyle name="40% - Accent5 2 19" xfId="692" xr:uid="{00000000-0005-0000-0000-000075020000}"/>
    <cellStyle name="40% - Accent5 2 2" xfId="693" xr:uid="{00000000-0005-0000-0000-000076020000}"/>
    <cellStyle name="40% - Accent5 2 20" xfId="694" xr:uid="{00000000-0005-0000-0000-000077020000}"/>
    <cellStyle name="40% - Accent5 2 21" xfId="695" xr:uid="{00000000-0005-0000-0000-000078020000}"/>
    <cellStyle name="40% - Accent5 2 22" xfId="696" xr:uid="{00000000-0005-0000-0000-000079020000}"/>
    <cellStyle name="40% - Accent5 2 23" xfId="697" xr:uid="{00000000-0005-0000-0000-00007A020000}"/>
    <cellStyle name="40% - Accent5 2 24" xfId="698" xr:uid="{00000000-0005-0000-0000-00007B020000}"/>
    <cellStyle name="40% - Accent5 2 3" xfId="699" xr:uid="{00000000-0005-0000-0000-00007C020000}"/>
    <cellStyle name="40% - Accent5 2 4" xfId="700" xr:uid="{00000000-0005-0000-0000-00007D020000}"/>
    <cellStyle name="40% - Accent5 2 5" xfId="701" xr:uid="{00000000-0005-0000-0000-00007E020000}"/>
    <cellStyle name="40% - Accent5 2 6" xfId="702" xr:uid="{00000000-0005-0000-0000-00007F020000}"/>
    <cellStyle name="40% - Accent5 2 7" xfId="703" xr:uid="{00000000-0005-0000-0000-000080020000}"/>
    <cellStyle name="40% - Accent5 2 8" xfId="704" xr:uid="{00000000-0005-0000-0000-000081020000}"/>
    <cellStyle name="40% - Accent5 2 9" xfId="705" xr:uid="{00000000-0005-0000-0000-000082020000}"/>
    <cellStyle name="40% - Accent5 3" xfId="706" xr:uid="{00000000-0005-0000-0000-000083020000}"/>
    <cellStyle name="40% - Accent5 3 10" xfId="707" xr:uid="{00000000-0005-0000-0000-000084020000}"/>
    <cellStyle name="40% - Accent5 3 11" xfId="708" xr:uid="{00000000-0005-0000-0000-000085020000}"/>
    <cellStyle name="40% - Accent5 3 12" xfId="709" xr:uid="{00000000-0005-0000-0000-000086020000}"/>
    <cellStyle name="40% - Accent5 3 13" xfId="710" xr:uid="{00000000-0005-0000-0000-000087020000}"/>
    <cellStyle name="40% - Accent5 3 14" xfId="711" xr:uid="{00000000-0005-0000-0000-000088020000}"/>
    <cellStyle name="40% - Accent5 3 15" xfId="712" xr:uid="{00000000-0005-0000-0000-000089020000}"/>
    <cellStyle name="40% - Accent5 3 16" xfId="713" xr:uid="{00000000-0005-0000-0000-00008A020000}"/>
    <cellStyle name="40% - Accent5 3 17" xfId="714" xr:uid="{00000000-0005-0000-0000-00008B020000}"/>
    <cellStyle name="40% - Accent5 3 18" xfId="715" xr:uid="{00000000-0005-0000-0000-00008C020000}"/>
    <cellStyle name="40% - Accent5 3 19" xfId="716" xr:uid="{00000000-0005-0000-0000-00008D020000}"/>
    <cellStyle name="40% - Accent5 3 2" xfId="717" xr:uid="{00000000-0005-0000-0000-00008E020000}"/>
    <cellStyle name="40% - Accent5 3 3" xfId="718" xr:uid="{00000000-0005-0000-0000-00008F020000}"/>
    <cellStyle name="40% - Accent5 3 4" xfId="719" xr:uid="{00000000-0005-0000-0000-000090020000}"/>
    <cellStyle name="40% - Accent5 3 5" xfId="720" xr:uid="{00000000-0005-0000-0000-000091020000}"/>
    <cellStyle name="40% - Accent5 3 6" xfId="721" xr:uid="{00000000-0005-0000-0000-000092020000}"/>
    <cellStyle name="40% - Accent5 3 7" xfId="722" xr:uid="{00000000-0005-0000-0000-000093020000}"/>
    <cellStyle name="40% - Accent5 3 8" xfId="723" xr:uid="{00000000-0005-0000-0000-000094020000}"/>
    <cellStyle name="40% - Accent5 3 9" xfId="724" xr:uid="{00000000-0005-0000-0000-000095020000}"/>
    <cellStyle name="40% - Accent5 4" xfId="725" xr:uid="{00000000-0005-0000-0000-000096020000}"/>
    <cellStyle name="40% - Accent5 4 10" xfId="726" xr:uid="{00000000-0005-0000-0000-000097020000}"/>
    <cellStyle name="40% - Accent5 4 11" xfId="727" xr:uid="{00000000-0005-0000-0000-000098020000}"/>
    <cellStyle name="40% - Accent5 4 12" xfId="728" xr:uid="{00000000-0005-0000-0000-000099020000}"/>
    <cellStyle name="40% - Accent5 4 13" xfId="729" xr:uid="{00000000-0005-0000-0000-00009A020000}"/>
    <cellStyle name="40% - Accent5 4 14" xfId="730" xr:uid="{00000000-0005-0000-0000-00009B020000}"/>
    <cellStyle name="40% - Accent5 4 15" xfId="731" xr:uid="{00000000-0005-0000-0000-00009C020000}"/>
    <cellStyle name="40% - Accent5 4 16" xfId="732" xr:uid="{00000000-0005-0000-0000-00009D020000}"/>
    <cellStyle name="40% - Accent5 4 2" xfId="733" xr:uid="{00000000-0005-0000-0000-00009E020000}"/>
    <cellStyle name="40% - Accent5 4 3" xfId="734" xr:uid="{00000000-0005-0000-0000-00009F020000}"/>
    <cellStyle name="40% - Accent5 4 4" xfId="735" xr:uid="{00000000-0005-0000-0000-0000A0020000}"/>
    <cellStyle name="40% - Accent5 4 5" xfId="736" xr:uid="{00000000-0005-0000-0000-0000A1020000}"/>
    <cellStyle name="40% - Accent5 4 6" xfId="737" xr:uid="{00000000-0005-0000-0000-0000A2020000}"/>
    <cellStyle name="40% - Accent5 4 7" xfId="738" xr:uid="{00000000-0005-0000-0000-0000A3020000}"/>
    <cellStyle name="40% - Accent5 4 8" xfId="739" xr:uid="{00000000-0005-0000-0000-0000A4020000}"/>
    <cellStyle name="40% - Accent5 4 9" xfId="740" xr:uid="{00000000-0005-0000-0000-0000A5020000}"/>
    <cellStyle name="40% - Accent6 2" xfId="741" xr:uid="{00000000-0005-0000-0000-0000A6020000}"/>
    <cellStyle name="40% - Accent6 2 10" xfId="742" xr:uid="{00000000-0005-0000-0000-0000A7020000}"/>
    <cellStyle name="40% - Accent6 2 11" xfId="743" xr:uid="{00000000-0005-0000-0000-0000A8020000}"/>
    <cellStyle name="40% - Accent6 2 12" xfId="744" xr:uid="{00000000-0005-0000-0000-0000A9020000}"/>
    <cellStyle name="40% - Accent6 2 13" xfId="745" xr:uid="{00000000-0005-0000-0000-0000AA020000}"/>
    <cellStyle name="40% - Accent6 2 14" xfId="746" xr:uid="{00000000-0005-0000-0000-0000AB020000}"/>
    <cellStyle name="40% - Accent6 2 15" xfId="747" xr:uid="{00000000-0005-0000-0000-0000AC020000}"/>
    <cellStyle name="40% - Accent6 2 16" xfId="748" xr:uid="{00000000-0005-0000-0000-0000AD020000}"/>
    <cellStyle name="40% - Accent6 2 17" xfId="749" xr:uid="{00000000-0005-0000-0000-0000AE020000}"/>
    <cellStyle name="40% - Accent6 2 18" xfId="750" xr:uid="{00000000-0005-0000-0000-0000AF020000}"/>
    <cellStyle name="40% - Accent6 2 19" xfId="751" xr:uid="{00000000-0005-0000-0000-0000B0020000}"/>
    <cellStyle name="40% - Accent6 2 2" xfId="752" xr:uid="{00000000-0005-0000-0000-0000B1020000}"/>
    <cellStyle name="40% - Accent6 2 20" xfId="753" xr:uid="{00000000-0005-0000-0000-0000B2020000}"/>
    <cellStyle name="40% - Accent6 2 21" xfId="754" xr:uid="{00000000-0005-0000-0000-0000B3020000}"/>
    <cellStyle name="40% - Accent6 2 22" xfId="755" xr:uid="{00000000-0005-0000-0000-0000B4020000}"/>
    <cellStyle name="40% - Accent6 2 23" xfId="756" xr:uid="{00000000-0005-0000-0000-0000B5020000}"/>
    <cellStyle name="40% - Accent6 2 24" xfId="757" xr:uid="{00000000-0005-0000-0000-0000B6020000}"/>
    <cellStyle name="40% - Accent6 2 25" xfId="758" xr:uid="{00000000-0005-0000-0000-0000B7020000}"/>
    <cellStyle name="40% - Accent6 2 3" xfId="759" xr:uid="{00000000-0005-0000-0000-0000B8020000}"/>
    <cellStyle name="40% - Accent6 2 4" xfId="760" xr:uid="{00000000-0005-0000-0000-0000B9020000}"/>
    <cellStyle name="40% - Accent6 2 5" xfId="761" xr:uid="{00000000-0005-0000-0000-0000BA020000}"/>
    <cellStyle name="40% - Accent6 2 6" xfId="762" xr:uid="{00000000-0005-0000-0000-0000BB020000}"/>
    <cellStyle name="40% - Accent6 2 7" xfId="763" xr:uid="{00000000-0005-0000-0000-0000BC020000}"/>
    <cellStyle name="40% - Accent6 2 8" xfId="764" xr:uid="{00000000-0005-0000-0000-0000BD020000}"/>
    <cellStyle name="40% - Accent6 2 9" xfId="765" xr:uid="{00000000-0005-0000-0000-0000BE020000}"/>
    <cellStyle name="40% - Accent6 3" xfId="766" xr:uid="{00000000-0005-0000-0000-0000BF020000}"/>
    <cellStyle name="40% - Accent6 3 10" xfId="767" xr:uid="{00000000-0005-0000-0000-0000C0020000}"/>
    <cellStyle name="40% - Accent6 3 11" xfId="768" xr:uid="{00000000-0005-0000-0000-0000C1020000}"/>
    <cellStyle name="40% - Accent6 3 12" xfId="769" xr:uid="{00000000-0005-0000-0000-0000C2020000}"/>
    <cellStyle name="40% - Accent6 3 13" xfId="770" xr:uid="{00000000-0005-0000-0000-0000C3020000}"/>
    <cellStyle name="40% - Accent6 3 14" xfId="771" xr:uid="{00000000-0005-0000-0000-0000C4020000}"/>
    <cellStyle name="40% - Accent6 3 15" xfId="772" xr:uid="{00000000-0005-0000-0000-0000C5020000}"/>
    <cellStyle name="40% - Accent6 3 16" xfId="773" xr:uid="{00000000-0005-0000-0000-0000C6020000}"/>
    <cellStyle name="40% - Accent6 3 17" xfId="774" xr:uid="{00000000-0005-0000-0000-0000C7020000}"/>
    <cellStyle name="40% - Accent6 3 18" xfId="775" xr:uid="{00000000-0005-0000-0000-0000C8020000}"/>
    <cellStyle name="40% - Accent6 3 19" xfId="776" xr:uid="{00000000-0005-0000-0000-0000C9020000}"/>
    <cellStyle name="40% - Accent6 3 2" xfId="777" xr:uid="{00000000-0005-0000-0000-0000CA020000}"/>
    <cellStyle name="40% - Accent6 3 3" xfId="778" xr:uid="{00000000-0005-0000-0000-0000CB020000}"/>
    <cellStyle name="40% - Accent6 3 4" xfId="779" xr:uid="{00000000-0005-0000-0000-0000CC020000}"/>
    <cellStyle name="40% - Accent6 3 5" xfId="780" xr:uid="{00000000-0005-0000-0000-0000CD020000}"/>
    <cellStyle name="40% - Accent6 3 6" xfId="781" xr:uid="{00000000-0005-0000-0000-0000CE020000}"/>
    <cellStyle name="40% - Accent6 3 7" xfId="782" xr:uid="{00000000-0005-0000-0000-0000CF020000}"/>
    <cellStyle name="40% - Accent6 3 8" xfId="783" xr:uid="{00000000-0005-0000-0000-0000D0020000}"/>
    <cellStyle name="40% - Accent6 3 9" xfId="784" xr:uid="{00000000-0005-0000-0000-0000D1020000}"/>
    <cellStyle name="40% - Accent6 4" xfId="785" xr:uid="{00000000-0005-0000-0000-0000D2020000}"/>
    <cellStyle name="40% - Accent6 4 10" xfId="786" xr:uid="{00000000-0005-0000-0000-0000D3020000}"/>
    <cellStyle name="40% - Accent6 4 11" xfId="787" xr:uid="{00000000-0005-0000-0000-0000D4020000}"/>
    <cellStyle name="40% - Accent6 4 12" xfId="788" xr:uid="{00000000-0005-0000-0000-0000D5020000}"/>
    <cellStyle name="40% - Accent6 4 13" xfId="789" xr:uid="{00000000-0005-0000-0000-0000D6020000}"/>
    <cellStyle name="40% - Accent6 4 14" xfId="790" xr:uid="{00000000-0005-0000-0000-0000D7020000}"/>
    <cellStyle name="40% - Accent6 4 15" xfId="791" xr:uid="{00000000-0005-0000-0000-0000D8020000}"/>
    <cellStyle name="40% - Accent6 4 16" xfId="792" xr:uid="{00000000-0005-0000-0000-0000D9020000}"/>
    <cellStyle name="40% - Accent6 4 2" xfId="793" xr:uid="{00000000-0005-0000-0000-0000DA020000}"/>
    <cellStyle name="40% - Accent6 4 3" xfId="794" xr:uid="{00000000-0005-0000-0000-0000DB020000}"/>
    <cellStyle name="40% - Accent6 4 4" xfId="795" xr:uid="{00000000-0005-0000-0000-0000DC020000}"/>
    <cellStyle name="40% - Accent6 4 5" xfId="796" xr:uid="{00000000-0005-0000-0000-0000DD020000}"/>
    <cellStyle name="40% - Accent6 4 6" xfId="797" xr:uid="{00000000-0005-0000-0000-0000DE020000}"/>
    <cellStyle name="40% - Accent6 4 7" xfId="798" xr:uid="{00000000-0005-0000-0000-0000DF020000}"/>
    <cellStyle name="40% - Accent6 4 8" xfId="799" xr:uid="{00000000-0005-0000-0000-0000E0020000}"/>
    <cellStyle name="40% - Accent6 4 9" xfId="800" xr:uid="{00000000-0005-0000-0000-0000E1020000}"/>
    <cellStyle name="40% - Isticanje1 2" xfId="2370" xr:uid="{00000000-0005-0000-0000-0000E2020000}"/>
    <cellStyle name="40% - Isticanje1 2 2" xfId="2371" xr:uid="{00000000-0005-0000-0000-0000E3020000}"/>
    <cellStyle name="40% - Isticanje2" xfId="801" xr:uid="{00000000-0005-0000-0000-0000E4020000}"/>
    <cellStyle name="40% - Isticanje2 2" xfId="802" xr:uid="{00000000-0005-0000-0000-0000E5020000}"/>
    <cellStyle name="40% - Isticanje3" xfId="803" xr:uid="{00000000-0005-0000-0000-0000E6020000}"/>
    <cellStyle name="40% - Isticanje3 2" xfId="804" xr:uid="{00000000-0005-0000-0000-0000E7020000}"/>
    <cellStyle name="40% - Isticanje4" xfId="805" xr:uid="{00000000-0005-0000-0000-0000E8020000}"/>
    <cellStyle name="40% - Isticanje4 2" xfId="806" xr:uid="{00000000-0005-0000-0000-0000E9020000}"/>
    <cellStyle name="40% - Isticanje5" xfId="807" xr:uid="{00000000-0005-0000-0000-0000EA020000}"/>
    <cellStyle name="40% - Isticanje5 2" xfId="808" xr:uid="{00000000-0005-0000-0000-0000EB020000}"/>
    <cellStyle name="40% - Isticanje6" xfId="809" xr:uid="{00000000-0005-0000-0000-0000EC020000}"/>
    <cellStyle name="40% - Isticanje6 2" xfId="810" xr:uid="{00000000-0005-0000-0000-0000ED020000}"/>
    <cellStyle name="40% - Naglasak1" xfId="811" xr:uid="{00000000-0005-0000-0000-0000EE020000}"/>
    <cellStyle name="40% - Naglasak1 2" xfId="812" xr:uid="{00000000-0005-0000-0000-0000EF020000}"/>
    <cellStyle name="40% - Naglasak1 3" xfId="2372" xr:uid="{00000000-0005-0000-0000-0000F0020000}"/>
    <cellStyle name="60% - Accent1 2" xfId="813" xr:uid="{00000000-0005-0000-0000-0000F1020000}"/>
    <cellStyle name="60% - Accent1 2 2" xfId="814" xr:uid="{00000000-0005-0000-0000-0000F2020000}"/>
    <cellStyle name="60% - Accent1 2 3" xfId="815" xr:uid="{00000000-0005-0000-0000-0000F3020000}"/>
    <cellStyle name="60% - Accent1 3" xfId="816" xr:uid="{00000000-0005-0000-0000-0000F4020000}"/>
    <cellStyle name="60% - Accent1 3 10" xfId="817" xr:uid="{00000000-0005-0000-0000-0000F5020000}"/>
    <cellStyle name="60% - Accent1 3 11" xfId="818" xr:uid="{00000000-0005-0000-0000-0000F6020000}"/>
    <cellStyle name="60% - Accent1 3 12" xfId="819" xr:uid="{00000000-0005-0000-0000-0000F7020000}"/>
    <cellStyle name="60% - Accent1 3 13" xfId="820" xr:uid="{00000000-0005-0000-0000-0000F8020000}"/>
    <cellStyle name="60% - Accent1 3 14" xfId="821" xr:uid="{00000000-0005-0000-0000-0000F9020000}"/>
    <cellStyle name="60% - Accent1 3 15" xfId="822" xr:uid="{00000000-0005-0000-0000-0000FA020000}"/>
    <cellStyle name="60% - Accent1 3 16" xfId="823" xr:uid="{00000000-0005-0000-0000-0000FB020000}"/>
    <cellStyle name="60% - Accent1 3 17" xfId="824" xr:uid="{00000000-0005-0000-0000-0000FC020000}"/>
    <cellStyle name="60% - Accent1 3 18" xfId="825" xr:uid="{00000000-0005-0000-0000-0000FD020000}"/>
    <cellStyle name="60% - Accent1 3 19" xfId="826" xr:uid="{00000000-0005-0000-0000-0000FE020000}"/>
    <cellStyle name="60% - Accent1 3 2" xfId="827" xr:uid="{00000000-0005-0000-0000-0000FF020000}"/>
    <cellStyle name="60% - Accent1 3 3" xfId="828" xr:uid="{00000000-0005-0000-0000-000000030000}"/>
    <cellStyle name="60% - Accent1 3 4" xfId="829" xr:uid="{00000000-0005-0000-0000-000001030000}"/>
    <cellStyle name="60% - Accent1 3 5" xfId="830" xr:uid="{00000000-0005-0000-0000-000002030000}"/>
    <cellStyle name="60% - Accent1 3 6" xfId="831" xr:uid="{00000000-0005-0000-0000-000003030000}"/>
    <cellStyle name="60% - Accent1 3 7" xfId="832" xr:uid="{00000000-0005-0000-0000-000004030000}"/>
    <cellStyle name="60% - Accent1 3 8" xfId="833" xr:uid="{00000000-0005-0000-0000-000005030000}"/>
    <cellStyle name="60% - Accent1 3 9" xfId="834" xr:uid="{00000000-0005-0000-0000-000006030000}"/>
    <cellStyle name="60% - Accent1 4" xfId="835" xr:uid="{00000000-0005-0000-0000-000007030000}"/>
    <cellStyle name="60% - Accent1 4 10" xfId="836" xr:uid="{00000000-0005-0000-0000-000008030000}"/>
    <cellStyle name="60% - Accent1 4 11" xfId="837" xr:uid="{00000000-0005-0000-0000-000009030000}"/>
    <cellStyle name="60% - Accent1 4 12" xfId="838" xr:uid="{00000000-0005-0000-0000-00000A030000}"/>
    <cellStyle name="60% - Accent1 4 13" xfId="839" xr:uid="{00000000-0005-0000-0000-00000B030000}"/>
    <cellStyle name="60% - Accent1 4 14" xfId="840" xr:uid="{00000000-0005-0000-0000-00000C030000}"/>
    <cellStyle name="60% - Accent1 4 15" xfId="841" xr:uid="{00000000-0005-0000-0000-00000D030000}"/>
    <cellStyle name="60% - Accent1 4 16" xfId="842" xr:uid="{00000000-0005-0000-0000-00000E030000}"/>
    <cellStyle name="60% - Accent1 4 2" xfId="843" xr:uid="{00000000-0005-0000-0000-00000F030000}"/>
    <cellStyle name="60% - Accent1 4 3" xfId="844" xr:uid="{00000000-0005-0000-0000-000010030000}"/>
    <cellStyle name="60% - Accent1 4 4" xfId="845" xr:uid="{00000000-0005-0000-0000-000011030000}"/>
    <cellStyle name="60% - Accent1 4 5" xfId="846" xr:uid="{00000000-0005-0000-0000-000012030000}"/>
    <cellStyle name="60% - Accent1 4 6" xfId="847" xr:uid="{00000000-0005-0000-0000-000013030000}"/>
    <cellStyle name="60% - Accent1 4 7" xfId="848" xr:uid="{00000000-0005-0000-0000-000014030000}"/>
    <cellStyle name="60% - Accent1 4 8" xfId="849" xr:uid="{00000000-0005-0000-0000-000015030000}"/>
    <cellStyle name="60% - Accent1 4 9" xfId="850" xr:uid="{00000000-0005-0000-0000-000016030000}"/>
    <cellStyle name="60% - Accent2 2" xfId="851" xr:uid="{00000000-0005-0000-0000-000017030000}"/>
    <cellStyle name="60% - Accent2 2 2" xfId="852" xr:uid="{00000000-0005-0000-0000-000018030000}"/>
    <cellStyle name="60% - Accent2 3" xfId="853" xr:uid="{00000000-0005-0000-0000-000019030000}"/>
    <cellStyle name="60% - Accent2 3 10" xfId="854" xr:uid="{00000000-0005-0000-0000-00001A030000}"/>
    <cellStyle name="60% - Accent2 3 11" xfId="855" xr:uid="{00000000-0005-0000-0000-00001B030000}"/>
    <cellStyle name="60% - Accent2 3 12" xfId="856" xr:uid="{00000000-0005-0000-0000-00001C030000}"/>
    <cellStyle name="60% - Accent2 3 13" xfId="857" xr:uid="{00000000-0005-0000-0000-00001D030000}"/>
    <cellStyle name="60% - Accent2 3 14" xfId="858" xr:uid="{00000000-0005-0000-0000-00001E030000}"/>
    <cellStyle name="60% - Accent2 3 15" xfId="859" xr:uid="{00000000-0005-0000-0000-00001F030000}"/>
    <cellStyle name="60% - Accent2 3 16" xfId="860" xr:uid="{00000000-0005-0000-0000-000020030000}"/>
    <cellStyle name="60% - Accent2 3 17" xfId="861" xr:uid="{00000000-0005-0000-0000-000021030000}"/>
    <cellStyle name="60% - Accent2 3 18" xfId="862" xr:uid="{00000000-0005-0000-0000-000022030000}"/>
    <cellStyle name="60% - Accent2 3 19" xfId="863" xr:uid="{00000000-0005-0000-0000-000023030000}"/>
    <cellStyle name="60% - Accent2 3 2" xfId="864" xr:uid="{00000000-0005-0000-0000-000024030000}"/>
    <cellStyle name="60% - Accent2 3 3" xfId="865" xr:uid="{00000000-0005-0000-0000-000025030000}"/>
    <cellStyle name="60% - Accent2 3 4" xfId="866" xr:uid="{00000000-0005-0000-0000-000026030000}"/>
    <cellStyle name="60% - Accent2 3 5" xfId="867" xr:uid="{00000000-0005-0000-0000-000027030000}"/>
    <cellStyle name="60% - Accent2 3 6" xfId="868" xr:uid="{00000000-0005-0000-0000-000028030000}"/>
    <cellStyle name="60% - Accent2 3 7" xfId="869" xr:uid="{00000000-0005-0000-0000-000029030000}"/>
    <cellStyle name="60% - Accent2 3 8" xfId="870" xr:uid="{00000000-0005-0000-0000-00002A030000}"/>
    <cellStyle name="60% - Accent2 3 9" xfId="871" xr:uid="{00000000-0005-0000-0000-00002B030000}"/>
    <cellStyle name="60% - Accent2 4" xfId="872" xr:uid="{00000000-0005-0000-0000-00002C030000}"/>
    <cellStyle name="60% - Accent2 4 10" xfId="873" xr:uid="{00000000-0005-0000-0000-00002D030000}"/>
    <cellStyle name="60% - Accent2 4 11" xfId="874" xr:uid="{00000000-0005-0000-0000-00002E030000}"/>
    <cellStyle name="60% - Accent2 4 12" xfId="875" xr:uid="{00000000-0005-0000-0000-00002F030000}"/>
    <cellStyle name="60% - Accent2 4 13" xfId="876" xr:uid="{00000000-0005-0000-0000-000030030000}"/>
    <cellStyle name="60% - Accent2 4 14" xfId="877" xr:uid="{00000000-0005-0000-0000-000031030000}"/>
    <cellStyle name="60% - Accent2 4 15" xfId="878" xr:uid="{00000000-0005-0000-0000-000032030000}"/>
    <cellStyle name="60% - Accent2 4 16" xfId="879" xr:uid="{00000000-0005-0000-0000-000033030000}"/>
    <cellStyle name="60% - Accent2 4 2" xfId="880" xr:uid="{00000000-0005-0000-0000-000034030000}"/>
    <cellStyle name="60% - Accent2 4 3" xfId="881" xr:uid="{00000000-0005-0000-0000-000035030000}"/>
    <cellStyle name="60% - Accent2 4 4" xfId="882" xr:uid="{00000000-0005-0000-0000-000036030000}"/>
    <cellStyle name="60% - Accent2 4 5" xfId="883" xr:uid="{00000000-0005-0000-0000-000037030000}"/>
    <cellStyle name="60% - Accent2 4 6" xfId="884" xr:uid="{00000000-0005-0000-0000-000038030000}"/>
    <cellStyle name="60% - Accent2 4 7" xfId="885" xr:uid="{00000000-0005-0000-0000-000039030000}"/>
    <cellStyle name="60% - Accent2 4 8" xfId="886" xr:uid="{00000000-0005-0000-0000-00003A030000}"/>
    <cellStyle name="60% - Accent2 4 9" xfId="887" xr:uid="{00000000-0005-0000-0000-00003B030000}"/>
    <cellStyle name="60% - Accent3 2" xfId="888" xr:uid="{00000000-0005-0000-0000-00003C030000}"/>
    <cellStyle name="60% - Accent3 2 2" xfId="889" xr:uid="{00000000-0005-0000-0000-00003D030000}"/>
    <cellStyle name="60% - Accent3 2 3" xfId="890" xr:uid="{00000000-0005-0000-0000-00003E030000}"/>
    <cellStyle name="60% - Accent3 3" xfId="891" xr:uid="{00000000-0005-0000-0000-00003F030000}"/>
    <cellStyle name="60% - Accent3 3 10" xfId="892" xr:uid="{00000000-0005-0000-0000-000040030000}"/>
    <cellStyle name="60% - Accent3 3 11" xfId="893" xr:uid="{00000000-0005-0000-0000-000041030000}"/>
    <cellStyle name="60% - Accent3 3 12" xfId="894" xr:uid="{00000000-0005-0000-0000-000042030000}"/>
    <cellStyle name="60% - Accent3 3 13" xfId="895" xr:uid="{00000000-0005-0000-0000-000043030000}"/>
    <cellStyle name="60% - Accent3 3 14" xfId="896" xr:uid="{00000000-0005-0000-0000-000044030000}"/>
    <cellStyle name="60% - Accent3 3 15" xfId="897" xr:uid="{00000000-0005-0000-0000-000045030000}"/>
    <cellStyle name="60% - Accent3 3 16" xfId="898" xr:uid="{00000000-0005-0000-0000-000046030000}"/>
    <cellStyle name="60% - Accent3 3 17" xfId="899" xr:uid="{00000000-0005-0000-0000-000047030000}"/>
    <cellStyle name="60% - Accent3 3 18" xfId="900" xr:uid="{00000000-0005-0000-0000-000048030000}"/>
    <cellStyle name="60% - Accent3 3 19" xfId="901" xr:uid="{00000000-0005-0000-0000-000049030000}"/>
    <cellStyle name="60% - Accent3 3 2" xfId="902" xr:uid="{00000000-0005-0000-0000-00004A030000}"/>
    <cellStyle name="60% - Accent3 3 3" xfId="903" xr:uid="{00000000-0005-0000-0000-00004B030000}"/>
    <cellStyle name="60% - Accent3 3 4" xfId="904" xr:uid="{00000000-0005-0000-0000-00004C030000}"/>
    <cellStyle name="60% - Accent3 3 5" xfId="905" xr:uid="{00000000-0005-0000-0000-00004D030000}"/>
    <cellStyle name="60% - Accent3 3 6" xfId="906" xr:uid="{00000000-0005-0000-0000-00004E030000}"/>
    <cellStyle name="60% - Accent3 3 7" xfId="907" xr:uid="{00000000-0005-0000-0000-00004F030000}"/>
    <cellStyle name="60% - Accent3 3 8" xfId="908" xr:uid="{00000000-0005-0000-0000-000050030000}"/>
    <cellStyle name="60% - Accent3 3 9" xfId="909" xr:uid="{00000000-0005-0000-0000-000051030000}"/>
    <cellStyle name="60% - Accent3 4" xfId="910" xr:uid="{00000000-0005-0000-0000-000052030000}"/>
    <cellStyle name="60% - Accent3 4 10" xfId="911" xr:uid="{00000000-0005-0000-0000-000053030000}"/>
    <cellStyle name="60% - Accent3 4 11" xfId="912" xr:uid="{00000000-0005-0000-0000-000054030000}"/>
    <cellStyle name="60% - Accent3 4 12" xfId="913" xr:uid="{00000000-0005-0000-0000-000055030000}"/>
    <cellStyle name="60% - Accent3 4 13" xfId="914" xr:uid="{00000000-0005-0000-0000-000056030000}"/>
    <cellStyle name="60% - Accent3 4 14" xfId="915" xr:uid="{00000000-0005-0000-0000-000057030000}"/>
    <cellStyle name="60% - Accent3 4 15" xfId="916" xr:uid="{00000000-0005-0000-0000-000058030000}"/>
    <cellStyle name="60% - Accent3 4 16" xfId="917" xr:uid="{00000000-0005-0000-0000-000059030000}"/>
    <cellStyle name="60% - Accent3 4 2" xfId="918" xr:uid="{00000000-0005-0000-0000-00005A030000}"/>
    <cellStyle name="60% - Accent3 4 3" xfId="919" xr:uid="{00000000-0005-0000-0000-00005B030000}"/>
    <cellStyle name="60% - Accent3 4 4" xfId="920" xr:uid="{00000000-0005-0000-0000-00005C030000}"/>
    <cellStyle name="60% - Accent3 4 5" xfId="921" xr:uid="{00000000-0005-0000-0000-00005D030000}"/>
    <cellStyle name="60% - Accent3 4 6" xfId="922" xr:uid="{00000000-0005-0000-0000-00005E030000}"/>
    <cellStyle name="60% - Accent3 4 7" xfId="923" xr:uid="{00000000-0005-0000-0000-00005F030000}"/>
    <cellStyle name="60% - Accent3 4 8" xfId="924" xr:uid="{00000000-0005-0000-0000-000060030000}"/>
    <cellStyle name="60% - Accent3 4 9" xfId="925" xr:uid="{00000000-0005-0000-0000-000061030000}"/>
    <cellStyle name="60% - Accent4 2" xfId="926" xr:uid="{00000000-0005-0000-0000-000062030000}"/>
    <cellStyle name="60% - Accent4 2 2" xfId="927" xr:uid="{00000000-0005-0000-0000-000063030000}"/>
    <cellStyle name="60% - Accent4 2 3" xfId="928" xr:uid="{00000000-0005-0000-0000-000064030000}"/>
    <cellStyle name="60% - Accent4 3" xfId="929" xr:uid="{00000000-0005-0000-0000-000065030000}"/>
    <cellStyle name="60% - Accent4 3 10" xfId="930" xr:uid="{00000000-0005-0000-0000-000066030000}"/>
    <cellStyle name="60% - Accent4 3 11" xfId="931" xr:uid="{00000000-0005-0000-0000-000067030000}"/>
    <cellStyle name="60% - Accent4 3 12" xfId="932" xr:uid="{00000000-0005-0000-0000-000068030000}"/>
    <cellStyle name="60% - Accent4 3 13" xfId="933" xr:uid="{00000000-0005-0000-0000-000069030000}"/>
    <cellStyle name="60% - Accent4 3 14" xfId="934" xr:uid="{00000000-0005-0000-0000-00006A030000}"/>
    <cellStyle name="60% - Accent4 3 15" xfId="935" xr:uid="{00000000-0005-0000-0000-00006B030000}"/>
    <cellStyle name="60% - Accent4 3 16" xfId="936" xr:uid="{00000000-0005-0000-0000-00006C030000}"/>
    <cellStyle name="60% - Accent4 3 17" xfId="937" xr:uid="{00000000-0005-0000-0000-00006D030000}"/>
    <cellStyle name="60% - Accent4 3 18" xfId="938" xr:uid="{00000000-0005-0000-0000-00006E030000}"/>
    <cellStyle name="60% - Accent4 3 19" xfId="939" xr:uid="{00000000-0005-0000-0000-00006F030000}"/>
    <cellStyle name="60% - Accent4 3 2" xfId="940" xr:uid="{00000000-0005-0000-0000-000070030000}"/>
    <cellStyle name="60% - Accent4 3 3" xfId="941" xr:uid="{00000000-0005-0000-0000-000071030000}"/>
    <cellStyle name="60% - Accent4 3 4" xfId="942" xr:uid="{00000000-0005-0000-0000-000072030000}"/>
    <cellStyle name="60% - Accent4 3 5" xfId="943" xr:uid="{00000000-0005-0000-0000-000073030000}"/>
    <cellStyle name="60% - Accent4 3 6" xfId="944" xr:uid="{00000000-0005-0000-0000-000074030000}"/>
    <cellStyle name="60% - Accent4 3 7" xfId="945" xr:uid="{00000000-0005-0000-0000-000075030000}"/>
    <cellStyle name="60% - Accent4 3 8" xfId="946" xr:uid="{00000000-0005-0000-0000-000076030000}"/>
    <cellStyle name="60% - Accent4 3 9" xfId="947" xr:uid="{00000000-0005-0000-0000-000077030000}"/>
    <cellStyle name="60% - Accent4 4" xfId="948" xr:uid="{00000000-0005-0000-0000-000078030000}"/>
    <cellStyle name="60% - Accent4 4 10" xfId="949" xr:uid="{00000000-0005-0000-0000-000079030000}"/>
    <cellStyle name="60% - Accent4 4 11" xfId="950" xr:uid="{00000000-0005-0000-0000-00007A030000}"/>
    <cellStyle name="60% - Accent4 4 12" xfId="951" xr:uid="{00000000-0005-0000-0000-00007B030000}"/>
    <cellStyle name="60% - Accent4 4 13" xfId="952" xr:uid="{00000000-0005-0000-0000-00007C030000}"/>
    <cellStyle name="60% - Accent4 4 14" xfId="953" xr:uid="{00000000-0005-0000-0000-00007D030000}"/>
    <cellStyle name="60% - Accent4 4 15" xfId="954" xr:uid="{00000000-0005-0000-0000-00007E030000}"/>
    <cellStyle name="60% - Accent4 4 16" xfId="955" xr:uid="{00000000-0005-0000-0000-00007F030000}"/>
    <cellStyle name="60% - Accent4 4 2" xfId="956" xr:uid="{00000000-0005-0000-0000-000080030000}"/>
    <cellStyle name="60% - Accent4 4 3" xfId="957" xr:uid="{00000000-0005-0000-0000-000081030000}"/>
    <cellStyle name="60% - Accent4 4 4" xfId="958" xr:uid="{00000000-0005-0000-0000-000082030000}"/>
    <cellStyle name="60% - Accent4 4 5" xfId="959" xr:uid="{00000000-0005-0000-0000-000083030000}"/>
    <cellStyle name="60% - Accent4 4 6" xfId="960" xr:uid="{00000000-0005-0000-0000-000084030000}"/>
    <cellStyle name="60% - Accent4 4 7" xfId="961" xr:uid="{00000000-0005-0000-0000-000085030000}"/>
    <cellStyle name="60% - Accent4 4 8" xfId="962" xr:uid="{00000000-0005-0000-0000-000086030000}"/>
    <cellStyle name="60% - Accent4 4 9" xfId="963" xr:uid="{00000000-0005-0000-0000-000087030000}"/>
    <cellStyle name="60% - Accent5 2" xfId="964" xr:uid="{00000000-0005-0000-0000-000088030000}"/>
    <cellStyle name="60% - Accent5 2 2" xfId="965" xr:uid="{00000000-0005-0000-0000-000089030000}"/>
    <cellStyle name="60% - Accent5 3" xfId="966" xr:uid="{00000000-0005-0000-0000-00008A030000}"/>
    <cellStyle name="60% - Accent5 3 10" xfId="967" xr:uid="{00000000-0005-0000-0000-00008B030000}"/>
    <cellStyle name="60% - Accent5 3 11" xfId="968" xr:uid="{00000000-0005-0000-0000-00008C030000}"/>
    <cellStyle name="60% - Accent5 3 12" xfId="969" xr:uid="{00000000-0005-0000-0000-00008D030000}"/>
    <cellStyle name="60% - Accent5 3 13" xfId="970" xr:uid="{00000000-0005-0000-0000-00008E030000}"/>
    <cellStyle name="60% - Accent5 3 14" xfId="971" xr:uid="{00000000-0005-0000-0000-00008F030000}"/>
    <cellStyle name="60% - Accent5 3 15" xfId="972" xr:uid="{00000000-0005-0000-0000-000090030000}"/>
    <cellStyle name="60% - Accent5 3 16" xfId="973" xr:uid="{00000000-0005-0000-0000-000091030000}"/>
    <cellStyle name="60% - Accent5 3 17" xfId="974" xr:uid="{00000000-0005-0000-0000-000092030000}"/>
    <cellStyle name="60% - Accent5 3 18" xfId="975" xr:uid="{00000000-0005-0000-0000-000093030000}"/>
    <cellStyle name="60% - Accent5 3 19" xfId="976" xr:uid="{00000000-0005-0000-0000-000094030000}"/>
    <cellStyle name="60% - Accent5 3 2" xfId="977" xr:uid="{00000000-0005-0000-0000-000095030000}"/>
    <cellStyle name="60% - Accent5 3 3" xfId="978" xr:uid="{00000000-0005-0000-0000-000096030000}"/>
    <cellStyle name="60% - Accent5 3 4" xfId="979" xr:uid="{00000000-0005-0000-0000-000097030000}"/>
    <cellStyle name="60% - Accent5 3 5" xfId="980" xr:uid="{00000000-0005-0000-0000-000098030000}"/>
    <cellStyle name="60% - Accent5 3 6" xfId="981" xr:uid="{00000000-0005-0000-0000-000099030000}"/>
    <cellStyle name="60% - Accent5 3 7" xfId="982" xr:uid="{00000000-0005-0000-0000-00009A030000}"/>
    <cellStyle name="60% - Accent5 3 8" xfId="983" xr:uid="{00000000-0005-0000-0000-00009B030000}"/>
    <cellStyle name="60% - Accent5 3 9" xfId="984" xr:uid="{00000000-0005-0000-0000-00009C030000}"/>
    <cellStyle name="60% - Accent5 4" xfId="985" xr:uid="{00000000-0005-0000-0000-00009D030000}"/>
    <cellStyle name="60% - Accent5 4 10" xfId="986" xr:uid="{00000000-0005-0000-0000-00009E030000}"/>
    <cellStyle name="60% - Accent5 4 11" xfId="987" xr:uid="{00000000-0005-0000-0000-00009F030000}"/>
    <cellStyle name="60% - Accent5 4 12" xfId="988" xr:uid="{00000000-0005-0000-0000-0000A0030000}"/>
    <cellStyle name="60% - Accent5 4 13" xfId="989" xr:uid="{00000000-0005-0000-0000-0000A1030000}"/>
    <cellStyle name="60% - Accent5 4 14" xfId="990" xr:uid="{00000000-0005-0000-0000-0000A2030000}"/>
    <cellStyle name="60% - Accent5 4 15" xfId="991" xr:uid="{00000000-0005-0000-0000-0000A3030000}"/>
    <cellStyle name="60% - Accent5 4 16" xfId="992" xr:uid="{00000000-0005-0000-0000-0000A4030000}"/>
    <cellStyle name="60% - Accent5 4 2" xfId="993" xr:uid="{00000000-0005-0000-0000-0000A5030000}"/>
    <cellStyle name="60% - Accent5 4 3" xfId="994" xr:uid="{00000000-0005-0000-0000-0000A6030000}"/>
    <cellStyle name="60% - Accent5 4 4" xfId="995" xr:uid="{00000000-0005-0000-0000-0000A7030000}"/>
    <cellStyle name="60% - Accent5 4 5" xfId="996" xr:uid="{00000000-0005-0000-0000-0000A8030000}"/>
    <cellStyle name="60% - Accent5 4 6" xfId="997" xr:uid="{00000000-0005-0000-0000-0000A9030000}"/>
    <cellStyle name="60% - Accent5 4 7" xfId="998" xr:uid="{00000000-0005-0000-0000-0000AA030000}"/>
    <cellStyle name="60% - Accent5 4 8" xfId="999" xr:uid="{00000000-0005-0000-0000-0000AB030000}"/>
    <cellStyle name="60% - Accent5 4 9" xfId="1000" xr:uid="{00000000-0005-0000-0000-0000AC030000}"/>
    <cellStyle name="60% - Accent6 2" xfId="1001" xr:uid="{00000000-0005-0000-0000-0000AD030000}"/>
    <cellStyle name="60% - Accent6 2 2" xfId="1002" xr:uid="{00000000-0005-0000-0000-0000AE030000}"/>
    <cellStyle name="60% - Accent6 2 3" xfId="1003" xr:uid="{00000000-0005-0000-0000-0000AF030000}"/>
    <cellStyle name="60% - Accent6 3" xfId="1004" xr:uid="{00000000-0005-0000-0000-0000B0030000}"/>
    <cellStyle name="60% - Accent6 3 10" xfId="1005" xr:uid="{00000000-0005-0000-0000-0000B1030000}"/>
    <cellStyle name="60% - Accent6 3 11" xfId="1006" xr:uid="{00000000-0005-0000-0000-0000B2030000}"/>
    <cellStyle name="60% - Accent6 3 12" xfId="1007" xr:uid="{00000000-0005-0000-0000-0000B3030000}"/>
    <cellStyle name="60% - Accent6 3 13" xfId="1008" xr:uid="{00000000-0005-0000-0000-0000B4030000}"/>
    <cellStyle name="60% - Accent6 3 14" xfId="1009" xr:uid="{00000000-0005-0000-0000-0000B5030000}"/>
    <cellStyle name="60% - Accent6 3 15" xfId="1010" xr:uid="{00000000-0005-0000-0000-0000B6030000}"/>
    <cellStyle name="60% - Accent6 3 16" xfId="1011" xr:uid="{00000000-0005-0000-0000-0000B7030000}"/>
    <cellStyle name="60% - Accent6 3 17" xfId="1012" xr:uid="{00000000-0005-0000-0000-0000B8030000}"/>
    <cellStyle name="60% - Accent6 3 18" xfId="1013" xr:uid="{00000000-0005-0000-0000-0000B9030000}"/>
    <cellStyle name="60% - Accent6 3 19" xfId="1014" xr:uid="{00000000-0005-0000-0000-0000BA030000}"/>
    <cellStyle name="60% - Accent6 3 2" xfId="1015" xr:uid="{00000000-0005-0000-0000-0000BB030000}"/>
    <cellStyle name="60% - Accent6 3 3" xfId="1016" xr:uid="{00000000-0005-0000-0000-0000BC030000}"/>
    <cellStyle name="60% - Accent6 3 4" xfId="1017" xr:uid="{00000000-0005-0000-0000-0000BD030000}"/>
    <cellStyle name="60% - Accent6 3 5" xfId="1018" xr:uid="{00000000-0005-0000-0000-0000BE030000}"/>
    <cellStyle name="60% - Accent6 3 6" xfId="1019" xr:uid="{00000000-0005-0000-0000-0000BF030000}"/>
    <cellStyle name="60% - Accent6 3 7" xfId="1020" xr:uid="{00000000-0005-0000-0000-0000C0030000}"/>
    <cellStyle name="60% - Accent6 3 8" xfId="1021" xr:uid="{00000000-0005-0000-0000-0000C1030000}"/>
    <cellStyle name="60% - Accent6 3 9" xfId="1022" xr:uid="{00000000-0005-0000-0000-0000C2030000}"/>
    <cellStyle name="60% - Accent6 4" xfId="1023" xr:uid="{00000000-0005-0000-0000-0000C3030000}"/>
    <cellStyle name="60% - Accent6 4 10" xfId="1024" xr:uid="{00000000-0005-0000-0000-0000C4030000}"/>
    <cellStyle name="60% - Accent6 4 11" xfId="1025" xr:uid="{00000000-0005-0000-0000-0000C5030000}"/>
    <cellStyle name="60% - Accent6 4 12" xfId="1026" xr:uid="{00000000-0005-0000-0000-0000C6030000}"/>
    <cellStyle name="60% - Accent6 4 13" xfId="1027" xr:uid="{00000000-0005-0000-0000-0000C7030000}"/>
    <cellStyle name="60% - Accent6 4 14" xfId="1028" xr:uid="{00000000-0005-0000-0000-0000C8030000}"/>
    <cellStyle name="60% - Accent6 4 15" xfId="1029" xr:uid="{00000000-0005-0000-0000-0000C9030000}"/>
    <cellStyle name="60% - Accent6 4 16" xfId="1030" xr:uid="{00000000-0005-0000-0000-0000CA030000}"/>
    <cellStyle name="60% - Accent6 4 2" xfId="1031" xr:uid="{00000000-0005-0000-0000-0000CB030000}"/>
    <cellStyle name="60% - Accent6 4 3" xfId="1032" xr:uid="{00000000-0005-0000-0000-0000CC030000}"/>
    <cellStyle name="60% - Accent6 4 4" xfId="1033" xr:uid="{00000000-0005-0000-0000-0000CD030000}"/>
    <cellStyle name="60% - Accent6 4 5" xfId="1034" xr:uid="{00000000-0005-0000-0000-0000CE030000}"/>
    <cellStyle name="60% - Accent6 4 6" xfId="1035" xr:uid="{00000000-0005-0000-0000-0000CF030000}"/>
    <cellStyle name="60% - Accent6 4 7" xfId="1036" xr:uid="{00000000-0005-0000-0000-0000D0030000}"/>
    <cellStyle name="60% - Accent6 4 8" xfId="1037" xr:uid="{00000000-0005-0000-0000-0000D1030000}"/>
    <cellStyle name="60% - Accent6 4 9" xfId="1038" xr:uid="{00000000-0005-0000-0000-0000D2030000}"/>
    <cellStyle name="60% - Isticanje1" xfId="1039" xr:uid="{00000000-0005-0000-0000-0000D3030000}"/>
    <cellStyle name="60% - Isticanje2" xfId="1040" xr:uid="{00000000-0005-0000-0000-0000D4030000}"/>
    <cellStyle name="60% - Isticanje3" xfId="1041" xr:uid="{00000000-0005-0000-0000-0000D5030000}"/>
    <cellStyle name="60% - Isticanje4" xfId="1042" xr:uid="{00000000-0005-0000-0000-0000D6030000}"/>
    <cellStyle name="60% - Isticanje5" xfId="1043" xr:uid="{00000000-0005-0000-0000-0000D7030000}"/>
    <cellStyle name="60% - Isticanje6" xfId="1044" xr:uid="{00000000-0005-0000-0000-0000D8030000}"/>
    <cellStyle name="Accent1 2" xfId="1045" xr:uid="{00000000-0005-0000-0000-0000D9030000}"/>
    <cellStyle name="Accent1 2 2" xfId="1046" xr:uid="{00000000-0005-0000-0000-0000DA030000}"/>
    <cellStyle name="Accent1 2 3" xfId="1047" xr:uid="{00000000-0005-0000-0000-0000DB030000}"/>
    <cellStyle name="Accent1 3" xfId="1048" xr:uid="{00000000-0005-0000-0000-0000DC030000}"/>
    <cellStyle name="Accent1 3 10" xfId="1049" xr:uid="{00000000-0005-0000-0000-0000DD030000}"/>
    <cellStyle name="Accent1 3 11" xfId="1050" xr:uid="{00000000-0005-0000-0000-0000DE030000}"/>
    <cellStyle name="Accent1 3 12" xfId="1051" xr:uid="{00000000-0005-0000-0000-0000DF030000}"/>
    <cellStyle name="Accent1 3 13" xfId="1052" xr:uid="{00000000-0005-0000-0000-0000E0030000}"/>
    <cellStyle name="Accent1 3 14" xfId="1053" xr:uid="{00000000-0005-0000-0000-0000E1030000}"/>
    <cellStyle name="Accent1 3 15" xfId="1054" xr:uid="{00000000-0005-0000-0000-0000E2030000}"/>
    <cellStyle name="Accent1 3 16" xfId="1055" xr:uid="{00000000-0005-0000-0000-0000E3030000}"/>
    <cellStyle name="Accent1 3 17" xfId="1056" xr:uid="{00000000-0005-0000-0000-0000E4030000}"/>
    <cellStyle name="Accent1 3 18" xfId="1057" xr:uid="{00000000-0005-0000-0000-0000E5030000}"/>
    <cellStyle name="Accent1 3 19" xfId="1058" xr:uid="{00000000-0005-0000-0000-0000E6030000}"/>
    <cellStyle name="Accent1 3 2" xfId="1059" xr:uid="{00000000-0005-0000-0000-0000E7030000}"/>
    <cellStyle name="Accent1 3 3" xfId="1060" xr:uid="{00000000-0005-0000-0000-0000E8030000}"/>
    <cellStyle name="Accent1 3 4" xfId="1061" xr:uid="{00000000-0005-0000-0000-0000E9030000}"/>
    <cellStyle name="Accent1 3 5" xfId="1062" xr:uid="{00000000-0005-0000-0000-0000EA030000}"/>
    <cellStyle name="Accent1 3 6" xfId="1063" xr:uid="{00000000-0005-0000-0000-0000EB030000}"/>
    <cellStyle name="Accent1 3 7" xfId="1064" xr:uid="{00000000-0005-0000-0000-0000EC030000}"/>
    <cellStyle name="Accent1 3 8" xfId="1065" xr:uid="{00000000-0005-0000-0000-0000ED030000}"/>
    <cellStyle name="Accent1 3 9" xfId="1066" xr:uid="{00000000-0005-0000-0000-0000EE030000}"/>
    <cellStyle name="Accent1 4" xfId="1067" xr:uid="{00000000-0005-0000-0000-0000EF030000}"/>
    <cellStyle name="Accent1 4 10" xfId="1068" xr:uid="{00000000-0005-0000-0000-0000F0030000}"/>
    <cellStyle name="Accent1 4 11" xfId="1069" xr:uid="{00000000-0005-0000-0000-0000F1030000}"/>
    <cellStyle name="Accent1 4 12" xfId="1070" xr:uid="{00000000-0005-0000-0000-0000F2030000}"/>
    <cellStyle name="Accent1 4 13" xfId="1071" xr:uid="{00000000-0005-0000-0000-0000F3030000}"/>
    <cellStyle name="Accent1 4 14" xfId="1072" xr:uid="{00000000-0005-0000-0000-0000F4030000}"/>
    <cellStyle name="Accent1 4 15" xfId="1073" xr:uid="{00000000-0005-0000-0000-0000F5030000}"/>
    <cellStyle name="Accent1 4 16" xfId="1074" xr:uid="{00000000-0005-0000-0000-0000F6030000}"/>
    <cellStyle name="Accent1 4 2" xfId="1075" xr:uid="{00000000-0005-0000-0000-0000F7030000}"/>
    <cellStyle name="Accent1 4 3" xfId="1076" xr:uid="{00000000-0005-0000-0000-0000F8030000}"/>
    <cellStyle name="Accent1 4 4" xfId="1077" xr:uid="{00000000-0005-0000-0000-0000F9030000}"/>
    <cellStyle name="Accent1 4 5" xfId="1078" xr:uid="{00000000-0005-0000-0000-0000FA030000}"/>
    <cellStyle name="Accent1 4 6" xfId="1079" xr:uid="{00000000-0005-0000-0000-0000FB030000}"/>
    <cellStyle name="Accent1 4 7" xfId="1080" xr:uid="{00000000-0005-0000-0000-0000FC030000}"/>
    <cellStyle name="Accent1 4 8" xfId="1081" xr:uid="{00000000-0005-0000-0000-0000FD030000}"/>
    <cellStyle name="Accent1 4 9" xfId="1082" xr:uid="{00000000-0005-0000-0000-0000FE030000}"/>
    <cellStyle name="Accent2 2" xfId="1083" xr:uid="{00000000-0005-0000-0000-0000FF030000}"/>
    <cellStyle name="Accent2 2 2" xfId="1084" xr:uid="{00000000-0005-0000-0000-000000040000}"/>
    <cellStyle name="Accent2 3" xfId="1085" xr:uid="{00000000-0005-0000-0000-000001040000}"/>
    <cellStyle name="Accent2 3 10" xfId="1086" xr:uid="{00000000-0005-0000-0000-000002040000}"/>
    <cellStyle name="Accent2 3 11" xfId="1087" xr:uid="{00000000-0005-0000-0000-000003040000}"/>
    <cellStyle name="Accent2 3 12" xfId="1088" xr:uid="{00000000-0005-0000-0000-000004040000}"/>
    <cellStyle name="Accent2 3 13" xfId="1089" xr:uid="{00000000-0005-0000-0000-000005040000}"/>
    <cellStyle name="Accent2 3 14" xfId="1090" xr:uid="{00000000-0005-0000-0000-000006040000}"/>
    <cellStyle name="Accent2 3 15" xfId="1091" xr:uid="{00000000-0005-0000-0000-000007040000}"/>
    <cellStyle name="Accent2 3 16" xfId="1092" xr:uid="{00000000-0005-0000-0000-000008040000}"/>
    <cellStyle name="Accent2 3 17" xfId="1093" xr:uid="{00000000-0005-0000-0000-000009040000}"/>
    <cellStyle name="Accent2 3 18" xfId="1094" xr:uid="{00000000-0005-0000-0000-00000A040000}"/>
    <cellStyle name="Accent2 3 19" xfId="1095" xr:uid="{00000000-0005-0000-0000-00000B040000}"/>
    <cellStyle name="Accent2 3 2" xfId="1096" xr:uid="{00000000-0005-0000-0000-00000C040000}"/>
    <cellStyle name="Accent2 3 3" xfId="1097" xr:uid="{00000000-0005-0000-0000-00000D040000}"/>
    <cellStyle name="Accent2 3 4" xfId="1098" xr:uid="{00000000-0005-0000-0000-00000E040000}"/>
    <cellStyle name="Accent2 3 5" xfId="1099" xr:uid="{00000000-0005-0000-0000-00000F040000}"/>
    <cellStyle name="Accent2 3 6" xfId="1100" xr:uid="{00000000-0005-0000-0000-000010040000}"/>
    <cellStyle name="Accent2 3 7" xfId="1101" xr:uid="{00000000-0005-0000-0000-000011040000}"/>
    <cellStyle name="Accent2 3 8" xfId="1102" xr:uid="{00000000-0005-0000-0000-000012040000}"/>
    <cellStyle name="Accent2 3 9" xfId="1103" xr:uid="{00000000-0005-0000-0000-000013040000}"/>
    <cellStyle name="Accent2 4" xfId="1104" xr:uid="{00000000-0005-0000-0000-000014040000}"/>
    <cellStyle name="Accent2 4 10" xfId="1105" xr:uid="{00000000-0005-0000-0000-000015040000}"/>
    <cellStyle name="Accent2 4 11" xfId="1106" xr:uid="{00000000-0005-0000-0000-000016040000}"/>
    <cellStyle name="Accent2 4 12" xfId="1107" xr:uid="{00000000-0005-0000-0000-000017040000}"/>
    <cellStyle name="Accent2 4 13" xfId="1108" xr:uid="{00000000-0005-0000-0000-000018040000}"/>
    <cellStyle name="Accent2 4 14" xfId="1109" xr:uid="{00000000-0005-0000-0000-000019040000}"/>
    <cellStyle name="Accent2 4 15" xfId="1110" xr:uid="{00000000-0005-0000-0000-00001A040000}"/>
    <cellStyle name="Accent2 4 16" xfId="1111" xr:uid="{00000000-0005-0000-0000-00001B040000}"/>
    <cellStyle name="Accent2 4 2" xfId="1112" xr:uid="{00000000-0005-0000-0000-00001C040000}"/>
    <cellStyle name="Accent2 4 3" xfId="1113" xr:uid="{00000000-0005-0000-0000-00001D040000}"/>
    <cellStyle name="Accent2 4 4" xfId="1114" xr:uid="{00000000-0005-0000-0000-00001E040000}"/>
    <cellStyle name="Accent2 4 5" xfId="1115" xr:uid="{00000000-0005-0000-0000-00001F040000}"/>
    <cellStyle name="Accent2 4 6" xfId="1116" xr:uid="{00000000-0005-0000-0000-000020040000}"/>
    <cellStyle name="Accent2 4 7" xfId="1117" xr:uid="{00000000-0005-0000-0000-000021040000}"/>
    <cellStyle name="Accent2 4 8" xfId="1118" xr:uid="{00000000-0005-0000-0000-000022040000}"/>
    <cellStyle name="Accent2 4 9" xfId="1119" xr:uid="{00000000-0005-0000-0000-000023040000}"/>
    <cellStyle name="Accent3 2" xfId="1120" xr:uid="{00000000-0005-0000-0000-000024040000}"/>
    <cellStyle name="Accent3 2 2" xfId="1121" xr:uid="{00000000-0005-0000-0000-000025040000}"/>
    <cellStyle name="Accent3 3" xfId="1122" xr:uid="{00000000-0005-0000-0000-000026040000}"/>
    <cellStyle name="Accent3 3 10" xfId="1123" xr:uid="{00000000-0005-0000-0000-000027040000}"/>
    <cellStyle name="Accent3 3 11" xfId="1124" xr:uid="{00000000-0005-0000-0000-000028040000}"/>
    <cellStyle name="Accent3 3 12" xfId="1125" xr:uid="{00000000-0005-0000-0000-000029040000}"/>
    <cellStyle name="Accent3 3 13" xfId="1126" xr:uid="{00000000-0005-0000-0000-00002A040000}"/>
    <cellStyle name="Accent3 3 14" xfId="1127" xr:uid="{00000000-0005-0000-0000-00002B040000}"/>
    <cellStyle name="Accent3 3 15" xfId="1128" xr:uid="{00000000-0005-0000-0000-00002C040000}"/>
    <cellStyle name="Accent3 3 16" xfId="1129" xr:uid="{00000000-0005-0000-0000-00002D040000}"/>
    <cellStyle name="Accent3 3 17" xfId="1130" xr:uid="{00000000-0005-0000-0000-00002E040000}"/>
    <cellStyle name="Accent3 3 18" xfId="1131" xr:uid="{00000000-0005-0000-0000-00002F040000}"/>
    <cellStyle name="Accent3 3 19" xfId="1132" xr:uid="{00000000-0005-0000-0000-000030040000}"/>
    <cellStyle name="Accent3 3 2" xfId="1133" xr:uid="{00000000-0005-0000-0000-000031040000}"/>
    <cellStyle name="Accent3 3 3" xfId="1134" xr:uid="{00000000-0005-0000-0000-000032040000}"/>
    <cellStyle name="Accent3 3 4" xfId="1135" xr:uid="{00000000-0005-0000-0000-000033040000}"/>
    <cellStyle name="Accent3 3 5" xfId="1136" xr:uid="{00000000-0005-0000-0000-000034040000}"/>
    <cellStyle name="Accent3 3 6" xfId="1137" xr:uid="{00000000-0005-0000-0000-000035040000}"/>
    <cellStyle name="Accent3 3 7" xfId="1138" xr:uid="{00000000-0005-0000-0000-000036040000}"/>
    <cellStyle name="Accent3 3 8" xfId="1139" xr:uid="{00000000-0005-0000-0000-000037040000}"/>
    <cellStyle name="Accent3 3 9" xfId="1140" xr:uid="{00000000-0005-0000-0000-000038040000}"/>
    <cellStyle name="Accent3 4" xfId="1141" xr:uid="{00000000-0005-0000-0000-000039040000}"/>
    <cellStyle name="Accent3 4 10" xfId="1142" xr:uid="{00000000-0005-0000-0000-00003A040000}"/>
    <cellStyle name="Accent3 4 11" xfId="1143" xr:uid="{00000000-0005-0000-0000-00003B040000}"/>
    <cellStyle name="Accent3 4 12" xfId="1144" xr:uid="{00000000-0005-0000-0000-00003C040000}"/>
    <cellStyle name="Accent3 4 13" xfId="1145" xr:uid="{00000000-0005-0000-0000-00003D040000}"/>
    <cellStyle name="Accent3 4 14" xfId="1146" xr:uid="{00000000-0005-0000-0000-00003E040000}"/>
    <cellStyle name="Accent3 4 15" xfId="1147" xr:uid="{00000000-0005-0000-0000-00003F040000}"/>
    <cellStyle name="Accent3 4 16" xfId="1148" xr:uid="{00000000-0005-0000-0000-000040040000}"/>
    <cellStyle name="Accent3 4 2" xfId="1149" xr:uid="{00000000-0005-0000-0000-000041040000}"/>
    <cellStyle name="Accent3 4 3" xfId="1150" xr:uid="{00000000-0005-0000-0000-000042040000}"/>
    <cellStyle name="Accent3 4 4" xfId="1151" xr:uid="{00000000-0005-0000-0000-000043040000}"/>
    <cellStyle name="Accent3 4 5" xfId="1152" xr:uid="{00000000-0005-0000-0000-000044040000}"/>
    <cellStyle name="Accent3 4 6" xfId="1153" xr:uid="{00000000-0005-0000-0000-000045040000}"/>
    <cellStyle name="Accent3 4 7" xfId="1154" xr:uid="{00000000-0005-0000-0000-000046040000}"/>
    <cellStyle name="Accent3 4 8" xfId="1155" xr:uid="{00000000-0005-0000-0000-000047040000}"/>
    <cellStyle name="Accent3 4 9" xfId="1156" xr:uid="{00000000-0005-0000-0000-000048040000}"/>
    <cellStyle name="Accent4 2" xfId="1157" xr:uid="{00000000-0005-0000-0000-000049040000}"/>
    <cellStyle name="Accent4 2 2" xfId="1158" xr:uid="{00000000-0005-0000-0000-00004A040000}"/>
    <cellStyle name="Accent4 2 3" xfId="1159" xr:uid="{00000000-0005-0000-0000-00004B040000}"/>
    <cellStyle name="Accent4 3" xfId="1160" xr:uid="{00000000-0005-0000-0000-00004C040000}"/>
    <cellStyle name="Accent4 3 10" xfId="1161" xr:uid="{00000000-0005-0000-0000-00004D040000}"/>
    <cellStyle name="Accent4 3 11" xfId="1162" xr:uid="{00000000-0005-0000-0000-00004E040000}"/>
    <cellStyle name="Accent4 3 12" xfId="1163" xr:uid="{00000000-0005-0000-0000-00004F040000}"/>
    <cellStyle name="Accent4 3 13" xfId="1164" xr:uid="{00000000-0005-0000-0000-000050040000}"/>
    <cellStyle name="Accent4 3 14" xfId="1165" xr:uid="{00000000-0005-0000-0000-000051040000}"/>
    <cellStyle name="Accent4 3 15" xfId="1166" xr:uid="{00000000-0005-0000-0000-000052040000}"/>
    <cellStyle name="Accent4 3 16" xfId="1167" xr:uid="{00000000-0005-0000-0000-000053040000}"/>
    <cellStyle name="Accent4 3 17" xfId="1168" xr:uid="{00000000-0005-0000-0000-000054040000}"/>
    <cellStyle name="Accent4 3 18" xfId="1169" xr:uid="{00000000-0005-0000-0000-000055040000}"/>
    <cellStyle name="Accent4 3 19" xfId="1170" xr:uid="{00000000-0005-0000-0000-000056040000}"/>
    <cellStyle name="Accent4 3 2" xfId="1171" xr:uid="{00000000-0005-0000-0000-000057040000}"/>
    <cellStyle name="Accent4 3 3" xfId="1172" xr:uid="{00000000-0005-0000-0000-000058040000}"/>
    <cellStyle name="Accent4 3 4" xfId="1173" xr:uid="{00000000-0005-0000-0000-000059040000}"/>
    <cellStyle name="Accent4 3 5" xfId="1174" xr:uid="{00000000-0005-0000-0000-00005A040000}"/>
    <cellStyle name="Accent4 3 6" xfId="1175" xr:uid="{00000000-0005-0000-0000-00005B040000}"/>
    <cellStyle name="Accent4 3 7" xfId="1176" xr:uid="{00000000-0005-0000-0000-00005C040000}"/>
    <cellStyle name="Accent4 3 8" xfId="1177" xr:uid="{00000000-0005-0000-0000-00005D040000}"/>
    <cellStyle name="Accent4 3 9" xfId="1178" xr:uid="{00000000-0005-0000-0000-00005E040000}"/>
    <cellStyle name="Accent4 4" xfId="1179" xr:uid="{00000000-0005-0000-0000-00005F040000}"/>
    <cellStyle name="Accent4 4 10" xfId="1180" xr:uid="{00000000-0005-0000-0000-000060040000}"/>
    <cellStyle name="Accent4 4 11" xfId="1181" xr:uid="{00000000-0005-0000-0000-000061040000}"/>
    <cellStyle name="Accent4 4 12" xfId="1182" xr:uid="{00000000-0005-0000-0000-000062040000}"/>
    <cellStyle name="Accent4 4 13" xfId="1183" xr:uid="{00000000-0005-0000-0000-000063040000}"/>
    <cellStyle name="Accent4 4 14" xfId="1184" xr:uid="{00000000-0005-0000-0000-000064040000}"/>
    <cellStyle name="Accent4 4 15" xfId="1185" xr:uid="{00000000-0005-0000-0000-000065040000}"/>
    <cellStyle name="Accent4 4 16" xfId="1186" xr:uid="{00000000-0005-0000-0000-000066040000}"/>
    <cellStyle name="Accent4 4 2" xfId="1187" xr:uid="{00000000-0005-0000-0000-000067040000}"/>
    <cellStyle name="Accent4 4 3" xfId="1188" xr:uid="{00000000-0005-0000-0000-000068040000}"/>
    <cellStyle name="Accent4 4 4" xfId="1189" xr:uid="{00000000-0005-0000-0000-000069040000}"/>
    <cellStyle name="Accent4 4 5" xfId="1190" xr:uid="{00000000-0005-0000-0000-00006A040000}"/>
    <cellStyle name="Accent4 4 6" xfId="1191" xr:uid="{00000000-0005-0000-0000-00006B040000}"/>
    <cellStyle name="Accent4 4 7" xfId="1192" xr:uid="{00000000-0005-0000-0000-00006C040000}"/>
    <cellStyle name="Accent4 4 8" xfId="1193" xr:uid="{00000000-0005-0000-0000-00006D040000}"/>
    <cellStyle name="Accent4 4 9" xfId="1194" xr:uid="{00000000-0005-0000-0000-00006E040000}"/>
    <cellStyle name="Accent5 2" xfId="1195" xr:uid="{00000000-0005-0000-0000-00006F040000}"/>
    <cellStyle name="Accent5 2 2" xfId="1196" xr:uid="{00000000-0005-0000-0000-000070040000}"/>
    <cellStyle name="Accent5 3" xfId="1197" xr:uid="{00000000-0005-0000-0000-000071040000}"/>
    <cellStyle name="Accent5 3 10" xfId="1198" xr:uid="{00000000-0005-0000-0000-000072040000}"/>
    <cellStyle name="Accent5 3 11" xfId="1199" xr:uid="{00000000-0005-0000-0000-000073040000}"/>
    <cellStyle name="Accent5 3 12" xfId="1200" xr:uid="{00000000-0005-0000-0000-000074040000}"/>
    <cellStyle name="Accent5 3 13" xfId="1201" xr:uid="{00000000-0005-0000-0000-000075040000}"/>
    <cellStyle name="Accent5 3 14" xfId="1202" xr:uid="{00000000-0005-0000-0000-000076040000}"/>
    <cellStyle name="Accent5 3 15" xfId="1203" xr:uid="{00000000-0005-0000-0000-000077040000}"/>
    <cellStyle name="Accent5 3 16" xfId="1204" xr:uid="{00000000-0005-0000-0000-000078040000}"/>
    <cellStyle name="Accent5 3 17" xfId="1205" xr:uid="{00000000-0005-0000-0000-000079040000}"/>
    <cellStyle name="Accent5 3 18" xfId="1206" xr:uid="{00000000-0005-0000-0000-00007A040000}"/>
    <cellStyle name="Accent5 3 19" xfId="1207" xr:uid="{00000000-0005-0000-0000-00007B040000}"/>
    <cellStyle name="Accent5 3 2" xfId="1208" xr:uid="{00000000-0005-0000-0000-00007C040000}"/>
    <cellStyle name="Accent5 3 3" xfId="1209" xr:uid="{00000000-0005-0000-0000-00007D040000}"/>
    <cellStyle name="Accent5 3 4" xfId="1210" xr:uid="{00000000-0005-0000-0000-00007E040000}"/>
    <cellStyle name="Accent5 3 5" xfId="1211" xr:uid="{00000000-0005-0000-0000-00007F040000}"/>
    <cellStyle name="Accent5 3 6" xfId="1212" xr:uid="{00000000-0005-0000-0000-000080040000}"/>
    <cellStyle name="Accent5 3 7" xfId="1213" xr:uid="{00000000-0005-0000-0000-000081040000}"/>
    <cellStyle name="Accent5 3 8" xfId="1214" xr:uid="{00000000-0005-0000-0000-000082040000}"/>
    <cellStyle name="Accent5 3 9" xfId="1215" xr:uid="{00000000-0005-0000-0000-000083040000}"/>
    <cellStyle name="Accent5 4" xfId="1216" xr:uid="{00000000-0005-0000-0000-000084040000}"/>
    <cellStyle name="Accent5 4 10" xfId="1217" xr:uid="{00000000-0005-0000-0000-000085040000}"/>
    <cellStyle name="Accent5 4 11" xfId="1218" xr:uid="{00000000-0005-0000-0000-000086040000}"/>
    <cellStyle name="Accent5 4 12" xfId="1219" xr:uid="{00000000-0005-0000-0000-000087040000}"/>
    <cellStyle name="Accent5 4 13" xfId="1220" xr:uid="{00000000-0005-0000-0000-000088040000}"/>
    <cellStyle name="Accent5 4 14" xfId="1221" xr:uid="{00000000-0005-0000-0000-000089040000}"/>
    <cellStyle name="Accent5 4 15" xfId="1222" xr:uid="{00000000-0005-0000-0000-00008A040000}"/>
    <cellStyle name="Accent5 4 16" xfId="1223" xr:uid="{00000000-0005-0000-0000-00008B040000}"/>
    <cellStyle name="Accent5 4 2" xfId="1224" xr:uid="{00000000-0005-0000-0000-00008C040000}"/>
    <cellStyle name="Accent5 4 3" xfId="1225" xr:uid="{00000000-0005-0000-0000-00008D040000}"/>
    <cellStyle name="Accent5 4 4" xfId="1226" xr:uid="{00000000-0005-0000-0000-00008E040000}"/>
    <cellStyle name="Accent5 4 5" xfId="1227" xr:uid="{00000000-0005-0000-0000-00008F040000}"/>
    <cellStyle name="Accent5 4 6" xfId="1228" xr:uid="{00000000-0005-0000-0000-000090040000}"/>
    <cellStyle name="Accent5 4 7" xfId="1229" xr:uid="{00000000-0005-0000-0000-000091040000}"/>
    <cellStyle name="Accent5 4 8" xfId="1230" xr:uid="{00000000-0005-0000-0000-000092040000}"/>
    <cellStyle name="Accent5 4 9" xfId="1231" xr:uid="{00000000-0005-0000-0000-000093040000}"/>
    <cellStyle name="Accent6 2" xfId="1232" xr:uid="{00000000-0005-0000-0000-000094040000}"/>
    <cellStyle name="Accent6 2 2" xfId="1233" xr:uid="{00000000-0005-0000-0000-000095040000}"/>
    <cellStyle name="Accent6 3" xfId="1234" xr:uid="{00000000-0005-0000-0000-000096040000}"/>
    <cellStyle name="Accent6 3 10" xfId="1235" xr:uid="{00000000-0005-0000-0000-000097040000}"/>
    <cellStyle name="Accent6 3 11" xfId="1236" xr:uid="{00000000-0005-0000-0000-000098040000}"/>
    <cellStyle name="Accent6 3 12" xfId="1237" xr:uid="{00000000-0005-0000-0000-000099040000}"/>
    <cellStyle name="Accent6 3 13" xfId="1238" xr:uid="{00000000-0005-0000-0000-00009A040000}"/>
    <cellStyle name="Accent6 3 14" xfId="1239" xr:uid="{00000000-0005-0000-0000-00009B040000}"/>
    <cellStyle name="Accent6 3 15" xfId="1240" xr:uid="{00000000-0005-0000-0000-00009C040000}"/>
    <cellStyle name="Accent6 3 16" xfId="1241" xr:uid="{00000000-0005-0000-0000-00009D040000}"/>
    <cellStyle name="Accent6 3 17" xfId="1242" xr:uid="{00000000-0005-0000-0000-00009E040000}"/>
    <cellStyle name="Accent6 3 18" xfId="1243" xr:uid="{00000000-0005-0000-0000-00009F040000}"/>
    <cellStyle name="Accent6 3 19" xfId="1244" xr:uid="{00000000-0005-0000-0000-0000A0040000}"/>
    <cellStyle name="Accent6 3 2" xfId="1245" xr:uid="{00000000-0005-0000-0000-0000A1040000}"/>
    <cellStyle name="Accent6 3 3" xfId="1246" xr:uid="{00000000-0005-0000-0000-0000A2040000}"/>
    <cellStyle name="Accent6 3 4" xfId="1247" xr:uid="{00000000-0005-0000-0000-0000A3040000}"/>
    <cellStyle name="Accent6 3 5" xfId="1248" xr:uid="{00000000-0005-0000-0000-0000A4040000}"/>
    <cellStyle name="Accent6 3 6" xfId="1249" xr:uid="{00000000-0005-0000-0000-0000A5040000}"/>
    <cellStyle name="Accent6 3 7" xfId="1250" xr:uid="{00000000-0005-0000-0000-0000A6040000}"/>
    <cellStyle name="Accent6 3 8" xfId="1251" xr:uid="{00000000-0005-0000-0000-0000A7040000}"/>
    <cellStyle name="Accent6 3 9" xfId="1252" xr:uid="{00000000-0005-0000-0000-0000A8040000}"/>
    <cellStyle name="Accent6 4" xfId="1253" xr:uid="{00000000-0005-0000-0000-0000A9040000}"/>
    <cellStyle name="Accent6 4 10" xfId="1254" xr:uid="{00000000-0005-0000-0000-0000AA040000}"/>
    <cellStyle name="Accent6 4 11" xfId="1255" xr:uid="{00000000-0005-0000-0000-0000AB040000}"/>
    <cellStyle name="Accent6 4 12" xfId="1256" xr:uid="{00000000-0005-0000-0000-0000AC040000}"/>
    <cellStyle name="Accent6 4 13" xfId="1257" xr:uid="{00000000-0005-0000-0000-0000AD040000}"/>
    <cellStyle name="Accent6 4 14" xfId="1258" xr:uid="{00000000-0005-0000-0000-0000AE040000}"/>
    <cellStyle name="Accent6 4 15" xfId="1259" xr:uid="{00000000-0005-0000-0000-0000AF040000}"/>
    <cellStyle name="Accent6 4 16" xfId="1260" xr:uid="{00000000-0005-0000-0000-0000B0040000}"/>
    <cellStyle name="Accent6 4 2" xfId="1261" xr:uid="{00000000-0005-0000-0000-0000B1040000}"/>
    <cellStyle name="Accent6 4 3" xfId="1262" xr:uid="{00000000-0005-0000-0000-0000B2040000}"/>
    <cellStyle name="Accent6 4 4" xfId="1263" xr:uid="{00000000-0005-0000-0000-0000B3040000}"/>
    <cellStyle name="Accent6 4 5" xfId="1264" xr:uid="{00000000-0005-0000-0000-0000B4040000}"/>
    <cellStyle name="Accent6 4 6" xfId="1265" xr:uid="{00000000-0005-0000-0000-0000B5040000}"/>
    <cellStyle name="Accent6 4 7" xfId="1266" xr:uid="{00000000-0005-0000-0000-0000B6040000}"/>
    <cellStyle name="Accent6 4 8" xfId="1267" xr:uid="{00000000-0005-0000-0000-0000B7040000}"/>
    <cellStyle name="Accent6 4 9" xfId="1268" xr:uid="{00000000-0005-0000-0000-0000B8040000}"/>
    <cellStyle name="Bad 2" xfId="1269" xr:uid="{00000000-0005-0000-0000-0000B9040000}"/>
    <cellStyle name="Bad 2 2" xfId="1270" xr:uid="{00000000-0005-0000-0000-0000BA040000}"/>
    <cellStyle name="Bad 3" xfId="1271" xr:uid="{00000000-0005-0000-0000-0000BB040000}"/>
    <cellStyle name="Bad 3 10" xfId="1272" xr:uid="{00000000-0005-0000-0000-0000BC040000}"/>
    <cellStyle name="Bad 3 11" xfId="1273" xr:uid="{00000000-0005-0000-0000-0000BD040000}"/>
    <cellStyle name="Bad 3 12" xfId="1274" xr:uid="{00000000-0005-0000-0000-0000BE040000}"/>
    <cellStyle name="Bad 3 13" xfId="1275" xr:uid="{00000000-0005-0000-0000-0000BF040000}"/>
    <cellStyle name="Bad 3 14" xfId="1276" xr:uid="{00000000-0005-0000-0000-0000C0040000}"/>
    <cellStyle name="Bad 3 15" xfId="1277" xr:uid="{00000000-0005-0000-0000-0000C1040000}"/>
    <cellStyle name="Bad 3 16" xfId="1278" xr:uid="{00000000-0005-0000-0000-0000C2040000}"/>
    <cellStyle name="Bad 3 17" xfId="1279" xr:uid="{00000000-0005-0000-0000-0000C3040000}"/>
    <cellStyle name="Bad 3 18" xfId="1280" xr:uid="{00000000-0005-0000-0000-0000C4040000}"/>
    <cellStyle name="Bad 3 19" xfId="1281" xr:uid="{00000000-0005-0000-0000-0000C5040000}"/>
    <cellStyle name="Bad 3 2" xfId="1282" xr:uid="{00000000-0005-0000-0000-0000C6040000}"/>
    <cellStyle name="Bad 3 3" xfId="1283" xr:uid="{00000000-0005-0000-0000-0000C7040000}"/>
    <cellStyle name="Bad 3 4" xfId="1284" xr:uid="{00000000-0005-0000-0000-0000C8040000}"/>
    <cellStyle name="Bad 3 5" xfId="1285" xr:uid="{00000000-0005-0000-0000-0000C9040000}"/>
    <cellStyle name="Bad 3 6" xfId="1286" xr:uid="{00000000-0005-0000-0000-0000CA040000}"/>
    <cellStyle name="Bad 3 7" xfId="1287" xr:uid="{00000000-0005-0000-0000-0000CB040000}"/>
    <cellStyle name="Bad 3 8" xfId="1288" xr:uid="{00000000-0005-0000-0000-0000CC040000}"/>
    <cellStyle name="Bad 3 9" xfId="1289" xr:uid="{00000000-0005-0000-0000-0000CD040000}"/>
    <cellStyle name="Bad 4" xfId="1290" xr:uid="{00000000-0005-0000-0000-0000CE040000}"/>
    <cellStyle name="Bad 4 10" xfId="1291" xr:uid="{00000000-0005-0000-0000-0000CF040000}"/>
    <cellStyle name="Bad 4 11" xfId="1292" xr:uid="{00000000-0005-0000-0000-0000D0040000}"/>
    <cellStyle name="Bad 4 12" xfId="1293" xr:uid="{00000000-0005-0000-0000-0000D1040000}"/>
    <cellStyle name="Bad 4 13" xfId="1294" xr:uid="{00000000-0005-0000-0000-0000D2040000}"/>
    <cellStyle name="Bad 4 14" xfId="1295" xr:uid="{00000000-0005-0000-0000-0000D3040000}"/>
    <cellStyle name="Bad 4 15" xfId="1296" xr:uid="{00000000-0005-0000-0000-0000D4040000}"/>
    <cellStyle name="Bad 4 16" xfId="1297" xr:uid="{00000000-0005-0000-0000-0000D5040000}"/>
    <cellStyle name="Bad 4 2" xfId="1298" xr:uid="{00000000-0005-0000-0000-0000D6040000}"/>
    <cellStyle name="Bad 4 3" xfId="1299" xr:uid="{00000000-0005-0000-0000-0000D7040000}"/>
    <cellStyle name="Bad 4 4" xfId="1300" xr:uid="{00000000-0005-0000-0000-0000D8040000}"/>
    <cellStyle name="Bad 4 5" xfId="1301" xr:uid="{00000000-0005-0000-0000-0000D9040000}"/>
    <cellStyle name="Bad 4 6" xfId="1302" xr:uid="{00000000-0005-0000-0000-0000DA040000}"/>
    <cellStyle name="Bad 4 7" xfId="1303" xr:uid="{00000000-0005-0000-0000-0000DB040000}"/>
    <cellStyle name="Bad 4 8" xfId="1304" xr:uid="{00000000-0005-0000-0000-0000DC040000}"/>
    <cellStyle name="Bad 4 9" xfId="1305" xr:uid="{00000000-0005-0000-0000-0000DD040000}"/>
    <cellStyle name="Bilješka" xfId="1306" xr:uid="{00000000-0005-0000-0000-0000DE040000}"/>
    <cellStyle name="Bilješka 2" xfId="1307" xr:uid="{00000000-0005-0000-0000-0000DF040000}"/>
    <cellStyle name="Bilješka 2 2" xfId="2373" xr:uid="{00000000-0005-0000-0000-0000E0040000}"/>
    <cellStyle name="Bilješka 2 3" xfId="2374" xr:uid="{00000000-0005-0000-0000-0000E1040000}"/>
    <cellStyle name="Bilješka 3" xfId="1308" xr:uid="{00000000-0005-0000-0000-0000E2040000}"/>
    <cellStyle name="Bilješka 3 2" xfId="2375" xr:uid="{00000000-0005-0000-0000-0000E3040000}"/>
    <cellStyle name="Bilješka 4" xfId="2376" xr:uid="{00000000-0005-0000-0000-0000E4040000}"/>
    <cellStyle name="Border" xfId="1309" xr:uid="{00000000-0005-0000-0000-0000E5040000}"/>
    <cellStyle name="Calc Currency (0)" xfId="1310" xr:uid="{00000000-0005-0000-0000-0000E6040000}"/>
    <cellStyle name="Calc Currency (2)" xfId="1311" xr:uid="{00000000-0005-0000-0000-0000E7040000}"/>
    <cellStyle name="Calc Percent (0)" xfId="1312" xr:uid="{00000000-0005-0000-0000-0000E8040000}"/>
    <cellStyle name="Calc Percent (1)" xfId="1313" xr:uid="{00000000-0005-0000-0000-0000E9040000}"/>
    <cellStyle name="Calc Percent (2)" xfId="1314" xr:uid="{00000000-0005-0000-0000-0000EA040000}"/>
    <cellStyle name="Calc Units (0)" xfId="1315" xr:uid="{00000000-0005-0000-0000-0000EB040000}"/>
    <cellStyle name="Calc Units (1)" xfId="1316" xr:uid="{00000000-0005-0000-0000-0000EC040000}"/>
    <cellStyle name="Calc Units (2)" xfId="1317" xr:uid="{00000000-0005-0000-0000-0000ED040000}"/>
    <cellStyle name="Calculation 2" xfId="1318" xr:uid="{00000000-0005-0000-0000-0000EE040000}"/>
    <cellStyle name="Calculation 2 2" xfId="1319" xr:uid="{00000000-0005-0000-0000-0000EF040000}"/>
    <cellStyle name="Calculation 2 3" xfId="1320" xr:uid="{00000000-0005-0000-0000-0000F0040000}"/>
    <cellStyle name="Calculation 3" xfId="1321" xr:uid="{00000000-0005-0000-0000-0000F1040000}"/>
    <cellStyle name="Calculation 3 10" xfId="1322" xr:uid="{00000000-0005-0000-0000-0000F2040000}"/>
    <cellStyle name="Calculation 3 11" xfId="1323" xr:uid="{00000000-0005-0000-0000-0000F3040000}"/>
    <cellStyle name="Calculation 3 12" xfId="1324" xr:uid="{00000000-0005-0000-0000-0000F4040000}"/>
    <cellStyle name="Calculation 3 13" xfId="1325" xr:uid="{00000000-0005-0000-0000-0000F5040000}"/>
    <cellStyle name="Calculation 3 14" xfId="1326" xr:uid="{00000000-0005-0000-0000-0000F6040000}"/>
    <cellStyle name="Calculation 3 15" xfId="1327" xr:uid="{00000000-0005-0000-0000-0000F7040000}"/>
    <cellStyle name="Calculation 3 16" xfId="1328" xr:uid="{00000000-0005-0000-0000-0000F8040000}"/>
    <cellStyle name="Calculation 3 17" xfId="1329" xr:uid="{00000000-0005-0000-0000-0000F9040000}"/>
    <cellStyle name="Calculation 3 18" xfId="1330" xr:uid="{00000000-0005-0000-0000-0000FA040000}"/>
    <cellStyle name="Calculation 3 19" xfId="1331" xr:uid="{00000000-0005-0000-0000-0000FB040000}"/>
    <cellStyle name="Calculation 3 2" xfId="1332" xr:uid="{00000000-0005-0000-0000-0000FC040000}"/>
    <cellStyle name="Calculation 3 3" xfId="1333" xr:uid="{00000000-0005-0000-0000-0000FD040000}"/>
    <cellStyle name="Calculation 3 4" xfId="1334" xr:uid="{00000000-0005-0000-0000-0000FE040000}"/>
    <cellStyle name="Calculation 3 5" xfId="1335" xr:uid="{00000000-0005-0000-0000-0000FF040000}"/>
    <cellStyle name="Calculation 3 6" xfId="1336" xr:uid="{00000000-0005-0000-0000-000000050000}"/>
    <cellStyle name="Calculation 3 7" xfId="1337" xr:uid="{00000000-0005-0000-0000-000001050000}"/>
    <cellStyle name="Calculation 3 8" xfId="1338" xr:uid="{00000000-0005-0000-0000-000002050000}"/>
    <cellStyle name="Calculation 3 9" xfId="1339" xr:uid="{00000000-0005-0000-0000-000003050000}"/>
    <cellStyle name="Calculation 4" xfId="1340" xr:uid="{00000000-0005-0000-0000-000004050000}"/>
    <cellStyle name="Calculation 4 10" xfId="1341" xr:uid="{00000000-0005-0000-0000-000005050000}"/>
    <cellStyle name="Calculation 4 11" xfId="1342" xr:uid="{00000000-0005-0000-0000-000006050000}"/>
    <cellStyle name="Calculation 4 12" xfId="1343" xr:uid="{00000000-0005-0000-0000-000007050000}"/>
    <cellStyle name="Calculation 4 13" xfId="1344" xr:uid="{00000000-0005-0000-0000-000008050000}"/>
    <cellStyle name="Calculation 4 14" xfId="1345" xr:uid="{00000000-0005-0000-0000-000009050000}"/>
    <cellStyle name="Calculation 4 15" xfId="1346" xr:uid="{00000000-0005-0000-0000-00000A050000}"/>
    <cellStyle name="Calculation 4 16" xfId="1347" xr:uid="{00000000-0005-0000-0000-00000B050000}"/>
    <cellStyle name="Calculation 4 2" xfId="1348" xr:uid="{00000000-0005-0000-0000-00000C050000}"/>
    <cellStyle name="Calculation 4 3" xfId="1349" xr:uid="{00000000-0005-0000-0000-00000D050000}"/>
    <cellStyle name="Calculation 4 4" xfId="1350" xr:uid="{00000000-0005-0000-0000-00000E050000}"/>
    <cellStyle name="Calculation 4 5" xfId="1351" xr:uid="{00000000-0005-0000-0000-00000F050000}"/>
    <cellStyle name="Calculation 4 6" xfId="1352" xr:uid="{00000000-0005-0000-0000-000010050000}"/>
    <cellStyle name="Calculation 4 7" xfId="1353" xr:uid="{00000000-0005-0000-0000-000011050000}"/>
    <cellStyle name="Calculation 4 8" xfId="1354" xr:uid="{00000000-0005-0000-0000-000012050000}"/>
    <cellStyle name="Calculation 4 9" xfId="1355" xr:uid="{00000000-0005-0000-0000-000013050000}"/>
    <cellStyle name="Check Cell 2" xfId="1356" xr:uid="{00000000-0005-0000-0000-000014050000}"/>
    <cellStyle name="Check Cell 2 2" xfId="1357" xr:uid="{00000000-0005-0000-0000-000015050000}"/>
    <cellStyle name="Check Cell 3" xfId="1358" xr:uid="{00000000-0005-0000-0000-000016050000}"/>
    <cellStyle name="Check Cell 3 10" xfId="1359" xr:uid="{00000000-0005-0000-0000-000017050000}"/>
    <cellStyle name="Check Cell 3 11" xfId="1360" xr:uid="{00000000-0005-0000-0000-000018050000}"/>
    <cellStyle name="Check Cell 3 12" xfId="1361" xr:uid="{00000000-0005-0000-0000-000019050000}"/>
    <cellStyle name="Check Cell 3 13" xfId="1362" xr:uid="{00000000-0005-0000-0000-00001A050000}"/>
    <cellStyle name="Check Cell 3 14" xfId="1363" xr:uid="{00000000-0005-0000-0000-00001B050000}"/>
    <cellStyle name="Check Cell 3 15" xfId="1364" xr:uid="{00000000-0005-0000-0000-00001C050000}"/>
    <cellStyle name="Check Cell 3 16" xfId="1365" xr:uid="{00000000-0005-0000-0000-00001D050000}"/>
    <cellStyle name="Check Cell 3 17" xfId="1366" xr:uid="{00000000-0005-0000-0000-00001E050000}"/>
    <cellStyle name="Check Cell 3 18" xfId="1367" xr:uid="{00000000-0005-0000-0000-00001F050000}"/>
    <cellStyle name="Check Cell 3 19" xfId="1368" xr:uid="{00000000-0005-0000-0000-000020050000}"/>
    <cellStyle name="Check Cell 3 2" xfId="1369" xr:uid="{00000000-0005-0000-0000-000021050000}"/>
    <cellStyle name="Check Cell 3 3" xfId="1370" xr:uid="{00000000-0005-0000-0000-000022050000}"/>
    <cellStyle name="Check Cell 3 4" xfId="1371" xr:uid="{00000000-0005-0000-0000-000023050000}"/>
    <cellStyle name="Check Cell 3 5" xfId="1372" xr:uid="{00000000-0005-0000-0000-000024050000}"/>
    <cellStyle name="Check Cell 3 6" xfId="1373" xr:uid="{00000000-0005-0000-0000-000025050000}"/>
    <cellStyle name="Check Cell 3 7" xfId="1374" xr:uid="{00000000-0005-0000-0000-000026050000}"/>
    <cellStyle name="Check Cell 3 8" xfId="1375" xr:uid="{00000000-0005-0000-0000-000027050000}"/>
    <cellStyle name="Check Cell 3 9" xfId="1376" xr:uid="{00000000-0005-0000-0000-000028050000}"/>
    <cellStyle name="Check Cell 4" xfId="1377" xr:uid="{00000000-0005-0000-0000-000029050000}"/>
    <cellStyle name="Check Cell 4 10" xfId="1378" xr:uid="{00000000-0005-0000-0000-00002A050000}"/>
    <cellStyle name="Check Cell 4 11" xfId="1379" xr:uid="{00000000-0005-0000-0000-00002B050000}"/>
    <cellStyle name="Check Cell 4 12" xfId="1380" xr:uid="{00000000-0005-0000-0000-00002C050000}"/>
    <cellStyle name="Check Cell 4 13" xfId="1381" xr:uid="{00000000-0005-0000-0000-00002D050000}"/>
    <cellStyle name="Check Cell 4 14" xfId="1382" xr:uid="{00000000-0005-0000-0000-00002E050000}"/>
    <cellStyle name="Check Cell 4 15" xfId="1383" xr:uid="{00000000-0005-0000-0000-00002F050000}"/>
    <cellStyle name="Check Cell 4 16" xfId="1384" xr:uid="{00000000-0005-0000-0000-000030050000}"/>
    <cellStyle name="Check Cell 4 2" xfId="1385" xr:uid="{00000000-0005-0000-0000-000031050000}"/>
    <cellStyle name="Check Cell 4 3" xfId="1386" xr:uid="{00000000-0005-0000-0000-000032050000}"/>
    <cellStyle name="Check Cell 4 4" xfId="1387" xr:uid="{00000000-0005-0000-0000-000033050000}"/>
    <cellStyle name="Check Cell 4 5" xfId="1388" xr:uid="{00000000-0005-0000-0000-000034050000}"/>
    <cellStyle name="Check Cell 4 6" xfId="1389" xr:uid="{00000000-0005-0000-0000-000035050000}"/>
    <cellStyle name="Check Cell 4 7" xfId="1390" xr:uid="{00000000-0005-0000-0000-000036050000}"/>
    <cellStyle name="Check Cell 4 8" xfId="1391" xr:uid="{00000000-0005-0000-0000-000037050000}"/>
    <cellStyle name="Check Cell 4 9" xfId="1392" xr:uid="{00000000-0005-0000-0000-000038050000}"/>
    <cellStyle name="Comma" xfId="6" builtinId="3"/>
    <cellStyle name="Comma [00]" xfId="1393" xr:uid="{00000000-0005-0000-0000-00003A050000}"/>
    <cellStyle name="Comma 10" xfId="1394" xr:uid="{00000000-0005-0000-0000-00003B050000}"/>
    <cellStyle name="Comma 11" xfId="1395" xr:uid="{00000000-0005-0000-0000-00003C050000}"/>
    <cellStyle name="Comma 11 2" xfId="1396" xr:uid="{00000000-0005-0000-0000-00003D050000}"/>
    <cellStyle name="Comma 12" xfId="1397" xr:uid="{00000000-0005-0000-0000-00003E050000}"/>
    <cellStyle name="Comma 13" xfId="1398" xr:uid="{00000000-0005-0000-0000-00003F050000}"/>
    <cellStyle name="Comma 14" xfId="1399" xr:uid="{00000000-0005-0000-0000-000040050000}"/>
    <cellStyle name="Comma 15" xfId="1400" xr:uid="{00000000-0005-0000-0000-000041050000}"/>
    <cellStyle name="Comma 16" xfId="1401" xr:uid="{00000000-0005-0000-0000-000042050000}"/>
    <cellStyle name="Comma 17" xfId="1402" xr:uid="{00000000-0005-0000-0000-000043050000}"/>
    <cellStyle name="Comma 18" xfId="1403" xr:uid="{00000000-0005-0000-0000-000044050000}"/>
    <cellStyle name="Comma 19" xfId="1404" xr:uid="{00000000-0005-0000-0000-000045050000}"/>
    <cellStyle name="Comma 2" xfId="1405" xr:uid="{00000000-0005-0000-0000-000046050000}"/>
    <cellStyle name="Comma 2 17" xfId="2506" xr:uid="{00000000-0005-0000-0000-000047050000}"/>
    <cellStyle name="Comma 2 2" xfId="1406" xr:uid="{00000000-0005-0000-0000-000048050000}"/>
    <cellStyle name="Comma 2 2 2" xfId="2377" xr:uid="{00000000-0005-0000-0000-000049050000}"/>
    <cellStyle name="Comma 2 2 3" xfId="2378" xr:uid="{00000000-0005-0000-0000-00004A050000}"/>
    <cellStyle name="Comma 2 2 4" xfId="2379" xr:uid="{00000000-0005-0000-0000-00004B050000}"/>
    <cellStyle name="Comma 2 3" xfId="1407" xr:uid="{00000000-0005-0000-0000-00004C050000}"/>
    <cellStyle name="Comma 2 3 2" xfId="2380" xr:uid="{00000000-0005-0000-0000-00004D050000}"/>
    <cellStyle name="Comma 2 3 3" xfId="2381" xr:uid="{00000000-0005-0000-0000-00004E050000}"/>
    <cellStyle name="Comma 2 4" xfId="2382" xr:uid="{00000000-0005-0000-0000-00004F050000}"/>
    <cellStyle name="Comma 20" xfId="1408" xr:uid="{00000000-0005-0000-0000-000050050000}"/>
    <cellStyle name="Comma 21" xfId="1409" xr:uid="{00000000-0005-0000-0000-000051050000}"/>
    <cellStyle name="Comma 22" xfId="1410" xr:uid="{00000000-0005-0000-0000-000052050000}"/>
    <cellStyle name="Comma 23" xfId="1411" xr:uid="{00000000-0005-0000-0000-000053050000}"/>
    <cellStyle name="Comma 24" xfId="1412" xr:uid="{00000000-0005-0000-0000-000054050000}"/>
    <cellStyle name="Comma 25" xfId="1413" xr:uid="{00000000-0005-0000-0000-000055050000}"/>
    <cellStyle name="Comma 26" xfId="1414" xr:uid="{00000000-0005-0000-0000-000056050000}"/>
    <cellStyle name="Comma 27" xfId="1415" xr:uid="{00000000-0005-0000-0000-000057050000}"/>
    <cellStyle name="Comma 28" xfId="1416" xr:uid="{00000000-0005-0000-0000-000058050000}"/>
    <cellStyle name="Comma 29" xfId="1417" xr:uid="{00000000-0005-0000-0000-000059050000}"/>
    <cellStyle name="Comma 3" xfId="35" xr:uid="{00000000-0005-0000-0000-00005A050000}"/>
    <cellStyle name="Comma 3 2" xfId="1419" xr:uid="{00000000-0005-0000-0000-00005B050000}"/>
    <cellStyle name="Comma 3 2 2" xfId="2383" xr:uid="{00000000-0005-0000-0000-00005C050000}"/>
    <cellStyle name="Comma 3 3" xfId="1418" xr:uid="{00000000-0005-0000-0000-00005D050000}"/>
    <cellStyle name="Comma 3 4" xfId="2384" xr:uid="{00000000-0005-0000-0000-00005E050000}"/>
    <cellStyle name="Comma 30" xfId="1420" xr:uid="{00000000-0005-0000-0000-00005F050000}"/>
    <cellStyle name="Comma 31" xfId="2385" xr:uid="{00000000-0005-0000-0000-000060050000}"/>
    <cellStyle name="Comma 32" xfId="2386" xr:uid="{00000000-0005-0000-0000-000061050000}"/>
    <cellStyle name="Comma 33" xfId="2387" xr:uid="{00000000-0005-0000-0000-000062050000}"/>
    <cellStyle name="Comma 34" xfId="2388" xr:uid="{00000000-0005-0000-0000-000063050000}"/>
    <cellStyle name="Comma 35" xfId="2389" xr:uid="{00000000-0005-0000-0000-000064050000}"/>
    <cellStyle name="Comma 36" xfId="2501" xr:uid="{00000000-0005-0000-0000-000065050000}"/>
    <cellStyle name="Comma 37" xfId="2505" xr:uid="{00000000-0005-0000-0000-000066050000}"/>
    <cellStyle name="Comma 4" xfId="36" xr:uid="{00000000-0005-0000-0000-000067050000}"/>
    <cellStyle name="Comma 4 2" xfId="2390" xr:uid="{00000000-0005-0000-0000-000068050000}"/>
    <cellStyle name="Comma 4 3" xfId="2391" xr:uid="{00000000-0005-0000-0000-000069050000}"/>
    <cellStyle name="Comma 5" xfId="1421" xr:uid="{00000000-0005-0000-0000-00006A050000}"/>
    <cellStyle name="Comma 5 2" xfId="2392" xr:uid="{00000000-0005-0000-0000-00006B050000}"/>
    <cellStyle name="Comma 5 3" xfId="2393" xr:uid="{00000000-0005-0000-0000-00006C050000}"/>
    <cellStyle name="Comma 5 4" xfId="2394" xr:uid="{00000000-0005-0000-0000-00006D050000}"/>
    <cellStyle name="Comma 6" xfId="1422" xr:uid="{00000000-0005-0000-0000-00006E050000}"/>
    <cellStyle name="Comma 6 2" xfId="2395" xr:uid="{00000000-0005-0000-0000-00006F050000}"/>
    <cellStyle name="Comma 6 3" xfId="2396" xr:uid="{00000000-0005-0000-0000-000070050000}"/>
    <cellStyle name="Comma 7" xfId="1423" xr:uid="{00000000-0005-0000-0000-000071050000}"/>
    <cellStyle name="Comma 7 2" xfId="1424" xr:uid="{00000000-0005-0000-0000-000072050000}"/>
    <cellStyle name="Comma 7 3" xfId="2397" xr:uid="{00000000-0005-0000-0000-000073050000}"/>
    <cellStyle name="Comma 8" xfId="1425" xr:uid="{00000000-0005-0000-0000-000074050000}"/>
    <cellStyle name="Comma 8 2" xfId="2398" xr:uid="{00000000-0005-0000-0000-000075050000}"/>
    <cellStyle name="Comma 9" xfId="1426" xr:uid="{00000000-0005-0000-0000-000076050000}"/>
    <cellStyle name="Comma0" xfId="1427" xr:uid="{00000000-0005-0000-0000-000077050000}"/>
    <cellStyle name="Currency [00]" xfId="1428" xr:uid="{00000000-0005-0000-0000-000078050000}"/>
    <cellStyle name="Currency 10" xfId="1429" xr:uid="{00000000-0005-0000-0000-000079050000}"/>
    <cellStyle name="Currency 11" xfId="1430" xr:uid="{00000000-0005-0000-0000-00007A050000}"/>
    <cellStyle name="Currency 12" xfId="1431" xr:uid="{00000000-0005-0000-0000-00007B050000}"/>
    <cellStyle name="Currency 13" xfId="1432" xr:uid="{00000000-0005-0000-0000-00007C050000}"/>
    <cellStyle name="Currency 14" xfId="1433" xr:uid="{00000000-0005-0000-0000-00007D050000}"/>
    <cellStyle name="Currency 15" xfId="1434" xr:uid="{00000000-0005-0000-0000-00007E050000}"/>
    <cellStyle name="Currency 16" xfId="1435" xr:uid="{00000000-0005-0000-0000-00007F050000}"/>
    <cellStyle name="Currency 17" xfId="1436" xr:uid="{00000000-0005-0000-0000-000080050000}"/>
    <cellStyle name="Currency 2" xfId="1437" xr:uid="{00000000-0005-0000-0000-000081050000}"/>
    <cellStyle name="Currency 2 2" xfId="1438" xr:uid="{00000000-0005-0000-0000-000082050000}"/>
    <cellStyle name="Currency 2 3" xfId="2399" xr:uid="{00000000-0005-0000-0000-000083050000}"/>
    <cellStyle name="Currency 3" xfId="1439" xr:uid="{00000000-0005-0000-0000-000084050000}"/>
    <cellStyle name="Currency 4" xfId="1440" xr:uid="{00000000-0005-0000-0000-000085050000}"/>
    <cellStyle name="Currency 5" xfId="1441" xr:uid="{00000000-0005-0000-0000-000086050000}"/>
    <cellStyle name="Currency 6" xfId="1442" xr:uid="{00000000-0005-0000-0000-000087050000}"/>
    <cellStyle name="Currency 7" xfId="1443" xr:uid="{00000000-0005-0000-0000-000088050000}"/>
    <cellStyle name="Currency 8" xfId="1444" xr:uid="{00000000-0005-0000-0000-000089050000}"/>
    <cellStyle name="Currency 9" xfId="1445" xr:uid="{00000000-0005-0000-0000-00008A050000}"/>
    <cellStyle name="Currency0" xfId="1446" xr:uid="{00000000-0005-0000-0000-00008B050000}"/>
    <cellStyle name="Date Short" xfId="1447" xr:uid="{00000000-0005-0000-0000-00008C050000}"/>
    <cellStyle name="Default_Uvuceni" xfId="1448" xr:uid="{00000000-0005-0000-0000-00008D050000}"/>
    <cellStyle name="Dezimal [0]_laroux" xfId="1449" xr:uid="{00000000-0005-0000-0000-00008E050000}"/>
    <cellStyle name="Dezimal_laroux" xfId="1450" xr:uid="{00000000-0005-0000-0000-00008F050000}"/>
    <cellStyle name="Dobro" xfId="1451" xr:uid="{00000000-0005-0000-0000-000090050000}"/>
    <cellStyle name="Dobro 2" xfId="1452" xr:uid="{00000000-0005-0000-0000-000091050000}"/>
    <cellStyle name="Dobro 2 2" xfId="2400" xr:uid="{00000000-0005-0000-0000-000092050000}"/>
    <cellStyle name="Dobro 2 3" xfId="2401" xr:uid="{00000000-0005-0000-0000-000093050000}"/>
    <cellStyle name="Dobro 3" xfId="2402" xr:uid="{00000000-0005-0000-0000-000094050000}"/>
    <cellStyle name="Dobro 4" xfId="2403" xr:uid="{00000000-0005-0000-0000-000095050000}"/>
    <cellStyle name="Enter Currency (0)" xfId="1453" xr:uid="{00000000-0005-0000-0000-000096050000}"/>
    <cellStyle name="Enter Currency (2)" xfId="1454" xr:uid="{00000000-0005-0000-0000-000097050000}"/>
    <cellStyle name="Enter Units (0)" xfId="1455" xr:uid="{00000000-0005-0000-0000-000098050000}"/>
    <cellStyle name="Enter Units (1)" xfId="1456" xr:uid="{00000000-0005-0000-0000-000099050000}"/>
    <cellStyle name="Enter Units (2)" xfId="1457" xr:uid="{00000000-0005-0000-0000-00009A050000}"/>
    <cellStyle name="Excel Built-in Default_Uvuceni" xfId="2365" xr:uid="{00000000-0005-0000-0000-00009B050000}"/>
    <cellStyle name="Excel Built-in Normal" xfId="52" xr:uid="{00000000-0005-0000-0000-00009C050000}"/>
    <cellStyle name="Excel Built-in Normal 1" xfId="53" xr:uid="{00000000-0005-0000-0000-00009D050000}"/>
    <cellStyle name="Excel Built-in Normal 2" xfId="1458" xr:uid="{00000000-0005-0000-0000-00009E050000}"/>
    <cellStyle name="Excel Built-in Normal 3" xfId="2404" xr:uid="{00000000-0005-0000-0000-00009F050000}"/>
    <cellStyle name="Excel_BuiltIn_20% - Accent2" xfId="2405" xr:uid="{00000000-0005-0000-0000-0000A0050000}"/>
    <cellStyle name="Explanatory Text 2" xfId="1459" xr:uid="{00000000-0005-0000-0000-0000A1050000}"/>
    <cellStyle name="Explanatory Text 3" xfId="1460" xr:uid="{00000000-0005-0000-0000-0000A2050000}"/>
    <cellStyle name="Explanatory Text 3 10" xfId="1461" xr:uid="{00000000-0005-0000-0000-0000A3050000}"/>
    <cellStyle name="Explanatory Text 3 11" xfId="1462" xr:uid="{00000000-0005-0000-0000-0000A4050000}"/>
    <cellStyle name="Explanatory Text 3 12" xfId="1463" xr:uid="{00000000-0005-0000-0000-0000A5050000}"/>
    <cellStyle name="Explanatory Text 3 13" xfId="1464" xr:uid="{00000000-0005-0000-0000-0000A6050000}"/>
    <cellStyle name="Explanatory Text 3 14" xfId="1465" xr:uid="{00000000-0005-0000-0000-0000A7050000}"/>
    <cellStyle name="Explanatory Text 3 15" xfId="1466" xr:uid="{00000000-0005-0000-0000-0000A8050000}"/>
    <cellStyle name="Explanatory Text 3 16" xfId="1467" xr:uid="{00000000-0005-0000-0000-0000A9050000}"/>
    <cellStyle name="Explanatory Text 3 17" xfId="1468" xr:uid="{00000000-0005-0000-0000-0000AA050000}"/>
    <cellStyle name="Explanatory Text 3 18" xfId="1469" xr:uid="{00000000-0005-0000-0000-0000AB050000}"/>
    <cellStyle name="Explanatory Text 3 19" xfId="1470" xr:uid="{00000000-0005-0000-0000-0000AC050000}"/>
    <cellStyle name="Explanatory Text 3 2" xfId="1471" xr:uid="{00000000-0005-0000-0000-0000AD050000}"/>
    <cellStyle name="Explanatory Text 3 3" xfId="1472" xr:uid="{00000000-0005-0000-0000-0000AE050000}"/>
    <cellStyle name="Explanatory Text 3 4" xfId="1473" xr:uid="{00000000-0005-0000-0000-0000AF050000}"/>
    <cellStyle name="Explanatory Text 3 5" xfId="1474" xr:uid="{00000000-0005-0000-0000-0000B0050000}"/>
    <cellStyle name="Explanatory Text 3 6" xfId="1475" xr:uid="{00000000-0005-0000-0000-0000B1050000}"/>
    <cellStyle name="Explanatory Text 3 7" xfId="1476" xr:uid="{00000000-0005-0000-0000-0000B2050000}"/>
    <cellStyle name="Explanatory Text 3 8" xfId="1477" xr:uid="{00000000-0005-0000-0000-0000B3050000}"/>
    <cellStyle name="Explanatory Text 3 9" xfId="1478" xr:uid="{00000000-0005-0000-0000-0000B4050000}"/>
    <cellStyle name="Explanatory Text 4" xfId="1479" xr:uid="{00000000-0005-0000-0000-0000B5050000}"/>
    <cellStyle name="Explanatory Text 4 10" xfId="1480" xr:uid="{00000000-0005-0000-0000-0000B6050000}"/>
    <cellStyle name="Explanatory Text 4 11" xfId="1481" xr:uid="{00000000-0005-0000-0000-0000B7050000}"/>
    <cellStyle name="Explanatory Text 4 12" xfId="1482" xr:uid="{00000000-0005-0000-0000-0000B8050000}"/>
    <cellStyle name="Explanatory Text 4 13" xfId="1483" xr:uid="{00000000-0005-0000-0000-0000B9050000}"/>
    <cellStyle name="Explanatory Text 4 14" xfId="1484" xr:uid="{00000000-0005-0000-0000-0000BA050000}"/>
    <cellStyle name="Explanatory Text 4 15" xfId="1485" xr:uid="{00000000-0005-0000-0000-0000BB050000}"/>
    <cellStyle name="Explanatory Text 4 16" xfId="1486" xr:uid="{00000000-0005-0000-0000-0000BC050000}"/>
    <cellStyle name="Explanatory Text 4 2" xfId="1487" xr:uid="{00000000-0005-0000-0000-0000BD050000}"/>
    <cellStyle name="Explanatory Text 4 3" xfId="1488" xr:uid="{00000000-0005-0000-0000-0000BE050000}"/>
    <cellStyle name="Explanatory Text 4 4" xfId="1489" xr:uid="{00000000-0005-0000-0000-0000BF050000}"/>
    <cellStyle name="Explanatory Text 4 5" xfId="1490" xr:uid="{00000000-0005-0000-0000-0000C0050000}"/>
    <cellStyle name="Explanatory Text 4 6" xfId="1491" xr:uid="{00000000-0005-0000-0000-0000C1050000}"/>
    <cellStyle name="Explanatory Text 4 7" xfId="1492" xr:uid="{00000000-0005-0000-0000-0000C2050000}"/>
    <cellStyle name="Explanatory Text 4 8" xfId="1493" xr:uid="{00000000-0005-0000-0000-0000C3050000}"/>
    <cellStyle name="Explanatory Text 4 9" xfId="1494" xr:uid="{00000000-0005-0000-0000-0000C4050000}"/>
    <cellStyle name="Good 2" xfId="1495" xr:uid="{00000000-0005-0000-0000-0000C5050000}"/>
    <cellStyle name="Good 2 2" xfId="1496" xr:uid="{00000000-0005-0000-0000-0000C6050000}"/>
    <cellStyle name="Good 2 3" xfId="2406" xr:uid="{00000000-0005-0000-0000-0000C7050000}"/>
    <cellStyle name="Good 3" xfId="1497" xr:uid="{00000000-0005-0000-0000-0000C8050000}"/>
    <cellStyle name="Good 3 10" xfId="1498" xr:uid="{00000000-0005-0000-0000-0000C9050000}"/>
    <cellStyle name="Good 3 11" xfId="1499" xr:uid="{00000000-0005-0000-0000-0000CA050000}"/>
    <cellStyle name="Good 3 12" xfId="1500" xr:uid="{00000000-0005-0000-0000-0000CB050000}"/>
    <cellStyle name="Good 3 13" xfId="1501" xr:uid="{00000000-0005-0000-0000-0000CC050000}"/>
    <cellStyle name="Good 3 14" xfId="1502" xr:uid="{00000000-0005-0000-0000-0000CD050000}"/>
    <cellStyle name="Good 3 15" xfId="1503" xr:uid="{00000000-0005-0000-0000-0000CE050000}"/>
    <cellStyle name="Good 3 16" xfId="1504" xr:uid="{00000000-0005-0000-0000-0000CF050000}"/>
    <cellStyle name="Good 3 17" xfId="1505" xr:uid="{00000000-0005-0000-0000-0000D0050000}"/>
    <cellStyle name="Good 3 18" xfId="1506" xr:uid="{00000000-0005-0000-0000-0000D1050000}"/>
    <cellStyle name="Good 3 19" xfId="1507" xr:uid="{00000000-0005-0000-0000-0000D2050000}"/>
    <cellStyle name="Good 3 2" xfId="1508" xr:uid="{00000000-0005-0000-0000-0000D3050000}"/>
    <cellStyle name="Good 3 20" xfId="2407" xr:uid="{00000000-0005-0000-0000-0000D4050000}"/>
    <cellStyle name="Good 3 3" xfId="1509" xr:uid="{00000000-0005-0000-0000-0000D5050000}"/>
    <cellStyle name="Good 3 4" xfId="1510" xr:uid="{00000000-0005-0000-0000-0000D6050000}"/>
    <cellStyle name="Good 3 5" xfId="1511" xr:uid="{00000000-0005-0000-0000-0000D7050000}"/>
    <cellStyle name="Good 3 6" xfId="1512" xr:uid="{00000000-0005-0000-0000-0000D8050000}"/>
    <cellStyle name="Good 3 7" xfId="1513" xr:uid="{00000000-0005-0000-0000-0000D9050000}"/>
    <cellStyle name="Good 3 8" xfId="1514" xr:uid="{00000000-0005-0000-0000-0000DA050000}"/>
    <cellStyle name="Good 3 9" xfId="1515" xr:uid="{00000000-0005-0000-0000-0000DB050000}"/>
    <cellStyle name="Good 4" xfId="1516" xr:uid="{00000000-0005-0000-0000-0000DC050000}"/>
    <cellStyle name="Good 4 10" xfId="1517" xr:uid="{00000000-0005-0000-0000-0000DD050000}"/>
    <cellStyle name="Good 4 11" xfId="1518" xr:uid="{00000000-0005-0000-0000-0000DE050000}"/>
    <cellStyle name="Good 4 12" xfId="1519" xr:uid="{00000000-0005-0000-0000-0000DF050000}"/>
    <cellStyle name="Good 4 13" xfId="1520" xr:uid="{00000000-0005-0000-0000-0000E0050000}"/>
    <cellStyle name="Good 4 14" xfId="1521" xr:uid="{00000000-0005-0000-0000-0000E1050000}"/>
    <cellStyle name="Good 4 15" xfId="1522" xr:uid="{00000000-0005-0000-0000-0000E2050000}"/>
    <cellStyle name="Good 4 16" xfId="1523" xr:uid="{00000000-0005-0000-0000-0000E3050000}"/>
    <cellStyle name="Good 4 2" xfId="1524" xr:uid="{00000000-0005-0000-0000-0000E4050000}"/>
    <cellStyle name="Good 4 3" xfId="1525" xr:uid="{00000000-0005-0000-0000-0000E5050000}"/>
    <cellStyle name="Good 4 4" xfId="1526" xr:uid="{00000000-0005-0000-0000-0000E6050000}"/>
    <cellStyle name="Good 4 5" xfId="1527" xr:uid="{00000000-0005-0000-0000-0000E7050000}"/>
    <cellStyle name="Good 4 6" xfId="1528" xr:uid="{00000000-0005-0000-0000-0000E8050000}"/>
    <cellStyle name="Good 4 7" xfId="1529" xr:uid="{00000000-0005-0000-0000-0000E9050000}"/>
    <cellStyle name="Good 4 8" xfId="1530" xr:uid="{00000000-0005-0000-0000-0000EA050000}"/>
    <cellStyle name="Good 4 9" xfId="1531" xr:uid="{00000000-0005-0000-0000-0000EB050000}"/>
    <cellStyle name="Grey" xfId="1532" xr:uid="{00000000-0005-0000-0000-0000EC050000}"/>
    <cellStyle name="Header1" xfId="1533" xr:uid="{00000000-0005-0000-0000-0000ED050000}"/>
    <cellStyle name="Header2" xfId="1534" xr:uid="{00000000-0005-0000-0000-0000EE050000}"/>
    <cellStyle name="Heading 1 2" xfId="1535" xr:uid="{00000000-0005-0000-0000-0000EF050000}"/>
    <cellStyle name="Heading 1 2 2" xfId="1536" xr:uid="{00000000-0005-0000-0000-0000F0050000}"/>
    <cellStyle name="Heading 1 2 3" xfId="1537" xr:uid="{00000000-0005-0000-0000-0000F1050000}"/>
    <cellStyle name="Heading 1 3" xfId="1538" xr:uid="{00000000-0005-0000-0000-0000F2050000}"/>
    <cellStyle name="Heading 1 3 10" xfId="1539" xr:uid="{00000000-0005-0000-0000-0000F3050000}"/>
    <cellStyle name="Heading 1 3 11" xfId="1540" xr:uid="{00000000-0005-0000-0000-0000F4050000}"/>
    <cellStyle name="Heading 1 3 12" xfId="1541" xr:uid="{00000000-0005-0000-0000-0000F5050000}"/>
    <cellStyle name="Heading 1 3 13" xfId="1542" xr:uid="{00000000-0005-0000-0000-0000F6050000}"/>
    <cellStyle name="Heading 1 3 14" xfId="1543" xr:uid="{00000000-0005-0000-0000-0000F7050000}"/>
    <cellStyle name="Heading 1 3 15" xfId="1544" xr:uid="{00000000-0005-0000-0000-0000F8050000}"/>
    <cellStyle name="Heading 1 3 16" xfId="1545" xr:uid="{00000000-0005-0000-0000-0000F9050000}"/>
    <cellStyle name="Heading 1 3 17" xfId="1546" xr:uid="{00000000-0005-0000-0000-0000FA050000}"/>
    <cellStyle name="Heading 1 3 18" xfId="1547" xr:uid="{00000000-0005-0000-0000-0000FB050000}"/>
    <cellStyle name="Heading 1 3 19" xfId="1548" xr:uid="{00000000-0005-0000-0000-0000FC050000}"/>
    <cellStyle name="Heading 1 3 2" xfId="1549" xr:uid="{00000000-0005-0000-0000-0000FD050000}"/>
    <cellStyle name="Heading 1 3 3" xfId="1550" xr:uid="{00000000-0005-0000-0000-0000FE050000}"/>
    <cellStyle name="Heading 1 3 4" xfId="1551" xr:uid="{00000000-0005-0000-0000-0000FF050000}"/>
    <cellStyle name="Heading 1 3 5" xfId="1552" xr:uid="{00000000-0005-0000-0000-000000060000}"/>
    <cellStyle name="Heading 1 3 6" xfId="1553" xr:uid="{00000000-0005-0000-0000-000001060000}"/>
    <cellStyle name="Heading 1 3 7" xfId="1554" xr:uid="{00000000-0005-0000-0000-000002060000}"/>
    <cellStyle name="Heading 1 3 8" xfId="1555" xr:uid="{00000000-0005-0000-0000-000003060000}"/>
    <cellStyle name="Heading 1 3 9" xfId="1556" xr:uid="{00000000-0005-0000-0000-000004060000}"/>
    <cellStyle name="Heading 1 4" xfId="1557" xr:uid="{00000000-0005-0000-0000-000005060000}"/>
    <cellStyle name="Heading 1 4 10" xfId="1558" xr:uid="{00000000-0005-0000-0000-000006060000}"/>
    <cellStyle name="Heading 1 4 11" xfId="1559" xr:uid="{00000000-0005-0000-0000-000007060000}"/>
    <cellStyle name="Heading 1 4 12" xfId="1560" xr:uid="{00000000-0005-0000-0000-000008060000}"/>
    <cellStyle name="Heading 1 4 13" xfId="1561" xr:uid="{00000000-0005-0000-0000-000009060000}"/>
    <cellStyle name="Heading 1 4 14" xfId="1562" xr:uid="{00000000-0005-0000-0000-00000A060000}"/>
    <cellStyle name="Heading 1 4 15" xfId="1563" xr:uid="{00000000-0005-0000-0000-00000B060000}"/>
    <cellStyle name="Heading 1 4 16" xfId="1564" xr:uid="{00000000-0005-0000-0000-00000C060000}"/>
    <cellStyle name="Heading 1 4 2" xfId="1565" xr:uid="{00000000-0005-0000-0000-00000D060000}"/>
    <cellStyle name="Heading 1 4 3" xfId="1566" xr:uid="{00000000-0005-0000-0000-00000E060000}"/>
    <cellStyle name="Heading 1 4 4" xfId="1567" xr:uid="{00000000-0005-0000-0000-00000F060000}"/>
    <cellStyle name="Heading 1 4 5" xfId="1568" xr:uid="{00000000-0005-0000-0000-000010060000}"/>
    <cellStyle name="Heading 1 4 6" xfId="1569" xr:uid="{00000000-0005-0000-0000-000011060000}"/>
    <cellStyle name="Heading 1 4 7" xfId="1570" xr:uid="{00000000-0005-0000-0000-000012060000}"/>
    <cellStyle name="Heading 1 4 8" xfId="1571" xr:uid="{00000000-0005-0000-0000-000013060000}"/>
    <cellStyle name="Heading 1 4 9" xfId="1572" xr:uid="{00000000-0005-0000-0000-000014060000}"/>
    <cellStyle name="Heading 2 2" xfId="1573" xr:uid="{00000000-0005-0000-0000-000015060000}"/>
    <cellStyle name="Heading 2 2 2" xfId="1574" xr:uid="{00000000-0005-0000-0000-000016060000}"/>
    <cellStyle name="Heading 2 2 3" xfId="1575" xr:uid="{00000000-0005-0000-0000-000017060000}"/>
    <cellStyle name="Heading 2 3" xfId="1576" xr:uid="{00000000-0005-0000-0000-000018060000}"/>
    <cellStyle name="Heading 2 3 10" xfId="1577" xr:uid="{00000000-0005-0000-0000-000019060000}"/>
    <cellStyle name="Heading 2 3 11" xfId="1578" xr:uid="{00000000-0005-0000-0000-00001A060000}"/>
    <cellStyle name="Heading 2 3 12" xfId="1579" xr:uid="{00000000-0005-0000-0000-00001B060000}"/>
    <cellStyle name="Heading 2 3 13" xfId="1580" xr:uid="{00000000-0005-0000-0000-00001C060000}"/>
    <cellStyle name="Heading 2 3 14" xfId="1581" xr:uid="{00000000-0005-0000-0000-00001D060000}"/>
    <cellStyle name="Heading 2 3 15" xfId="1582" xr:uid="{00000000-0005-0000-0000-00001E060000}"/>
    <cellStyle name="Heading 2 3 16" xfId="1583" xr:uid="{00000000-0005-0000-0000-00001F060000}"/>
    <cellStyle name="Heading 2 3 17" xfId="1584" xr:uid="{00000000-0005-0000-0000-000020060000}"/>
    <cellStyle name="Heading 2 3 18" xfId="1585" xr:uid="{00000000-0005-0000-0000-000021060000}"/>
    <cellStyle name="Heading 2 3 19" xfId="1586" xr:uid="{00000000-0005-0000-0000-000022060000}"/>
    <cellStyle name="Heading 2 3 2" xfId="1587" xr:uid="{00000000-0005-0000-0000-000023060000}"/>
    <cellStyle name="Heading 2 3 3" xfId="1588" xr:uid="{00000000-0005-0000-0000-000024060000}"/>
    <cellStyle name="Heading 2 3 4" xfId="1589" xr:uid="{00000000-0005-0000-0000-000025060000}"/>
    <cellStyle name="Heading 2 3 5" xfId="1590" xr:uid="{00000000-0005-0000-0000-000026060000}"/>
    <cellStyle name="Heading 2 3 6" xfId="1591" xr:uid="{00000000-0005-0000-0000-000027060000}"/>
    <cellStyle name="Heading 2 3 7" xfId="1592" xr:uid="{00000000-0005-0000-0000-000028060000}"/>
    <cellStyle name="Heading 2 3 8" xfId="1593" xr:uid="{00000000-0005-0000-0000-000029060000}"/>
    <cellStyle name="Heading 2 3 9" xfId="1594" xr:uid="{00000000-0005-0000-0000-00002A060000}"/>
    <cellStyle name="Heading 2 4" xfId="1595" xr:uid="{00000000-0005-0000-0000-00002B060000}"/>
    <cellStyle name="Heading 2 4 10" xfId="1596" xr:uid="{00000000-0005-0000-0000-00002C060000}"/>
    <cellStyle name="Heading 2 4 11" xfId="1597" xr:uid="{00000000-0005-0000-0000-00002D060000}"/>
    <cellStyle name="Heading 2 4 12" xfId="1598" xr:uid="{00000000-0005-0000-0000-00002E060000}"/>
    <cellStyle name="Heading 2 4 13" xfId="1599" xr:uid="{00000000-0005-0000-0000-00002F060000}"/>
    <cellStyle name="Heading 2 4 13 2" xfId="2362" xr:uid="{00000000-0005-0000-0000-000030060000}"/>
    <cellStyle name="Heading 2 4 14" xfId="1600" xr:uid="{00000000-0005-0000-0000-000031060000}"/>
    <cellStyle name="Heading 2 4 15" xfId="1601" xr:uid="{00000000-0005-0000-0000-000032060000}"/>
    <cellStyle name="Heading 2 4 16" xfId="1602" xr:uid="{00000000-0005-0000-0000-000033060000}"/>
    <cellStyle name="Heading 2 4 2" xfId="1603" xr:uid="{00000000-0005-0000-0000-000034060000}"/>
    <cellStyle name="Heading 2 4 3" xfId="1604" xr:uid="{00000000-0005-0000-0000-000035060000}"/>
    <cellStyle name="Heading 2 4 4" xfId="1605" xr:uid="{00000000-0005-0000-0000-000036060000}"/>
    <cellStyle name="Heading 2 4 5" xfId="1606" xr:uid="{00000000-0005-0000-0000-000037060000}"/>
    <cellStyle name="Heading 2 4 6" xfId="1607" xr:uid="{00000000-0005-0000-0000-000038060000}"/>
    <cellStyle name="Heading 2 4 7" xfId="1608" xr:uid="{00000000-0005-0000-0000-000039060000}"/>
    <cellStyle name="Heading 2 4 8" xfId="1609" xr:uid="{00000000-0005-0000-0000-00003A060000}"/>
    <cellStyle name="Heading 2 4 9" xfId="1610" xr:uid="{00000000-0005-0000-0000-00003B060000}"/>
    <cellStyle name="Heading 3 2" xfId="1611" xr:uid="{00000000-0005-0000-0000-00003C060000}"/>
    <cellStyle name="Heading 3 2 2" xfId="1612" xr:uid="{00000000-0005-0000-0000-00003D060000}"/>
    <cellStyle name="Heading 3 2 3" xfId="1613" xr:uid="{00000000-0005-0000-0000-00003E060000}"/>
    <cellStyle name="Heading 3 3" xfId="1614" xr:uid="{00000000-0005-0000-0000-00003F060000}"/>
    <cellStyle name="Heading 3 3 10" xfId="1615" xr:uid="{00000000-0005-0000-0000-000040060000}"/>
    <cellStyle name="Heading 3 3 11" xfId="1616" xr:uid="{00000000-0005-0000-0000-000041060000}"/>
    <cellStyle name="Heading 3 3 12" xfId="1617" xr:uid="{00000000-0005-0000-0000-000042060000}"/>
    <cellStyle name="Heading 3 3 13" xfId="1618" xr:uid="{00000000-0005-0000-0000-000043060000}"/>
    <cellStyle name="Heading 3 3 14" xfId="1619" xr:uid="{00000000-0005-0000-0000-000044060000}"/>
    <cellStyle name="Heading 3 3 15" xfId="1620" xr:uid="{00000000-0005-0000-0000-000045060000}"/>
    <cellStyle name="Heading 3 3 16" xfId="1621" xr:uid="{00000000-0005-0000-0000-000046060000}"/>
    <cellStyle name="Heading 3 3 17" xfId="1622" xr:uid="{00000000-0005-0000-0000-000047060000}"/>
    <cellStyle name="Heading 3 3 18" xfId="1623" xr:uid="{00000000-0005-0000-0000-000048060000}"/>
    <cellStyle name="Heading 3 3 19" xfId="1624" xr:uid="{00000000-0005-0000-0000-000049060000}"/>
    <cellStyle name="Heading 3 3 2" xfId="1625" xr:uid="{00000000-0005-0000-0000-00004A060000}"/>
    <cellStyle name="Heading 3 3 3" xfId="1626" xr:uid="{00000000-0005-0000-0000-00004B060000}"/>
    <cellStyle name="Heading 3 3 4" xfId="1627" xr:uid="{00000000-0005-0000-0000-00004C060000}"/>
    <cellStyle name="Heading 3 3 5" xfId="1628" xr:uid="{00000000-0005-0000-0000-00004D060000}"/>
    <cellStyle name="Heading 3 3 6" xfId="1629" xr:uid="{00000000-0005-0000-0000-00004E060000}"/>
    <cellStyle name="Heading 3 3 7" xfId="1630" xr:uid="{00000000-0005-0000-0000-00004F060000}"/>
    <cellStyle name="Heading 3 3 8" xfId="1631" xr:uid="{00000000-0005-0000-0000-000050060000}"/>
    <cellStyle name="Heading 3 3 9" xfId="1632" xr:uid="{00000000-0005-0000-0000-000051060000}"/>
    <cellStyle name="Heading 3 4" xfId="1633" xr:uid="{00000000-0005-0000-0000-000052060000}"/>
    <cellStyle name="Heading 3 4 10" xfId="1634" xr:uid="{00000000-0005-0000-0000-000053060000}"/>
    <cellStyle name="Heading 3 4 11" xfId="1635" xr:uid="{00000000-0005-0000-0000-000054060000}"/>
    <cellStyle name="Heading 3 4 12" xfId="1636" xr:uid="{00000000-0005-0000-0000-000055060000}"/>
    <cellStyle name="Heading 3 4 13" xfId="1637" xr:uid="{00000000-0005-0000-0000-000056060000}"/>
    <cellStyle name="Heading 3 4 14" xfId="1638" xr:uid="{00000000-0005-0000-0000-000057060000}"/>
    <cellStyle name="Heading 3 4 15" xfId="1639" xr:uid="{00000000-0005-0000-0000-000058060000}"/>
    <cellStyle name="Heading 3 4 16" xfId="1640" xr:uid="{00000000-0005-0000-0000-000059060000}"/>
    <cellStyle name="Heading 3 4 2" xfId="1641" xr:uid="{00000000-0005-0000-0000-00005A060000}"/>
    <cellStyle name="Heading 3 4 3" xfId="1642" xr:uid="{00000000-0005-0000-0000-00005B060000}"/>
    <cellStyle name="Heading 3 4 4" xfId="1643" xr:uid="{00000000-0005-0000-0000-00005C060000}"/>
    <cellStyle name="Heading 3 4 5" xfId="1644" xr:uid="{00000000-0005-0000-0000-00005D060000}"/>
    <cellStyle name="Heading 3 4 6" xfId="1645" xr:uid="{00000000-0005-0000-0000-00005E060000}"/>
    <cellStyle name="Heading 3 4 7" xfId="1646" xr:uid="{00000000-0005-0000-0000-00005F060000}"/>
    <cellStyle name="Heading 3 4 8" xfId="1647" xr:uid="{00000000-0005-0000-0000-000060060000}"/>
    <cellStyle name="Heading 3 4 9" xfId="1648" xr:uid="{00000000-0005-0000-0000-000061060000}"/>
    <cellStyle name="Heading 4 2" xfId="1649" xr:uid="{00000000-0005-0000-0000-000062060000}"/>
    <cellStyle name="Heading 4 2 2" xfId="1650" xr:uid="{00000000-0005-0000-0000-000063060000}"/>
    <cellStyle name="Heading 4 3" xfId="1651" xr:uid="{00000000-0005-0000-0000-000064060000}"/>
    <cellStyle name="Heading 4 3 10" xfId="1652" xr:uid="{00000000-0005-0000-0000-000065060000}"/>
    <cellStyle name="Heading 4 3 11" xfId="1653" xr:uid="{00000000-0005-0000-0000-000066060000}"/>
    <cellStyle name="Heading 4 3 12" xfId="1654" xr:uid="{00000000-0005-0000-0000-000067060000}"/>
    <cellStyle name="Heading 4 3 13" xfId="1655" xr:uid="{00000000-0005-0000-0000-000068060000}"/>
    <cellStyle name="Heading 4 3 14" xfId="1656" xr:uid="{00000000-0005-0000-0000-000069060000}"/>
    <cellStyle name="Heading 4 3 15" xfId="1657" xr:uid="{00000000-0005-0000-0000-00006A060000}"/>
    <cellStyle name="Heading 4 3 16" xfId="1658" xr:uid="{00000000-0005-0000-0000-00006B060000}"/>
    <cellStyle name="Heading 4 3 17" xfId="1659" xr:uid="{00000000-0005-0000-0000-00006C060000}"/>
    <cellStyle name="Heading 4 3 18" xfId="1660" xr:uid="{00000000-0005-0000-0000-00006D060000}"/>
    <cellStyle name="Heading 4 3 19" xfId="1661" xr:uid="{00000000-0005-0000-0000-00006E060000}"/>
    <cellStyle name="Heading 4 3 2" xfId="1662" xr:uid="{00000000-0005-0000-0000-00006F060000}"/>
    <cellStyle name="Heading 4 3 3" xfId="1663" xr:uid="{00000000-0005-0000-0000-000070060000}"/>
    <cellStyle name="Heading 4 3 4" xfId="1664" xr:uid="{00000000-0005-0000-0000-000071060000}"/>
    <cellStyle name="Heading 4 3 5" xfId="1665" xr:uid="{00000000-0005-0000-0000-000072060000}"/>
    <cellStyle name="Heading 4 3 6" xfId="1666" xr:uid="{00000000-0005-0000-0000-000073060000}"/>
    <cellStyle name="Heading 4 3 7" xfId="1667" xr:uid="{00000000-0005-0000-0000-000074060000}"/>
    <cellStyle name="Heading 4 3 8" xfId="1668" xr:uid="{00000000-0005-0000-0000-000075060000}"/>
    <cellStyle name="Heading 4 3 9" xfId="1669" xr:uid="{00000000-0005-0000-0000-000076060000}"/>
    <cellStyle name="Heading 4 4" xfId="1670" xr:uid="{00000000-0005-0000-0000-000077060000}"/>
    <cellStyle name="Heading 4 4 10" xfId="1671" xr:uid="{00000000-0005-0000-0000-000078060000}"/>
    <cellStyle name="Heading 4 4 11" xfId="1672" xr:uid="{00000000-0005-0000-0000-000079060000}"/>
    <cellStyle name="Heading 4 4 12" xfId="1673" xr:uid="{00000000-0005-0000-0000-00007A060000}"/>
    <cellStyle name="Heading 4 4 13" xfId="1674" xr:uid="{00000000-0005-0000-0000-00007B060000}"/>
    <cellStyle name="Heading 4 4 14" xfId="1675" xr:uid="{00000000-0005-0000-0000-00007C060000}"/>
    <cellStyle name="Heading 4 4 15" xfId="1676" xr:uid="{00000000-0005-0000-0000-00007D060000}"/>
    <cellStyle name="Heading 4 4 16" xfId="1677" xr:uid="{00000000-0005-0000-0000-00007E060000}"/>
    <cellStyle name="Heading 4 4 2" xfId="1678" xr:uid="{00000000-0005-0000-0000-00007F060000}"/>
    <cellStyle name="Heading 4 4 3" xfId="1679" xr:uid="{00000000-0005-0000-0000-000080060000}"/>
    <cellStyle name="Heading 4 4 4" xfId="1680" xr:uid="{00000000-0005-0000-0000-000081060000}"/>
    <cellStyle name="Heading 4 4 5" xfId="1681" xr:uid="{00000000-0005-0000-0000-000082060000}"/>
    <cellStyle name="Heading 4 4 6" xfId="1682" xr:uid="{00000000-0005-0000-0000-000083060000}"/>
    <cellStyle name="Heading 4 4 7" xfId="1683" xr:uid="{00000000-0005-0000-0000-000084060000}"/>
    <cellStyle name="Heading 4 4 8" xfId="1684" xr:uid="{00000000-0005-0000-0000-000085060000}"/>
    <cellStyle name="Heading 4 4 9" xfId="1685" xr:uid="{00000000-0005-0000-0000-000086060000}"/>
    <cellStyle name="Hyperlink 2" xfId="1686" xr:uid="{00000000-0005-0000-0000-000087060000}"/>
    <cellStyle name="Hyperlink 2 2" xfId="2515" xr:uid="{210B9666-8884-4D2F-A262-EE83FBE1DB6C}"/>
    <cellStyle name="Hyperlink 3" xfId="1687" xr:uid="{00000000-0005-0000-0000-000088060000}"/>
    <cellStyle name="Hyperlink 4" xfId="1688" xr:uid="{00000000-0005-0000-0000-000089060000}"/>
    <cellStyle name="Hyperlink 8" xfId="1689" xr:uid="{00000000-0005-0000-0000-00008A060000}"/>
    <cellStyle name="Input [yellow]" xfId="1690" xr:uid="{00000000-0005-0000-0000-00008B060000}"/>
    <cellStyle name="Input 10" xfId="1691" xr:uid="{00000000-0005-0000-0000-00008C060000}"/>
    <cellStyle name="Input 11" xfId="1692" xr:uid="{00000000-0005-0000-0000-00008D060000}"/>
    <cellStyle name="Input 12" xfId="1693" xr:uid="{00000000-0005-0000-0000-00008E060000}"/>
    <cellStyle name="Input 13" xfId="1694" xr:uid="{00000000-0005-0000-0000-00008F060000}"/>
    <cellStyle name="Input 14" xfId="1695" xr:uid="{00000000-0005-0000-0000-000090060000}"/>
    <cellStyle name="Input 15" xfId="1696" xr:uid="{00000000-0005-0000-0000-000091060000}"/>
    <cellStyle name="Input 16" xfId="1697" xr:uid="{00000000-0005-0000-0000-000092060000}"/>
    <cellStyle name="Input 17" xfId="1698" xr:uid="{00000000-0005-0000-0000-000093060000}"/>
    <cellStyle name="Input 18" xfId="1699" xr:uid="{00000000-0005-0000-0000-000094060000}"/>
    <cellStyle name="Input 19" xfId="1700" xr:uid="{00000000-0005-0000-0000-000095060000}"/>
    <cellStyle name="Input 2" xfId="1701" xr:uid="{00000000-0005-0000-0000-000096060000}"/>
    <cellStyle name="Input 2 2" xfId="1702" xr:uid="{00000000-0005-0000-0000-000097060000}"/>
    <cellStyle name="Input 20" xfId="1703" xr:uid="{00000000-0005-0000-0000-000098060000}"/>
    <cellStyle name="Input 21" xfId="1704" xr:uid="{00000000-0005-0000-0000-000099060000}"/>
    <cellStyle name="Input 22" xfId="1705" xr:uid="{00000000-0005-0000-0000-00009A060000}"/>
    <cellStyle name="Input 23" xfId="1706" xr:uid="{00000000-0005-0000-0000-00009B060000}"/>
    <cellStyle name="Input 24" xfId="1707" xr:uid="{00000000-0005-0000-0000-00009C060000}"/>
    <cellStyle name="Input 3" xfId="1708" xr:uid="{00000000-0005-0000-0000-00009D060000}"/>
    <cellStyle name="Input 3 10" xfId="1709" xr:uid="{00000000-0005-0000-0000-00009E060000}"/>
    <cellStyle name="Input 3 11" xfId="1710" xr:uid="{00000000-0005-0000-0000-00009F060000}"/>
    <cellStyle name="Input 3 12" xfId="1711" xr:uid="{00000000-0005-0000-0000-0000A0060000}"/>
    <cellStyle name="Input 3 13" xfId="1712" xr:uid="{00000000-0005-0000-0000-0000A1060000}"/>
    <cellStyle name="Input 3 14" xfId="1713" xr:uid="{00000000-0005-0000-0000-0000A2060000}"/>
    <cellStyle name="Input 3 15" xfId="1714" xr:uid="{00000000-0005-0000-0000-0000A3060000}"/>
    <cellStyle name="Input 3 16" xfId="1715" xr:uid="{00000000-0005-0000-0000-0000A4060000}"/>
    <cellStyle name="Input 3 17" xfId="1716" xr:uid="{00000000-0005-0000-0000-0000A5060000}"/>
    <cellStyle name="Input 3 18" xfId="1717" xr:uid="{00000000-0005-0000-0000-0000A6060000}"/>
    <cellStyle name="Input 3 19" xfId="1718" xr:uid="{00000000-0005-0000-0000-0000A7060000}"/>
    <cellStyle name="Input 3 2" xfId="1719" xr:uid="{00000000-0005-0000-0000-0000A8060000}"/>
    <cellStyle name="Input 3 20" xfId="1720" xr:uid="{00000000-0005-0000-0000-0000A9060000}"/>
    <cellStyle name="Input 3 3" xfId="1721" xr:uid="{00000000-0005-0000-0000-0000AA060000}"/>
    <cellStyle name="Input 3 4" xfId="1722" xr:uid="{00000000-0005-0000-0000-0000AB060000}"/>
    <cellStyle name="Input 3 5" xfId="1723" xr:uid="{00000000-0005-0000-0000-0000AC060000}"/>
    <cellStyle name="Input 3 6" xfId="1724" xr:uid="{00000000-0005-0000-0000-0000AD060000}"/>
    <cellStyle name="Input 3 7" xfId="1725" xr:uid="{00000000-0005-0000-0000-0000AE060000}"/>
    <cellStyle name="Input 3 8" xfId="1726" xr:uid="{00000000-0005-0000-0000-0000AF060000}"/>
    <cellStyle name="Input 3 9" xfId="1727" xr:uid="{00000000-0005-0000-0000-0000B0060000}"/>
    <cellStyle name="Input 4" xfId="1728" xr:uid="{00000000-0005-0000-0000-0000B1060000}"/>
    <cellStyle name="Input 4 10" xfId="1729" xr:uid="{00000000-0005-0000-0000-0000B2060000}"/>
    <cellStyle name="Input 4 11" xfId="1730" xr:uid="{00000000-0005-0000-0000-0000B3060000}"/>
    <cellStyle name="Input 4 12" xfId="1731" xr:uid="{00000000-0005-0000-0000-0000B4060000}"/>
    <cellStyle name="Input 4 13" xfId="1732" xr:uid="{00000000-0005-0000-0000-0000B5060000}"/>
    <cellStyle name="Input 4 14" xfId="1733" xr:uid="{00000000-0005-0000-0000-0000B6060000}"/>
    <cellStyle name="Input 4 15" xfId="1734" xr:uid="{00000000-0005-0000-0000-0000B7060000}"/>
    <cellStyle name="Input 4 16" xfId="1735" xr:uid="{00000000-0005-0000-0000-0000B8060000}"/>
    <cellStyle name="Input 4 17" xfId="1736" xr:uid="{00000000-0005-0000-0000-0000B9060000}"/>
    <cellStyle name="Input 4 2" xfId="1737" xr:uid="{00000000-0005-0000-0000-0000BA060000}"/>
    <cellStyle name="Input 4 3" xfId="1738" xr:uid="{00000000-0005-0000-0000-0000BB060000}"/>
    <cellStyle name="Input 4 4" xfId="1739" xr:uid="{00000000-0005-0000-0000-0000BC060000}"/>
    <cellStyle name="Input 4 5" xfId="1740" xr:uid="{00000000-0005-0000-0000-0000BD060000}"/>
    <cellStyle name="Input 4 6" xfId="1741" xr:uid="{00000000-0005-0000-0000-0000BE060000}"/>
    <cellStyle name="Input 4 7" xfId="1742" xr:uid="{00000000-0005-0000-0000-0000BF060000}"/>
    <cellStyle name="Input 4 8" xfId="1743" xr:uid="{00000000-0005-0000-0000-0000C0060000}"/>
    <cellStyle name="Input 4 9" xfId="1744" xr:uid="{00000000-0005-0000-0000-0000C1060000}"/>
    <cellStyle name="Input 5" xfId="1745" xr:uid="{00000000-0005-0000-0000-0000C2060000}"/>
    <cellStyle name="Input 6" xfId="1746" xr:uid="{00000000-0005-0000-0000-0000C3060000}"/>
    <cellStyle name="Input 7" xfId="1747" xr:uid="{00000000-0005-0000-0000-0000C4060000}"/>
    <cellStyle name="Input 8" xfId="1748" xr:uid="{00000000-0005-0000-0000-0000C5060000}"/>
    <cellStyle name="Input 9" xfId="1749" xr:uid="{00000000-0005-0000-0000-0000C6060000}"/>
    <cellStyle name="Isticanje1" xfId="1750" xr:uid="{00000000-0005-0000-0000-0000C7060000}"/>
    <cellStyle name="Isticanje2" xfId="1751" xr:uid="{00000000-0005-0000-0000-0000C8060000}"/>
    <cellStyle name="Isticanje3" xfId="1752" xr:uid="{00000000-0005-0000-0000-0000C9060000}"/>
    <cellStyle name="Isticanje4" xfId="1753" xr:uid="{00000000-0005-0000-0000-0000CA060000}"/>
    <cellStyle name="Isticanje5" xfId="1754" xr:uid="{00000000-0005-0000-0000-0000CB060000}"/>
    <cellStyle name="Isticanje6" xfId="1755" xr:uid="{00000000-0005-0000-0000-0000CC060000}"/>
    <cellStyle name="Izlaz" xfId="1756" xr:uid="{00000000-0005-0000-0000-0000CD060000}"/>
    <cellStyle name="Izlaz 2" xfId="1757" xr:uid="{00000000-0005-0000-0000-0000CE060000}"/>
    <cellStyle name="Izlaz 2 2" xfId="2408" xr:uid="{00000000-0005-0000-0000-0000CF060000}"/>
    <cellStyle name="Izlaz 2 3" xfId="2409" xr:uid="{00000000-0005-0000-0000-0000D0060000}"/>
    <cellStyle name="Izlaz 3" xfId="2410" xr:uid="{00000000-0005-0000-0000-0000D1060000}"/>
    <cellStyle name="Izlaz 4" xfId="2411" xr:uid="{00000000-0005-0000-0000-0000D2060000}"/>
    <cellStyle name="Izračun" xfId="1758" xr:uid="{00000000-0005-0000-0000-0000D3060000}"/>
    <cellStyle name="kolona A" xfId="1759" xr:uid="{00000000-0005-0000-0000-0000D4060000}"/>
    <cellStyle name="kolona B" xfId="1760" xr:uid="{00000000-0005-0000-0000-0000D5060000}"/>
    <cellStyle name="kolona C" xfId="1761" xr:uid="{00000000-0005-0000-0000-0000D6060000}"/>
    <cellStyle name="kolona D" xfId="1762" xr:uid="{00000000-0005-0000-0000-0000D7060000}"/>
    <cellStyle name="kolona E" xfId="1763" xr:uid="{00000000-0005-0000-0000-0000D8060000}"/>
    <cellStyle name="kolona F" xfId="1764" xr:uid="{00000000-0005-0000-0000-0000D9060000}"/>
    <cellStyle name="kolona G" xfId="1765" xr:uid="{00000000-0005-0000-0000-0000DA060000}"/>
    <cellStyle name="kolona H" xfId="1766" xr:uid="{00000000-0005-0000-0000-0000DB060000}"/>
    <cellStyle name="Link Currency (0)" xfId="1767" xr:uid="{00000000-0005-0000-0000-0000DC060000}"/>
    <cellStyle name="Link Currency (2)" xfId="1768" xr:uid="{00000000-0005-0000-0000-0000DD060000}"/>
    <cellStyle name="Link Units (0)" xfId="1769" xr:uid="{00000000-0005-0000-0000-0000DE060000}"/>
    <cellStyle name="Link Units (1)" xfId="1770" xr:uid="{00000000-0005-0000-0000-0000DF060000}"/>
    <cellStyle name="Link Units (2)" xfId="1771" xr:uid="{00000000-0005-0000-0000-0000E0060000}"/>
    <cellStyle name="Linked Cell 2" xfId="1772" xr:uid="{00000000-0005-0000-0000-0000E1060000}"/>
    <cellStyle name="Linked Cell 2 2" xfId="1773" xr:uid="{00000000-0005-0000-0000-0000E2060000}"/>
    <cellStyle name="Linked Cell 3" xfId="1774" xr:uid="{00000000-0005-0000-0000-0000E3060000}"/>
    <cellStyle name="Linked Cell 3 10" xfId="1775" xr:uid="{00000000-0005-0000-0000-0000E4060000}"/>
    <cellStyle name="Linked Cell 3 11" xfId="1776" xr:uid="{00000000-0005-0000-0000-0000E5060000}"/>
    <cellStyle name="Linked Cell 3 12" xfId="1777" xr:uid="{00000000-0005-0000-0000-0000E6060000}"/>
    <cellStyle name="Linked Cell 3 13" xfId="1778" xr:uid="{00000000-0005-0000-0000-0000E7060000}"/>
    <cellStyle name="Linked Cell 3 14" xfId="1779" xr:uid="{00000000-0005-0000-0000-0000E8060000}"/>
    <cellStyle name="Linked Cell 3 15" xfId="1780" xr:uid="{00000000-0005-0000-0000-0000E9060000}"/>
    <cellStyle name="Linked Cell 3 16" xfId="1781" xr:uid="{00000000-0005-0000-0000-0000EA060000}"/>
    <cellStyle name="Linked Cell 3 17" xfId="1782" xr:uid="{00000000-0005-0000-0000-0000EB060000}"/>
    <cellStyle name="Linked Cell 3 18" xfId="1783" xr:uid="{00000000-0005-0000-0000-0000EC060000}"/>
    <cellStyle name="Linked Cell 3 19" xfId="1784" xr:uid="{00000000-0005-0000-0000-0000ED060000}"/>
    <cellStyle name="Linked Cell 3 2" xfId="1785" xr:uid="{00000000-0005-0000-0000-0000EE060000}"/>
    <cellStyle name="Linked Cell 3 3" xfId="1786" xr:uid="{00000000-0005-0000-0000-0000EF060000}"/>
    <cellStyle name="Linked Cell 3 4" xfId="1787" xr:uid="{00000000-0005-0000-0000-0000F0060000}"/>
    <cellStyle name="Linked Cell 3 5" xfId="1788" xr:uid="{00000000-0005-0000-0000-0000F1060000}"/>
    <cellStyle name="Linked Cell 3 6" xfId="1789" xr:uid="{00000000-0005-0000-0000-0000F2060000}"/>
    <cellStyle name="Linked Cell 3 7" xfId="1790" xr:uid="{00000000-0005-0000-0000-0000F3060000}"/>
    <cellStyle name="Linked Cell 3 8" xfId="1791" xr:uid="{00000000-0005-0000-0000-0000F4060000}"/>
    <cellStyle name="Linked Cell 3 9" xfId="1792" xr:uid="{00000000-0005-0000-0000-0000F5060000}"/>
    <cellStyle name="Linked Cell 4" xfId="1793" xr:uid="{00000000-0005-0000-0000-0000F6060000}"/>
    <cellStyle name="Linked Cell 4 10" xfId="1794" xr:uid="{00000000-0005-0000-0000-0000F7060000}"/>
    <cellStyle name="Linked Cell 4 11" xfId="1795" xr:uid="{00000000-0005-0000-0000-0000F8060000}"/>
    <cellStyle name="Linked Cell 4 12" xfId="1796" xr:uid="{00000000-0005-0000-0000-0000F9060000}"/>
    <cellStyle name="Linked Cell 4 13" xfId="1797" xr:uid="{00000000-0005-0000-0000-0000FA060000}"/>
    <cellStyle name="Linked Cell 4 14" xfId="1798" xr:uid="{00000000-0005-0000-0000-0000FB060000}"/>
    <cellStyle name="Linked Cell 4 15" xfId="1799" xr:uid="{00000000-0005-0000-0000-0000FC060000}"/>
    <cellStyle name="Linked Cell 4 16" xfId="1800" xr:uid="{00000000-0005-0000-0000-0000FD060000}"/>
    <cellStyle name="Linked Cell 4 2" xfId="1801" xr:uid="{00000000-0005-0000-0000-0000FE060000}"/>
    <cellStyle name="Linked Cell 4 3" xfId="1802" xr:uid="{00000000-0005-0000-0000-0000FF060000}"/>
    <cellStyle name="Linked Cell 4 4" xfId="1803" xr:uid="{00000000-0005-0000-0000-000000070000}"/>
    <cellStyle name="Linked Cell 4 5" xfId="1804" xr:uid="{00000000-0005-0000-0000-000001070000}"/>
    <cellStyle name="Linked Cell 4 6" xfId="1805" xr:uid="{00000000-0005-0000-0000-000002070000}"/>
    <cellStyle name="Linked Cell 4 7" xfId="1806" xr:uid="{00000000-0005-0000-0000-000003070000}"/>
    <cellStyle name="Linked Cell 4 8" xfId="1807" xr:uid="{00000000-0005-0000-0000-000004070000}"/>
    <cellStyle name="Linked Cell 4 9" xfId="1808" xr:uid="{00000000-0005-0000-0000-000005070000}"/>
    <cellStyle name="Loše" xfId="1809" xr:uid="{00000000-0005-0000-0000-000006070000}"/>
    <cellStyle name="merge" xfId="2412" xr:uid="{00000000-0005-0000-0000-000007070000}"/>
    <cellStyle name="Milliers [0]_laroux" xfId="1810" xr:uid="{00000000-0005-0000-0000-000008070000}"/>
    <cellStyle name="Milliers_laroux" xfId="1811" xr:uid="{00000000-0005-0000-0000-000009070000}"/>
    <cellStyle name="Naslov" xfId="1812" xr:uid="{00000000-0005-0000-0000-00000A070000}"/>
    <cellStyle name="Naslov 1" xfId="1813" xr:uid="{00000000-0005-0000-0000-00000B070000}"/>
    <cellStyle name="Naslov 1 2" xfId="2413" xr:uid="{00000000-0005-0000-0000-00000C070000}"/>
    <cellStyle name="Naslov 2" xfId="1814" xr:uid="{00000000-0005-0000-0000-00000D070000}"/>
    <cellStyle name="Naslov 3" xfId="1815" xr:uid="{00000000-0005-0000-0000-00000E070000}"/>
    <cellStyle name="Naslov 4" xfId="1816" xr:uid="{00000000-0005-0000-0000-00000F070000}"/>
    <cellStyle name="Naslov 5" xfId="1817" xr:uid="{00000000-0005-0000-0000-000010070000}"/>
    <cellStyle name="Navadno 10 2" xfId="1818" xr:uid="{00000000-0005-0000-0000-000011070000}"/>
    <cellStyle name="Navadno_List1" xfId="5" xr:uid="{00000000-0005-0000-0000-000012070000}"/>
    <cellStyle name="Neutral 2" xfId="1819" xr:uid="{00000000-0005-0000-0000-000013070000}"/>
    <cellStyle name="Neutral 2 2" xfId="1820" xr:uid="{00000000-0005-0000-0000-000014070000}"/>
    <cellStyle name="Neutral 3" xfId="1821" xr:uid="{00000000-0005-0000-0000-000015070000}"/>
    <cellStyle name="Neutral 3 10" xfId="1822" xr:uid="{00000000-0005-0000-0000-000016070000}"/>
    <cellStyle name="Neutral 3 11" xfId="1823" xr:uid="{00000000-0005-0000-0000-000017070000}"/>
    <cellStyle name="Neutral 3 12" xfId="1824" xr:uid="{00000000-0005-0000-0000-000018070000}"/>
    <cellStyle name="Neutral 3 13" xfId="1825" xr:uid="{00000000-0005-0000-0000-000019070000}"/>
    <cellStyle name="Neutral 3 14" xfId="1826" xr:uid="{00000000-0005-0000-0000-00001A070000}"/>
    <cellStyle name="Neutral 3 15" xfId="1827" xr:uid="{00000000-0005-0000-0000-00001B070000}"/>
    <cellStyle name="Neutral 3 16" xfId="1828" xr:uid="{00000000-0005-0000-0000-00001C070000}"/>
    <cellStyle name="Neutral 3 17" xfId="1829" xr:uid="{00000000-0005-0000-0000-00001D070000}"/>
    <cellStyle name="Neutral 3 18" xfId="1830" xr:uid="{00000000-0005-0000-0000-00001E070000}"/>
    <cellStyle name="Neutral 3 19" xfId="1831" xr:uid="{00000000-0005-0000-0000-00001F070000}"/>
    <cellStyle name="Neutral 3 2" xfId="1832" xr:uid="{00000000-0005-0000-0000-000020070000}"/>
    <cellStyle name="Neutral 3 20" xfId="1833" xr:uid="{00000000-0005-0000-0000-000021070000}"/>
    <cellStyle name="Neutral 3 3" xfId="1834" xr:uid="{00000000-0005-0000-0000-000022070000}"/>
    <cellStyle name="Neutral 3 4" xfId="1835" xr:uid="{00000000-0005-0000-0000-000023070000}"/>
    <cellStyle name="Neutral 3 5" xfId="1836" xr:uid="{00000000-0005-0000-0000-000024070000}"/>
    <cellStyle name="Neutral 3 6" xfId="1837" xr:uid="{00000000-0005-0000-0000-000025070000}"/>
    <cellStyle name="Neutral 3 7" xfId="1838" xr:uid="{00000000-0005-0000-0000-000026070000}"/>
    <cellStyle name="Neutral 3 8" xfId="1839" xr:uid="{00000000-0005-0000-0000-000027070000}"/>
    <cellStyle name="Neutral 3 9" xfId="1840" xr:uid="{00000000-0005-0000-0000-000028070000}"/>
    <cellStyle name="Neutral 4" xfId="1841" xr:uid="{00000000-0005-0000-0000-000029070000}"/>
    <cellStyle name="Neutral 4 10" xfId="1842" xr:uid="{00000000-0005-0000-0000-00002A070000}"/>
    <cellStyle name="Neutral 4 11" xfId="1843" xr:uid="{00000000-0005-0000-0000-00002B070000}"/>
    <cellStyle name="Neutral 4 12" xfId="1844" xr:uid="{00000000-0005-0000-0000-00002C070000}"/>
    <cellStyle name="Neutral 4 13" xfId="1845" xr:uid="{00000000-0005-0000-0000-00002D070000}"/>
    <cellStyle name="Neutral 4 14" xfId="1846" xr:uid="{00000000-0005-0000-0000-00002E070000}"/>
    <cellStyle name="Neutral 4 15" xfId="1847" xr:uid="{00000000-0005-0000-0000-00002F070000}"/>
    <cellStyle name="Neutral 4 16" xfId="1848" xr:uid="{00000000-0005-0000-0000-000030070000}"/>
    <cellStyle name="Neutral 4 2" xfId="1849" xr:uid="{00000000-0005-0000-0000-000031070000}"/>
    <cellStyle name="Neutral 4 3" xfId="1850" xr:uid="{00000000-0005-0000-0000-000032070000}"/>
    <cellStyle name="Neutral 4 4" xfId="1851" xr:uid="{00000000-0005-0000-0000-000033070000}"/>
    <cellStyle name="Neutral 4 5" xfId="1852" xr:uid="{00000000-0005-0000-0000-000034070000}"/>
    <cellStyle name="Neutral 4 6" xfId="1853" xr:uid="{00000000-0005-0000-0000-000035070000}"/>
    <cellStyle name="Neutral 4 7" xfId="1854" xr:uid="{00000000-0005-0000-0000-000036070000}"/>
    <cellStyle name="Neutral 4 8" xfId="1855" xr:uid="{00000000-0005-0000-0000-000037070000}"/>
    <cellStyle name="Neutral 4 9" xfId="1856" xr:uid="{00000000-0005-0000-0000-000038070000}"/>
    <cellStyle name="Neutralno" xfId="1857" xr:uid="{00000000-0005-0000-0000-000039070000}"/>
    <cellStyle name="Normal" xfId="0" builtinId="0"/>
    <cellStyle name="Normal - Style1" xfId="1858" xr:uid="{00000000-0005-0000-0000-00003B070000}"/>
    <cellStyle name="Normal - Style1 2" xfId="1859" xr:uid="{00000000-0005-0000-0000-00003C070000}"/>
    <cellStyle name="Normal 1" xfId="1860" xr:uid="{00000000-0005-0000-0000-00003D070000}"/>
    <cellStyle name="Normal 10" xfId="1861" xr:uid="{00000000-0005-0000-0000-00003E070000}"/>
    <cellStyle name="Normal 10 10" xfId="64" xr:uid="{00000000-0005-0000-0000-00003F070000}"/>
    <cellStyle name="Normal 10 11" xfId="1862" xr:uid="{00000000-0005-0000-0000-000040070000}"/>
    <cellStyle name="Normal 10 12" xfId="1863" xr:uid="{00000000-0005-0000-0000-000041070000}"/>
    <cellStyle name="Normal 10 13" xfId="1864" xr:uid="{00000000-0005-0000-0000-000042070000}"/>
    <cellStyle name="Normal 10 14" xfId="2414" xr:uid="{00000000-0005-0000-0000-000043070000}"/>
    <cellStyle name="Normal 10 2" xfId="37" xr:uid="{00000000-0005-0000-0000-000044070000}"/>
    <cellStyle name="Normal 10 2 5" xfId="2415" xr:uid="{00000000-0005-0000-0000-000045070000}"/>
    <cellStyle name="Normal 10 3" xfId="1865" xr:uid="{00000000-0005-0000-0000-000046070000}"/>
    <cellStyle name="Normal 10 4" xfId="1866" xr:uid="{00000000-0005-0000-0000-000047070000}"/>
    <cellStyle name="Normal 10 5" xfId="1867" xr:uid="{00000000-0005-0000-0000-000048070000}"/>
    <cellStyle name="Normal 10 6" xfId="1868" xr:uid="{00000000-0005-0000-0000-000049070000}"/>
    <cellStyle name="Normal 10 7" xfId="1869" xr:uid="{00000000-0005-0000-0000-00004A070000}"/>
    <cellStyle name="Normal 10 8" xfId="1870" xr:uid="{00000000-0005-0000-0000-00004B070000}"/>
    <cellStyle name="Normal 10 9" xfId="1871" xr:uid="{00000000-0005-0000-0000-00004C070000}"/>
    <cellStyle name="Normal 105" xfId="2511" xr:uid="{00000000-0005-0000-0000-00004D070000}"/>
    <cellStyle name="Normal 11" xfId="3" xr:uid="{00000000-0005-0000-0000-00004E070000}"/>
    <cellStyle name="Normal 11 10" xfId="1872" xr:uid="{00000000-0005-0000-0000-00004F070000}"/>
    <cellStyle name="Normal 11 11" xfId="1873" xr:uid="{00000000-0005-0000-0000-000050070000}"/>
    <cellStyle name="Normal 11 12" xfId="1874" xr:uid="{00000000-0005-0000-0000-000051070000}"/>
    <cellStyle name="Normal 11 13" xfId="1875" xr:uid="{00000000-0005-0000-0000-000052070000}"/>
    <cellStyle name="Normal 11 2" xfId="1876" xr:uid="{00000000-0005-0000-0000-000053070000}"/>
    <cellStyle name="Normal 11 3" xfId="1877" xr:uid="{00000000-0005-0000-0000-000054070000}"/>
    <cellStyle name="Normal 11 3 2" xfId="1878" xr:uid="{00000000-0005-0000-0000-000055070000}"/>
    <cellStyle name="Normal 11 4" xfId="1879" xr:uid="{00000000-0005-0000-0000-000056070000}"/>
    <cellStyle name="Normal 11 5" xfId="1880" xr:uid="{00000000-0005-0000-0000-000057070000}"/>
    <cellStyle name="Normal 11 6" xfId="1881" xr:uid="{00000000-0005-0000-0000-000058070000}"/>
    <cellStyle name="Normal 11 7" xfId="1882" xr:uid="{00000000-0005-0000-0000-000059070000}"/>
    <cellStyle name="Normal 11 8" xfId="1883" xr:uid="{00000000-0005-0000-0000-00005A070000}"/>
    <cellStyle name="Normal 11 9" xfId="1884" xr:uid="{00000000-0005-0000-0000-00005B070000}"/>
    <cellStyle name="Normal 114" xfId="2509" xr:uid="{00000000-0005-0000-0000-00005C070000}"/>
    <cellStyle name="Normal 12" xfId="1885" xr:uid="{00000000-0005-0000-0000-00005D070000}"/>
    <cellStyle name="Normal 12 10" xfId="1886" xr:uid="{00000000-0005-0000-0000-00005E070000}"/>
    <cellStyle name="Normal 12 11" xfId="1887" xr:uid="{00000000-0005-0000-0000-00005F070000}"/>
    <cellStyle name="Normal 12 12" xfId="1888" xr:uid="{00000000-0005-0000-0000-000060070000}"/>
    <cellStyle name="Normal 12 13" xfId="1889" xr:uid="{00000000-0005-0000-0000-000061070000}"/>
    <cellStyle name="Normal 12 14" xfId="1890" xr:uid="{00000000-0005-0000-0000-000062070000}"/>
    <cellStyle name="Normal 12 15" xfId="1891" xr:uid="{00000000-0005-0000-0000-000063070000}"/>
    <cellStyle name="Normal 12 16" xfId="1892" xr:uid="{00000000-0005-0000-0000-000064070000}"/>
    <cellStyle name="Normal 12 17" xfId="2416" xr:uid="{00000000-0005-0000-0000-000065070000}"/>
    <cellStyle name="Normal 12 2" xfId="1893" xr:uid="{00000000-0005-0000-0000-000066070000}"/>
    <cellStyle name="Normal 12 2 2" xfId="2417" xr:uid="{00000000-0005-0000-0000-000067070000}"/>
    <cellStyle name="Normal 12 3" xfId="1894" xr:uid="{00000000-0005-0000-0000-000068070000}"/>
    <cellStyle name="Normal 12 4" xfId="1895" xr:uid="{00000000-0005-0000-0000-000069070000}"/>
    <cellStyle name="Normal 12 5" xfId="1896" xr:uid="{00000000-0005-0000-0000-00006A070000}"/>
    <cellStyle name="Normal 12 6" xfId="1897" xr:uid="{00000000-0005-0000-0000-00006B070000}"/>
    <cellStyle name="Normal 12 7" xfId="1898" xr:uid="{00000000-0005-0000-0000-00006C070000}"/>
    <cellStyle name="Normal 12 8" xfId="1899" xr:uid="{00000000-0005-0000-0000-00006D070000}"/>
    <cellStyle name="Normal 12 9" xfId="1900" xr:uid="{00000000-0005-0000-0000-00006E070000}"/>
    <cellStyle name="Normal 13" xfId="63" xr:uid="{00000000-0005-0000-0000-00006F070000}"/>
    <cellStyle name="Normal 13 2" xfId="1901" xr:uid="{00000000-0005-0000-0000-000070070000}"/>
    <cellStyle name="Normal 13 3" xfId="1902" xr:uid="{00000000-0005-0000-0000-000071070000}"/>
    <cellStyle name="Normal 13 4" xfId="1903" xr:uid="{00000000-0005-0000-0000-000072070000}"/>
    <cellStyle name="Normal 13 5" xfId="1904" xr:uid="{00000000-0005-0000-0000-000073070000}"/>
    <cellStyle name="Normal 13 6" xfId="2418" xr:uid="{00000000-0005-0000-0000-000074070000}"/>
    <cellStyle name="Normal 14" xfId="42" xr:uid="{00000000-0005-0000-0000-000075070000}"/>
    <cellStyle name="Normal 14 2" xfId="1905" xr:uid="{00000000-0005-0000-0000-000076070000}"/>
    <cellStyle name="Normal 14 2 2" xfId="2419" xr:uid="{00000000-0005-0000-0000-000077070000}"/>
    <cellStyle name="Normal 14 3" xfId="2420" xr:uid="{00000000-0005-0000-0000-000078070000}"/>
    <cellStyle name="Normal 15" xfId="1906" xr:uid="{00000000-0005-0000-0000-000079070000}"/>
    <cellStyle name="Normal 15 2" xfId="1907" xr:uid="{00000000-0005-0000-0000-00007A070000}"/>
    <cellStyle name="Normal 15 3" xfId="1908" xr:uid="{00000000-0005-0000-0000-00007B070000}"/>
    <cellStyle name="Normal 15 4" xfId="1909" xr:uid="{00000000-0005-0000-0000-00007C070000}"/>
    <cellStyle name="Normal 15 5" xfId="2421" xr:uid="{00000000-0005-0000-0000-00007D070000}"/>
    <cellStyle name="Normal 16" xfId="1910" xr:uid="{00000000-0005-0000-0000-00007E070000}"/>
    <cellStyle name="Normal 16 10" xfId="1911" xr:uid="{00000000-0005-0000-0000-00007F070000}"/>
    <cellStyle name="Normal 16 11" xfId="2422" xr:uid="{00000000-0005-0000-0000-000080070000}"/>
    <cellStyle name="Normal 16 2" xfId="1912" xr:uid="{00000000-0005-0000-0000-000081070000}"/>
    <cellStyle name="Normal 16 3" xfId="1913" xr:uid="{00000000-0005-0000-0000-000082070000}"/>
    <cellStyle name="Normal 16 4" xfId="1914" xr:uid="{00000000-0005-0000-0000-000083070000}"/>
    <cellStyle name="Normal 16 5" xfId="1915" xr:uid="{00000000-0005-0000-0000-000084070000}"/>
    <cellStyle name="Normal 16 6" xfId="1916" xr:uid="{00000000-0005-0000-0000-000085070000}"/>
    <cellStyle name="Normal 16 7" xfId="1917" xr:uid="{00000000-0005-0000-0000-000086070000}"/>
    <cellStyle name="Normal 16 8" xfId="1918" xr:uid="{00000000-0005-0000-0000-000087070000}"/>
    <cellStyle name="Normal 16 9" xfId="1919" xr:uid="{00000000-0005-0000-0000-000088070000}"/>
    <cellStyle name="Normal 17" xfId="38" xr:uid="{00000000-0005-0000-0000-000089070000}"/>
    <cellStyle name="Normal 17 2" xfId="1921" xr:uid="{00000000-0005-0000-0000-00008A070000}"/>
    <cellStyle name="Normal 17 3" xfId="1920" xr:uid="{00000000-0005-0000-0000-00008B070000}"/>
    <cellStyle name="Normal 17 4" xfId="2423" xr:uid="{00000000-0005-0000-0000-00008C070000}"/>
    <cellStyle name="Normal 18" xfId="1922" xr:uid="{00000000-0005-0000-0000-00008D070000}"/>
    <cellStyle name="Normal 18 2" xfId="55" xr:uid="{00000000-0005-0000-0000-00008E070000}"/>
    <cellStyle name="Normal 18 3" xfId="2424" xr:uid="{00000000-0005-0000-0000-00008F070000}"/>
    <cellStyle name="Normal 19" xfId="2425" xr:uid="{00000000-0005-0000-0000-000090070000}"/>
    <cellStyle name="Normal 19 2" xfId="1923" xr:uid="{00000000-0005-0000-0000-000091070000}"/>
    <cellStyle name="Normal 2" xfId="1" xr:uid="{00000000-0005-0000-0000-000092070000}"/>
    <cellStyle name="Normal 2 10" xfId="8" xr:uid="{00000000-0005-0000-0000-000093070000}"/>
    <cellStyle name="Normal 2 10 2" xfId="1925" xr:uid="{00000000-0005-0000-0000-000094070000}"/>
    <cellStyle name="Normal 2 11" xfId="1926" xr:uid="{00000000-0005-0000-0000-000095070000}"/>
    <cellStyle name="Normal 2 12" xfId="1927" xr:uid="{00000000-0005-0000-0000-000096070000}"/>
    <cellStyle name="Normal 2 13" xfId="1928" xr:uid="{00000000-0005-0000-0000-000097070000}"/>
    <cellStyle name="Normal 2 14" xfId="1929" xr:uid="{00000000-0005-0000-0000-000098070000}"/>
    <cellStyle name="Normal 2 15" xfId="1930" xr:uid="{00000000-0005-0000-0000-000099070000}"/>
    <cellStyle name="Normal 2 16" xfId="1931" xr:uid="{00000000-0005-0000-0000-00009A070000}"/>
    <cellStyle name="Normal 2 17" xfId="1932" xr:uid="{00000000-0005-0000-0000-00009B070000}"/>
    <cellStyle name="Normal 2 18" xfId="1924" xr:uid="{00000000-0005-0000-0000-00009C070000}"/>
    <cellStyle name="Normal 2 19" xfId="2426" xr:uid="{00000000-0005-0000-0000-00009D070000}"/>
    <cellStyle name="Normal 2 2" xfId="41" xr:uid="{00000000-0005-0000-0000-00009E070000}"/>
    <cellStyle name="Normal 2 2 2" xfId="51" xr:uid="{00000000-0005-0000-0000-00009F070000}"/>
    <cellStyle name="Normal 2 2 2 2" xfId="1933" xr:uid="{00000000-0005-0000-0000-0000A0070000}"/>
    <cellStyle name="Normal 2 2 2 2 2" xfId="49" xr:uid="{00000000-0005-0000-0000-0000A1070000}"/>
    <cellStyle name="Normal 2 2 2 2 3" xfId="1934" xr:uid="{00000000-0005-0000-0000-0000A2070000}"/>
    <cellStyle name="Normal 2 2 2 2 4" xfId="2427" xr:uid="{00000000-0005-0000-0000-0000A3070000}"/>
    <cellStyle name="Normal 2 2 3" xfId="1935" xr:uid="{00000000-0005-0000-0000-0000A4070000}"/>
    <cellStyle name="Normal 2 2 3 2" xfId="50" xr:uid="{00000000-0005-0000-0000-0000A5070000}"/>
    <cellStyle name="Normal 2 2 3 3" xfId="1936" xr:uid="{00000000-0005-0000-0000-0000A6070000}"/>
    <cellStyle name="Normal 2 2 4" xfId="61" xr:uid="{00000000-0005-0000-0000-0000A7070000}"/>
    <cellStyle name="Normal 2 2 4 2" xfId="1937" xr:uid="{00000000-0005-0000-0000-0000A8070000}"/>
    <cellStyle name="Normal 2 2 4 3" xfId="2428" xr:uid="{00000000-0005-0000-0000-0000A9070000}"/>
    <cellStyle name="Normal 2 2 5" xfId="1938" xr:uid="{00000000-0005-0000-0000-0000AA070000}"/>
    <cellStyle name="Normal 2 3" xfId="1939" xr:uid="{00000000-0005-0000-0000-0000AB070000}"/>
    <cellStyle name="Normal 2 3 2" xfId="1940" xr:uid="{00000000-0005-0000-0000-0000AC070000}"/>
    <cellStyle name="Normal 2 3 2 2" xfId="1941" xr:uid="{00000000-0005-0000-0000-0000AD070000}"/>
    <cellStyle name="Normal 2 3 2 3" xfId="2429" xr:uid="{00000000-0005-0000-0000-0000AE070000}"/>
    <cellStyle name="Normal 2 3 3" xfId="2430" xr:uid="{00000000-0005-0000-0000-0000AF070000}"/>
    <cellStyle name="Normal 2 3 4" xfId="2431" xr:uid="{00000000-0005-0000-0000-0000B0070000}"/>
    <cellStyle name="Normal 2 3 5" xfId="2432" xr:uid="{00000000-0005-0000-0000-0000B1070000}"/>
    <cellStyle name="Normal 2 4" xfId="1942" xr:uid="{00000000-0005-0000-0000-0000B2070000}"/>
    <cellStyle name="Normal 2 4 2" xfId="1943" xr:uid="{00000000-0005-0000-0000-0000B3070000}"/>
    <cellStyle name="Normal 2 4 2 2" xfId="1944" xr:uid="{00000000-0005-0000-0000-0000B4070000}"/>
    <cellStyle name="Normal 2 4 2 2 2" xfId="54" xr:uid="{00000000-0005-0000-0000-0000B5070000}"/>
    <cellStyle name="Normal 2 4 2 3" xfId="1945" xr:uid="{00000000-0005-0000-0000-0000B6070000}"/>
    <cellStyle name="Normal 2 4 2 4" xfId="2433" xr:uid="{00000000-0005-0000-0000-0000B7070000}"/>
    <cellStyle name="Normal 2 4 3" xfId="1946" xr:uid="{00000000-0005-0000-0000-0000B8070000}"/>
    <cellStyle name="Normal 2 4 3 2" xfId="2434" xr:uid="{00000000-0005-0000-0000-0000B9070000}"/>
    <cellStyle name="Normal 2 4 4" xfId="2435" xr:uid="{00000000-0005-0000-0000-0000BA070000}"/>
    <cellStyle name="Normal 2 4 5" xfId="2436" xr:uid="{00000000-0005-0000-0000-0000BB070000}"/>
    <cellStyle name="Normal 2 5" xfId="1947" xr:uid="{00000000-0005-0000-0000-0000BC070000}"/>
    <cellStyle name="Normal 2 5 2" xfId="1948" xr:uid="{00000000-0005-0000-0000-0000BD070000}"/>
    <cellStyle name="Normal 2 6" xfId="1949" xr:uid="{00000000-0005-0000-0000-0000BE070000}"/>
    <cellStyle name="Normal 2 6 2" xfId="1950" xr:uid="{00000000-0005-0000-0000-0000BF070000}"/>
    <cellStyle name="Normal 2 6 3" xfId="2437" xr:uid="{00000000-0005-0000-0000-0000C0070000}"/>
    <cellStyle name="Normal 2 7" xfId="1951" xr:uid="{00000000-0005-0000-0000-0000C1070000}"/>
    <cellStyle name="Normal 2 7 2" xfId="2438" xr:uid="{00000000-0005-0000-0000-0000C2070000}"/>
    <cellStyle name="Normal 2 8" xfId="1952" xr:uid="{00000000-0005-0000-0000-0000C3070000}"/>
    <cellStyle name="Normal 2 8 2" xfId="2439" xr:uid="{00000000-0005-0000-0000-0000C4070000}"/>
    <cellStyle name="Normal 2 9" xfId="1953" xr:uid="{00000000-0005-0000-0000-0000C5070000}"/>
    <cellStyle name="Normal 2_primjer prednjice ponude 01-04-2009" xfId="1954" xr:uid="{00000000-0005-0000-0000-0000C6070000}"/>
    <cellStyle name="Normal 20" xfId="1955" xr:uid="{00000000-0005-0000-0000-0000C7070000}"/>
    <cellStyle name="Normal 20 2" xfId="1956" xr:uid="{00000000-0005-0000-0000-0000C8070000}"/>
    <cellStyle name="Normal 20 3" xfId="2440" xr:uid="{00000000-0005-0000-0000-0000C9070000}"/>
    <cellStyle name="Normal 21" xfId="2441" xr:uid="{00000000-0005-0000-0000-0000CA070000}"/>
    <cellStyle name="Normal 21 2" xfId="1957" xr:uid="{00000000-0005-0000-0000-0000CB070000}"/>
    <cellStyle name="Normal 21 3" xfId="1958" xr:uid="{00000000-0005-0000-0000-0000CC070000}"/>
    <cellStyle name="Normal 21 4" xfId="1959" xr:uid="{00000000-0005-0000-0000-0000CD070000}"/>
    <cellStyle name="Normal 22" xfId="1960" xr:uid="{00000000-0005-0000-0000-0000CE070000}"/>
    <cellStyle name="Normal 22 2" xfId="1961" xr:uid="{00000000-0005-0000-0000-0000CF070000}"/>
    <cellStyle name="Normal 23" xfId="1962" xr:uid="{00000000-0005-0000-0000-0000D0070000}"/>
    <cellStyle name="Normal 23 2" xfId="2442" xr:uid="{00000000-0005-0000-0000-0000D1070000}"/>
    <cellStyle name="Normal 23 3" xfId="2443" xr:uid="{00000000-0005-0000-0000-0000D2070000}"/>
    <cellStyle name="Normal 23 4" xfId="2444" xr:uid="{00000000-0005-0000-0000-0000D3070000}"/>
    <cellStyle name="Normal 24" xfId="1963" xr:uid="{00000000-0005-0000-0000-0000D4070000}"/>
    <cellStyle name="Normal 24 2" xfId="2445" xr:uid="{00000000-0005-0000-0000-0000D5070000}"/>
    <cellStyle name="Normal 25" xfId="1964" xr:uid="{00000000-0005-0000-0000-0000D6070000}"/>
    <cellStyle name="Normal 26" xfId="1965" xr:uid="{00000000-0005-0000-0000-0000D7070000}"/>
    <cellStyle name="Normal 26 2" xfId="2446" xr:uid="{00000000-0005-0000-0000-0000D8070000}"/>
    <cellStyle name="Normal 27" xfId="1966" xr:uid="{00000000-0005-0000-0000-0000D9070000}"/>
    <cellStyle name="Normal 27 2" xfId="56" xr:uid="{00000000-0005-0000-0000-0000DA070000}"/>
    <cellStyle name="Normal 27 3" xfId="2447" xr:uid="{00000000-0005-0000-0000-0000DB070000}"/>
    <cellStyle name="Normal 28" xfId="1967" xr:uid="{00000000-0005-0000-0000-0000DC070000}"/>
    <cellStyle name="Normal 28 2" xfId="2448" xr:uid="{00000000-0005-0000-0000-0000DD070000}"/>
    <cellStyle name="Normal 29" xfId="1968" xr:uid="{00000000-0005-0000-0000-0000DE070000}"/>
    <cellStyle name="Normal 29 2" xfId="2449" xr:uid="{00000000-0005-0000-0000-0000DF070000}"/>
    <cellStyle name="Normal 3" xfId="4" xr:uid="{00000000-0005-0000-0000-0000E0070000}"/>
    <cellStyle name="Normal 3 13" xfId="1970" xr:uid="{00000000-0005-0000-0000-0000E1070000}"/>
    <cellStyle name="Normal 3 13 2" xfId="1971" xr:uid="{00000000-0005-0000-0000-0000E2070000}"/>
    <cellStyle name="Normal 3 13 3" xfId="1972" xr:uid="{00000000-0005-0000-0000-0000E3070000}"/>
    <cellStyle name="Normal 3 18" xfId="1973" xr:uid="{00000000-0005-0000-0000-0000E4070000}"/>
    <cellStyle name="Normal 3 18 2" xfId="1974" xr:uid="{00000000-0005-0000-0000-0000E5070000}"/>
    <cellStyle name="Normal 3 2" xfId="1975" xr:uid="{00000000-0005-0000-0000-0000E6070000}"/>
    <cellStyle name="Normal 3 2 2" xfId="44" xr:uid="{00000000-0005-0000-0000-0000E7070000}"/>
    <cellStyle name="Normal 3 2 2 2" xfId="1976" xr:uid="{00000000-0005-0000-0000-0000E8070000}"/>
    <cellStyle name="Normal 3 2 2 3" xfId="2450" xr:uid="{00000000-0005-0000-0000-0000E9070000}"/>
    <cellStyle name="Normal 3 2 3" xfId="46" xr:uid="{00000000-0005-0000-0000-0000EA070000}"/>
    <cellStyle name="Normal 3 2 3 2" xfId="2451" xr:uid="{00000000-0005-0000-0000-0000EB070000}"/>
    <cellStyle name="Normal 3 2 31" xfId="2508" xr:uid="{00000000-0005-0000-0000-0000EC070000}"/>
    <cellStyle name="Normal 3 2 4" xfId="1977" xr:uid="{00000000-0005-0000-0000-0000ED070000}"/>
    <cellStyle name="Normal 3 2 4 2" xfId="2452" xr:uid="{00000000-0005-0000-0000-0000EE070000}"/>
    <cellStyle name="Normal 3 2 5" xfId="2453" xr:uid="{00000000-0005-0000-0000-0000EF070000}"/>
    <cellStyle name="Normal 3 21" xfId="1978" xr:uid="{00000000-0005-0000-0000-0000F0070000}"/>
    <cellStyle name="Normal 3 21 2" xfId="1979" xr:uid="{00000000-0005-0000-0000-0000F1070000}"/>
    <cellStyle name="Normal 3 21 3" xfId="1980" xr:uid="{00000000-0005-0000-0000-0000F2070000}"/>
    <cellStyle name="Normal 3 3" xfId="1981" xr:uid="{00000000-0005-0000-0000-0000F3070000}"/>
    <cellStyle name="Normal 3 3 2" xfId="58" xr:uid="{00000000-0005-0000-0000-0000F4070000}"/>
    <cellStyle name="Normal 3 3 2 2" xfId="2454" xr:uid="{00000000-0005-0000-0000-0000F5070000}"/>
    <cellStyle name="Normal 3 3 3" xfId="1982" xr:uid="{00000000-0005-0000-0000-0000F6070000}"/>
    <cellStyle name="Normal 3 3 4" xfId="2455" xr:uid="{00000000-0005-0000-0000-0000F7070000}"/>
    <cellStyle name="Normal 3 4" xfId="1983" xr:uid="{00000000-0005-0000-0000-0000F8070000}"/>
    <cellStyle name="Normal 3 4 2" xfId="1984" xr:uid="{00000000-0005-0000-0000-0000F9070000}"/>
    <cellStyle name="Normal 3 5" xfId="1985" xr:uid="{00000000-0005-0000-0000-0000FA070000}"/>
    <cellStyle name="Normal 3 6" xfId="1969" xr:uid="{00000000-0005-0000-0000-0000FB070000}"/>
    <cellStyle name="Normal 3 7" xfId="2456" xr:uid="{00000000-0005-0000-0000-0000FC070000}"/>
    <cellStyle name="Normal 30" xfId="1986" xr:uid="{00000000-0005-0000-0000-0000FD070000}"/>
    <cellStyle name="Normal 30 2" xfId="2457" xr:uid="{00000000-0005-0000-0000-0000FE070000}"/>
    <cellStyle name="Normal 31" xfId="1987" xr:uid="{00000000-0005-0000-0000-0000FF070000}"/>
    <cellStyle name="Normal 32" xfId="1988" xr:uid="{00000000-0005-0000-0000-000000080000}"/>
    <cellStyle name="Normal 33" xfId="1989" xr:uid="{00000000-0005-0000-0000-000001080000}"/>
    <cellStyle name="Normal 34" xfId="1990" xr:uid="{00000000-0005-0000-0000-000002080000}"/>
    <cellStyle name="Normal 35" xfId="1991" xr:uid="{00000000-0005-0000-0000-000003080000}"/>
    <cellStyle name="Normal 35 2" xfId="1992" xr:uid="{00000000-0005-0000-0000-000004080000}"/>
    <cellStyle name="Normal 36" xfId="1993" xr:uid="{00000000-0005-0000-0000-000005080000}"/>
    <cellStyle name="Normal 37" xfId="1994" xr:uid="{00000000-0005-0000-0000-000006080000}"/>
    <cellStyle name="Normal 37 2" xfId="2458" xr:uid="{00000000-0005-0000-0000-000007080000}"/>
    <cellStyle name="Normal 38" xfId="1995" xr:uid="{00000000-0005-0000-0000-000008080000}"/>
    <cellStyle name="Normal 39" xfId="1996" xr:uid="{00000000-0005-0000-0000-000009080000}"/>
    <cellStyle name="Normal 4" xfId="40" xr:uid="{00000000-0005-0000-0000-00000A080000}"/>
    <cellStyle name="Normal 4 2" xfId="1997" xr:uid="{00000000-0005-0000-0000-00000B080000}"/>
    <cellStyle name="Normal 4 2 2" xfId="1998" xr:uid="{00000000-0005-0000-0000-00000C080000}"/>
    <cellStyle name="Normal 4 2 2 2" xfId="2459" xr:uid="{00000000-0005-0000-0000-00000D080000}"/>
    <cellStyle name="Normal 4 2 3" xfId="2460" xr:uid="{00000000-0005-0000-0000-00000E080000}"/>
    <cellStyle name="Normal 4 2 4" xfId="2461" xr:uid="{00000000-0005-0000-0000-00000F080000}"/>
    <cellStyle name="Normal 4 3" xfId="1999" xr:uid="{00000000-0005-0000-0000-000010080000}"/>
    <cellStyle name="Normal 4 3 2" xfId="2000" xr:uid="{00000000-0005-0000-0000-000011080000}"/>
    <cellStyle name="Normal 4 3 3" xfId="2462" xr:uid="{00000000-0005-0000-0000-000012080000}"/>
    <cellStyle name="Normal 4 4" xfId="2001" xr:uid="{00000000-0005-0000-0000-000013080000}"/>
    <cellStyle name="Normal 4 4 2" xfId="2002" xr:uid="{00000000-0005-0000-0000-000014080000}"/>
    <cellStyle name="Normal 4 4 3" xfId="2463" xr:uid="{00000000-0005-0000-0000-000015080000}"/>
    <cellStyle name="Normal 4 5" xfId="2003" xr:uid="{00000000-0005-0000-0000-000016080000}"/>
    <cellStyle name="Normal 4 6" xfId="2464" xr:uid="{00000000-0005-0000-0000-000017080000}"/>
    <cellStyle name="Normal 40" xfId="2004" xr:uid="{00000000-0005-0000-0000-000018080000}"/>
    <cellStyle name="Normal 41" xfId="2005" xr:uid="{00000000-0005-0000-0000-000019080000}"/>
    <cellStyle name="Normal 41 2" xfId="2006" xr:uid="{00000000-0005-0000-0000-00001A080000}"/>
    <cellStyle name="Normal 42" xfId="2007" xr:uid="{00000000-0005-0000-0000-00001B080000}"/>
    <cellStyle name="Normal 43" xfId="2008" xr:uid="{00000000-0005-0000-0000-00001C080000}"/>
    <cellStyle name="Normal 44" xfId="2009" xr:uid="{00000000-0005-0000-0000-00001D080000}"/>
    <cellStyle name="Normal 44 2" xfId="2010" xr:uid="{00000000-0005-0000-0000-00001E080000}"/>
    <cellStyle name="Normal 44 2 2" xfId="2011" xr:uid="{00000000-0005-0000-0000-00001F080000}"/>
    <cellStyle name="Normal 44 3" xfId="2012" xr:uid="{00000000-0005-0000-0000-000020080000}"/>
    <cellStyle name="Normal 45" xfId="2013" xr:uid="{00000000-0005-0000-0000-000021080000}"/>
    <cellStyle name="Normal 46" xfId="2014" xr:uid="{00000000-0005-0000-0000-000022080000}"/>
    <cellStyle name="Normal 47" xfId="2015" xr:uid="{00000000-0005-0000-0000-000023080000}"/>
    <cellStyle name="Normal 48" xfId="2465" xr:uid="{00000000-0005-0000-0000-000024080000}"/>
    <cellStyle name="Normal 49" xfId="2016" xr:uid="{00000000-0005-0000-0000-000025080000}"/>
    <cellStyle name="Normal 49 2" xfId="2017" xr:uid="{00000000-0005-0000-0000-000026080000}"/>
    <cellStyle name="Normal 49 2 2" xfId="2018" xr:uid="{00000000-0005-0000-0000-000027080000}"/>
    <cellStyle name="Normal 5" xfId="48" xr:uid="{00000000-0005-0000-0000-000028080000}"/>
    <cellStyle name="Normal 5 10" xfId="2020" xr:uid="{00000000-0005-0000-0000-000029080000}"/>
    <cellStyle name="Normal 5 11" xfId="2021" xr:uid="{00000000-0005-0000-0000-00002A080000}"/>
    <cellStyle name="Normal 5 12" xfId="2022" xr:uid="{00000000-0005-0000-0000-00002B080000}"/>
    <cellStyle name="Normal 5 13" xfId="2023" xr:uid="{00000000-0005-0000-0000-00002C080000}"/>
    <cellStyle name="Normal 5 14" xfId="2019" xr:uid="{00000000-0005-0000-0000-00002D080000}"/>
    <cellStyle name="Normal 5 15" xfId="2466" xr:uid="{00000000-0005-0000-0000-00002E080000}"/>
    <cellStyle name="Normal 5 2" xfId="2024" xr:uid="{00000000-0005-0000-0000-00002F080000}"/>
    <cellStyle name="Normal 5 2 2" xfId="2467" xr:uid="{00000000-0005-0000-0000-000030080000}"/>
    <cellStyle name="Normal 5 3" xfId="57" xr:uid="{00000000-0005-0000-0000-000031080000}"/>
    <cellStyle name="Normal 5 4" xfId="2025" xr:uid="{00000000-0005-0000-0000-000032080000}"/>
    <cellStyle name="Normal 5 4 2" xfId="2468" xr:uid="{00000000-0005-0000-0000-000033080000}"/>
    <cellStyle name="Normal 5 5" xfId="2026" xr:uid="{00000000-0005-0000-0000-000034080000}"/>
    <cellStyle name="Normal 5 6" xfId="2027" xr:uid="{00000000-0005-0000-0000-000035080000}"/>
    <cellStyle name="Normal 5 7" xfId="2028" xr:uid="{00000000-0005-0000-0000-000036080000}"/>
    <cellStyle name="Normal 5 8" xfId="2029" xr:uid="{00000000-0005-0000-0000-000037080000}"/>
    <cellStyle name="Normal 5 9" xfId="2030" xr:uid="{00000000-0005-0000-0000-000038080000}"/>
    <cellStyle name="Normal 50" xfId="2469" xr:uid="{00000000-0005-0000-0000-000039080000}"/>
    <cellStyle name="Normal 51" xfId="2363" xr:uid="{00000000-0005-0000-0000-00003A080000}"/>
    <cellStyle name="Normal 52" xfId="2470" xr:uid="{00000000-0005-0000-0000-00003B080000}"/>
    <cellStyle name="Normal 53" xfId="2364" xr:uid="{00000000-0005-0000-0000-00003C080000}"/>
    <cellStyle name="Normal 54" xfId="2471" xr:uid="{00000000-0005-0000-0000-00003D080000}"/>
    <cellStyle name="Normal 55" xfId="2472" xr:uid="{00000000-0005-0000-0000-00003E080000}"/>
    <cellStyle name="Normal 56" xfId="2507" xr:uid="{00000000-0005-0000-0000-00003F080000}"/>
    <cellStyle name="Normal 6" xfId="59" xr:uid="{00000000-0005-0000-0000-000040080000}"/>
    <cellStyle name="Normal 6 10" xfId="2031" xr:uid="{00000000-0005-0000-0000-000041080000}"/>
    <cellStyle name="Normal 6 11" xfId="2032" xr:uid="{00000000-0005-0000-0000-000042080000}"/>
    <cellStyle name="Normal 6 12" xfId="2033" xr:uid="{00000000-0005-0000-0000-000043080000}"/>
    <cellStyle name="Normal 6 13" xfId="2473" xr:uid="{00000000-0005-0000-0000-000044080000}"/>
    <cellStyle name="Normal 6 2" xfId="60" xr:uid="{00000000-0005-0000-0000-000045080000}"/>
    <cellStyle name="Normal 6 2 2" xfId="2474" xr:uid="{00000000-0005-0000-0000-000046080000}"/>
    <cellStyle name="Normal 6 2 3" xfId="2475" xr:uid="{00000000-0005-0000-0000-000047080000}"/>
    <cellStyle name="Normal 6 3" xfId="2034" xr:uid="{00000000-0005-0000-0000-000048080000}"/>
    <cellStyle name="Normal 6 3 2" xfId="2476" xr:uid="{00000000-0005-0000-0000-000049080000}"/>
    <cellStyle name="Normal 6 3 3" xfId="2477" xr:uid="{00000000-0005-0000-0000-00004A080000}"/>
    <cellStyle name="Normal 6 4" xfId="2035" xr:uid="{00000000-0005-0000-0000-00004B080000}"/>
    <cellStyle name="Normal 6 5" xfId="2036" xr:uid="{00000000-0005-0000-0000-00004C080000}"/>
    <cellStyle name="Normal 6 5 2" xfId="2478" xr:uid="{00000000-0005-0000-0000-00004D080000}"/>
    <cellStyle name="Normal 6 6" xfId="2037" xr:uid="{00000000-0005-0000-0000-00004E080000}"/>
    <cellStyle name="Normal 6 7" xfId="2038" xr:uid="{00000000-0005-0000-0000-00004F080000}"/>
    <cellStyle name="Normal 6 8" xfId="2039" xr:uid="{00000000-0005-0000-0000-000050080000}"/>
    <cellStyle name="Normal 6 9" xfId="2040" xr:uid="{00000000-0005-0000-0000-000051080000}"/>
    <cellStyle name="Normal 63" xfId="2041" xr:uid="{00000000-0005-0000-0000-000052080000}"/>
    <cellStyle name="Normal 7" xfId="62" xr:uid="{00000000-0005-0000-0000-000053080000}"/>
    <cellStyle name="Normal 7 10" xfId="2042" xr:uid="{00000000-0005-0000-0000-000054080000}"/>
    <cellStyle name="Normal 7 11" xfId="2043" xr:uid="{00000000-0005-0000-0000-000055080000}"/>
    <cellStyle name="Normal 7 12" xfId="2044" xr:uid="{00000000-0005-0000-0000-000056080000}"/>
    <cellStyle name="Normal 7 2" xfId="2045" xr:uid="{00000000-0005-0000-0000-000057080000}"/>
    <cellStyle name="Normal 7 2 2" xfId="2046" xr:uid="{00000000-0005-0000-0000-000058080000}"/>
    <cellStyle name="Normal 7 2 3" xfId="2479" xr:uid="{00000000-0005-0000-0000-000059080000}"/>
    <cellStyle name="Normal 7 3" xfId="2047" xr:uid="{00000000-0005-0000-0000-00005A080000}"/>
    <cellStyle name="Normal 7 3 2" xfId="2048" xr:uid="{00000000-0005-0000-0000-00005B080000}"/>
    <cellStyle name="Normal 7 3 3" xfId="2049" xr:uid="{00000000-0005-0000-0000-00005C080000}"/>
    <cellStyle name="Normal 7 4" xfId="2050" xr:uid="{00000000-0005-0000-0000-00005D080000}"/>
    <cellStyle name="Normal 7 5" xfId="2051" xr:uid="{00000000-0005-0000-0000-00005E080000}"/>
    <cellStyle name="Normal 7 6" xfId="2052" xr:uid="{00000000-0005-0000-0000-00005F080000}"/>
    <cellStyle name="Normal 7 7" xfId="2053" xr:uid="{00000000-0005-0000-0000-000060080000}"/>
    <cellStyle name="Normal 7 8" xfId="2054" xr:uid="{00000000-0005-0000-0000-000061080000}"/>
    <cellStyle name="Normal 7 9" xfId="2055" xr:uid="{00000000-0005-0000-0000-000062080000}"/>
    <cellStyle name="Normal 71" xfId="2056" xr:uid="{00000000-0005-0000-0000-000063080000}"/>
    <cellStyle name="Normal 8" xfId="2057" xr:uid="{00000000-0005-0000-0000-000064080000}"/>
    <cellStyle name="Normal 8 2" xfId="2058" xr:uid="{00000000-0005-0000-0000-000065080000}"/>
    <cellStyle name="Normal 8 2 2" xfId="2059" xr:uid="{00000000-0005-0000-0000-000066080000}"/>
    <cellStyle name="Normal 8 2 3" xfId="2480" xr:uid="{00000000-0005-0000-0000-000067080000}"/>
    <cellStyle name="Normal 8 3" xfId="2060" xr:uid="{00000000-0005-0000-0000-000068080000}"/>
    <cellStyle name="Normal 8 3 2" xfId="2061" xr:uid="{00000000-0005-0000-0000-000069080000}"/>
    <cellStyle name="Normal 8 4" xfId="2062" xr:uid="{00000000-0005-0000-0000-00006A080000}"/>
    <cellStyle name="Normal 8 5" xfId="2063" xr:uid="{00000000-0005-0000-0000-00006B080000}"/>
    <cellStyle name="Normal 8 6" xfId="2064" xr:uid="{00000000-0005-0000-0000-00006C080000}"/>
    <cellStyle name="Normal 8 7" xfId="2065" xr:uid="{00000000-0005-0000-0000-00006D080000}"/>
    <cellStyle name="Normal 8 8" xfId="2066" xr:uid="{00000000-0005-0000-0000-00006E080000}"/>
    <cellStyle name="Normal 9" xfId="2067" xr:uid="{00000000-0005-0000-0000-00006F080000}"/>
    <cellStyle name="Normal 9 10" xfId="2068" xr:uid="{00000000-0005-0000-0000-000070080000}"/>
    <cellStyle name="Normal 9 11" xfId="2069" xr:uid="{00000000-0005-0000-0000-000071080000}"/>
    <cellStyle name="Normal 9 12" xfId="2070" xr:uid="{00000000-0005-0000-0000-000072080000}"/>
    <cellStyle name="Normal 9 13" xfId="2071" xr:uid="{00000000-0005-0000-0000-000073080000}"/>
    <cellStyle name="Normal 9 14" xfId="2072" xr:uid="{00000000-0005-0000-0000-000074080000}"/>
    <cellStyle name="Normal 9 2" xfId="2073" xr:uid="{00000000-0005-0000-0000-000075080000}"/>
    <cellStyle name="Normal 9 2 2" xfId="2074" xr:uid="{00000000-0005-0000-0000-000076080000}"/>
    <cellStyle name="Normal 9 3" xfId="2075" xr:uid="{00000000-0005-0000-0000-000077080000}"/>
    <cellStyle name="Normal 9 4" xfId="2076" xr:uid="{00000000-0005-0000-0000-000078080000}"/>
    <cellStyle name="Normal 9 5" xfId="2077" xr:uid="{00000000-0005-0000-0000-000079080000}"/>
    <cellStyle name="Normal 9 6" xfId="2078" xr:uid="{00000000-0005-0000-0000-00007A080000}"/>
    <cellStyle name="Normal 9 7" xfId="2079" xr:uid="{00000000-0005-0000-0000-00007B080000}"/>
    <cellStyle name="Normal 9 8" xfId="2080" xr:uid="{00000000-0005-0000-0000-00007C080000}"/>
    <cellStyle name="Normal 9 9" xfId="2081" xr:uid="{00000000-0005-0000-0000-00007D080000}"/>
    <cellStyle name="Normal_MP.2002.Prilog 1" xfId="34" xr:uid="{00000000-0005-0000-0000-00007E080000}"/>
    <cellStyle name="Normal1" xfId="2082" xr:uid="{00000000-0005-0000-0000-00007F080000}"/>
    <cellStyle name="Normal1 2" xfId="2083" xr:uid="{00000000-0005-0000-0000-000080080000}"/>
    <cellStyle name="Normal1 3" xfId="2084" xr:uid="{00000000-0005-0000-0000-000081080000}"/>
    <cellStyle name="Normal3" xfId="2085" xr:uid="{00000000-0005-0000-0000-000082080000}"/>
    <cellStyle name="normální_A" xfId="2086" xr:uid="{00000000-0005-0000-0000-000083080000}"/>
    <cellStyle name="Normalno" xfId="2481" xr:uid="{00000000-0005-0000-0000-000084080000}"/>
    <cellStyle name="Normalno 11" xfId="2512" xr:uid="{00000000-0005-0000-0000-000085080000}"/>
    <cellStyle name="Normalno 11 4" xfId="2513" xr:uid="{00000000-0005-0000-0000-000086080000}"/>
    <cellStyle name="Normalno 16" xfId="2361" xr:uid="{00000000-0005-0000-0000-000087080000}"/>
    <cellStyle name="Normalno 2" xfId="12" xr:uid="{00000000-0005-0000-0000-000088080000}"/>
    <cellStyle name="Normalno 2 10 2" xfId="20" xr:uid="{00000000-0005-0000-0000-000089080000}"/>
    <cellStyle name="Normalno 2 11" xfId="28" xr:uid="{00000000-0005-0000-0000-00008A080000}"/>
    <cellStyle name="Normalno 2 2" xfId="2087" xr:uid="{00000000-0005-0000-0000-00008B080000}"/>
    <cellStyle name="Normalno 2 2 2" xfId="45" xr:uid="{00000000-0005-0000-0000-00008C080000}"/>
    <cellStyle name="Normalno 2 2 2 2 3 3" xfId="29" xr:uid="{00000000-0005-0000-0000-00008D080000}"/>
    <cellStyle name="Normalno 2 2 2 3" xfId="18" xr:uid="{00000000-0005-0000-0000-00008E080000}"/>
    <cellStyle name="Normalno 2 2 2 3 4" xfId="23" xr:uid="{00000000-0005-0000-0000-00008F080000}"/>
    <cellStyle name="Normalno 2 3" xfId="15" xr:uid="{00000000-0005-0000-0000-000090080000}"/>
    <cellStyle name="Normalno 2 3 2" xfId="2088" xr:uid="{00000000-0005-0000-0000-000091080000}"/>
    <cellStyle name="Normalno 2 3 2 2" xfId="2367" xr:uid="{00000000-0005-0000-0000-000092080000}"/>
    <cellStyle name="Normalno 2 3 2 2 2" xfId="2499" xr:uid="{00000000-0005-0000-0000-000093080000}"/>
    <cellStyle name="Normalno 2 3 2 2 3" xfId="2504" xr:uid="{00000000-0005-0000-0000-000094080000}"/>
    <cellStyle name="Normalno 2 4" xfId="2366" xr:uid="{00000000-0005-0000-0000-000095080000}"/>
    <cellStyle name="Normalno 2 4 2" xfId="2498" xr:uid="{00000000-0005-0000-0000-000096080000}"/>
    <cellStyle name="Normalno 2 4 3" xfId="2503" xr:uid="{00000000-0005-0000-0000-000097080000}"/>
    <cellStyle name="Normalno 2 5" xfId="2500" xr:uid="{00000000-0005-0000-0000-000098080000}"/>
    <cellStyle name="Normalno 2 6" xfId="2502" xr:uid="{00000000-0005-0000-0000-000099080000}"/>
    <cellStyle name="Normalno 2 7" xfId="2517" xr:uid="{A2A02DBF-A2EB-49CD-A4DD-679C60B370D1}"/>
    <cellStyle name="Normalno 2 9" xfId="21" xr:uid="{00000000-0005-0000-0000-00009A080000}"/>
    <cellStyle name="Normalno 3" xfId="2089" xr:uid="{00000000-0005-0000-0000-00009B080000}"/>
    <cellStyle name="Normalno 3 4 2" xfId="2514" xr:uid="{00000000-0005-0000-0000-00009C080000}"/>
    <cellStyle name="Normalno 4" xfId="2090" xr:uid="{00000000-0005-0000-0000-00009D080000}"/>
    <cellStyle name="Normalno 4 2" xfId="2091" xr:uid="{00000000-0005-0000-0000-00009E080000}"/>
    <cellStyle name="Normalno 5" xfId="2092" xr:uid="{00000000-0005-0000-0000-00009F080000}"/>
    <cellStyle name="Normalno 5 2" xfId="2093" xr:uid="{00000000-0005-0000-0000-0000A0080000}"/>
    <cellStyle name="Normalno 5 3" xfId="2094" xr:uid="{00000000-0005-0000-0000-0000A1080000}"/>
    <cellStyle name="Normalno 6" xfId="2095" xr:uid="{00000000-0005-0000-0000-0000A2080000}"/>
    <cellStyle name="Normalno 7" xfId="2096" xr:uid="{00000000-0005-0000-0000-0000A3080000}"/>
    <cellStyle name="Normalny_Arkusz2" xfId="2097" xr:uid="{00000000-0005-0000-0000-0000A4080000}"/>
    <cellStyle name="Note 2" xfId="2098" xr:uid="{00000000-0005-0000-0000-0000A5080000}"/>
    <cellStyle name="Note 2 2" xfId="2099" xr:uid="{00000000-0005-0000-0000-0000A6080000}"/>
    <cellStyle name="Note 2 3" xfId="2100" xr:uid="{00000000-0005-0000-0000-0000A7080000}"/>
    <cellStyle name="Note 2 4" xfId="2482" xr:uid="{00000000-0005-0000-0000-0000A8080000}"/>
    <cellStyle name="Note 3" xfId="2101" xr:uid="{00000000-0005-0000-0000-0000A9080000}"/>
    <cellStyle name="Note 3 10" xfId="2102" xr:uid="{00000000-0005-0000-0000-0000AA080000}"/>
    <cellStyle name="Note 3 11" xfId="2103" xr:uid="{00000000-0005-0000-0000-0000AB080000}"/>
    <cellStyle name="Note 3 12" xfId="2104" xr:uid="{00000000-0005-0000-0000-0000AC080000}"/>
    <cellStyle name="Note 3 13" xfId="2105" xr:uid="{00000000-0005-0000-0000-0000AD080000}"/>
    <cellStyle name="Note 3 14" xfId="2106" xr:uid="{00000000-0005-0000-0000-0000AE080000}"/>
    <cellStyle name="Note 3 15" xfId="2107" xr:uid="{00000000-0005-0000-0000-0000AF080000}"/>
    <cellStyle name="Note 3 16" xfId="2108" xr:uid="{00000000-0005-0000-0000-0000B0080000}"/>
    <cellStyle name="Note 3 17" xfId="2109" xr:uid="{00000000-0005-0000-0000-0000B1080000}"/>
    <cellStyle name="Note 3 18" xfId="2110" xr:uid="{00000000-0005-0000-0000-0000B2080000}"/>
    <cellStyle name="Note 3 19" xfId="2111" xr:uid="{00000000-0005-0000-0000-0000B3080000}"/>
    <cellStyle name="Note 3 2" xfId="2112" xr:uid="{00000000-0005-0000-0000-0000B4080000}"/>
    <cellStyle name="Note 3 20" xfId="2483" xr:uid="{00000000-0005-0000-0000-0000B5080000}"/>
    <cellStyle name="Note 3 3" xfId="2113" xr:uid="{00000000-0005-0000-0000-0000B6080000}"/>
    <cellStyle name="Note 3 4" xfId="2114" xr:uid="{00000000-0005-0000-0000-0000B7080000}"/>
    <cellStyle name="Note 3 5" xfId="2115" xr:uid="{00000000-0005-0000-0000-0000B8080000}"/>
    <cellStyle name="Note 3 6" xfId="2116" xr:uid="{00000000-0005-0000-0000-0000B9080000}"/>
    <cellStyle name="Note 3 7" xfId="2117" xr:uid="{00000000-0005-0000-0000-0000BA080000}"/>
    <cellStyle name="Note 3 8" xfId="2118" xr:uid="{00000000-0005-0000-0000-0000BB080000}"/>
    <cellStyle name="Note 3 9" xfId="2119" xr:uid="{00000000-0005-0000-0000-0000BC080000}"/>
    <cellStyle name="Note 4" xfId="2120" xr:uid="{00000000-0005-0000-0000-0000BD080000}"/>
    <cellStyle name="Note 4 10" xfId="2121" xr:uid="{00000000-0005-0000-0000-0000BE080000}"/>
    <cellStyle name="Note 4 11" xfId="2122" xr:uid="{00000000-0005-0000-0000-0000BF080000}"/>
    <cellStyle name="Note 4 12" xfId="2123" xr:uid="{00000000-0005-0000-0000-0000C0080000}"/>
    <cellStyle name="Note 4 13" xfId="2124" xr:uid="{00000000-0005-0000-0000-0000C1080000}"/>
    <cellStyle name="Note 4 14" xfId="2125" xr:uid="{00000000-0005-0000-0000-0000C2080000}"/>
    <cellStyle name="Note 4 15" xfId="2126" xr:uid="{00000000-0005-0000-0000-0000C3080000}"/>
    <cellStyle name="Note 4 16" xfId="2127" xr:uid="{00000000-0005-0000-0000-0000C4080000}"/>
    <cellStyle name="Note 4 2" xfId="2128" xr:uid="{00000000-0005-0000-0000-0000C5080000}"/>
    <cellStyle name="Note 4 3" xfId="2129" xr:uid="{00000000-0005-0000-0000-0000C6080000}"/>
    <cellStyle name="Note 4 4" xfId="2130" xr:uid="{00000000-0005-0000-0000-0000C7080000}"/>
    <cellStyle name="Note 4 5" xfId="2131" xr:uid="{00000000-0005-0000-0000-0000C8080000}"/>
    <cellStyle name="Note 4 5 10" xfId="2132" xr:uid="{00000000-0005-0000-0000-0000C9080000}"/>
    <cellStyle name="Note 4 5 2" xfId="2133" xr:uid="{00000000-0005-0000-0000-0000CA080000}"/>
    <cellStyle name="Note 4 5 3" xfId="2134" xr:uid="{00000000-0005-0000-0000-0000CB080000}"/>
    <cellStyle name="Note 4 5 4" xfId="2135" xr:uid="{00000000-0005-0000-0000-0000CC080000}"/>
    <cellStyle name="Note 4 5 5" xfId="2136" xr:uid="{00000000-0005-0000-0000-0000CD080000}"/>
    <cellStyle name="Note 4 5 6" xfId="2137" xr:uid="{00000000-0005-0000-0000-0000CE080000}"/>
    <cellStyle name="Note 4 5 7" xfId="2138" xr:uid="{00000000-0005-0000-0000-0000CF080000}"/>
    <cellStyle name="Note 4 5 8" xfId="2139" xr:uid="{00000000-0005-0000-0000-0000D0080000}"/>
    <cellStyle name="Note 4 5 9" xfId="2140" xr:uid="{00000000-0005-0000-0000-0000D1080000}"/>
    <cellStyle name="Note 4 6" xfId="2141" xr:uid="{00000000-0005-0000-0000-0000D2080000}"/>
    <cellStyle name="Note 4 7" xfId="2142" xr:uid="{00000000-0005-0000-0000-0000D3080000}"/>
    <cellStyle name="Note 4 8" xfId="2143" xr:uid="{00000000-0005-0000-0000-0000D4080000}"/>
    <cellStyle name="Note 4 9" xfId="2144" xr:uid="{00000000-0005-0000-0000-0000D5080000}"/>
    <cellStyle name="Obično 10 2 2" xfId="24" xr:uid="{00000000-0005-0000-0000-0000D6080000}"/>
    <cellStyle name="Obično 17" xfId="2145" xr:uid="{00000000-0005-0000-0000-0000D7080000}"/>
    <cellStyle name="Obično 17 2" xfId="2146" xr:uid="{00000000-0005-0000-0000-0000D8080000}"/>
    <cellStyle name="Obično 18" xfId="2147" xr:uid="{00000000-0005-0000-0000-0000D9080000}"/>
    <cellStyle name="Obično 18 2" xfId="2148" xr:uid="{00000000-0005-0000-0000-0000DA080000}"/>
    <cellStyle name="Obično 19" xfId="2149" xr:uid="{00000000-0005-0000-0000-0000DB080000}"/>
    <cellStyle name="Obično 2" xfId="7" xr:uid="{00000000-0005-0000-0000-0000DC080000}"/>
    <cellStyle name="Obično 2 2" xfId="2150" xr:uid="{00000000-0005-0000-0000-0000DD080000}"/>
    <cellStyle name="Obično 2 2 2" xfId="2151" xr:uid="{00000000-0005-0000-0000-0000DE080000}"/>
    <cellStyle name="Obično 2 3" xfId="13" xr:uid="{00000000-0005-0000-0000-0000DF080000}"/>
    <cellStyle name="Obično 2 3 2" xfId="2153" xr:uid="{00000000-0005-0000-0000-0000E0080000}"/>
    <cellStyle name="Obično 2 3 3" xfId="2152" xr:uid="{00000000-0005-0000-0000-0000E1080000}"/>
    <cellStyle name="Obično 2 4" xfId="2154" xr:uid="{00000000-0005-0000-0000-0000E2080000}"/>
    <cellStyle name="Obično 2 5" xfId="2155" xr:uid="{00000000-0005-0000-0000-0000E3080000}"/>
    <cellStyle name="Obično 2 6" xfId="2484" xr:uid="{00000000-0005-0000-0000-0000E4080000}"/>
    <cellStyle name="Obično 20" xfId="2156" xr:uid="{00000000-0005-0000-0000-0000E5080000}"/>
    <cellStyle name="Obično 23" xfId="10" xr:uid="{00000000-0005-0000-0000-0000E6080000}"/>
    <cellStyle name="Obično 24" xfId="16" xr:uid="{00000000-0005-0000-0000-0000E7080000}"/>
    <cellStyle name="Obično 24 2" xfId="2158" xr:uid="{00000000-0005-0000-0000-0000E8080000}"/>
    <cellStyle name="Obično 24 3" xfId="2157" xr:uid="{00000000-0005-0000-0000-0000E9080000}"/>
    <cellStyle name="Obično 25" xfId="17" xr:uid="{00000000-0005-0000-0000-0000EA080000}"/>
    <cellStyle name="Obično 25 2" xfId="2159" xr:uid="{00000000-0005-0000-0000-0000EB080000}"/>
    <cellStyle name="Obično 26" xfId="19" xr:uid="{00000000-0005-0000-0000-0000EC080000}"/>
    <cellStyle name="Obično 27" xfId="22" xr:uid="{00000000-0005-0000-0000-0000ED080000}"/>
    <cellStyle name="Obično 27 2" xfId="2160" xr:uid="{00000000-0005-0000-0000-0000EE080000}"/>
    <cellStyle name="Obično 28" xfId="25" xr:uid="{00000000-0005-0000-0000-0000EF080000}"/>
    <cellStyle name="Obično 28 2" xfId="2162" xr:uid="{00000000-0005-0000-0000-0000F0080000}"/>
    <cellStyle name="Obično 28 3" xfId="2161" xr:uid="{00000000-0005-0000-0000-0000F1080000}"/>
    <cellStyle name="Obično 29" xfId="26" xr:uid="{00000000-0005-0000-0000-0000F2080000}"/>
    <cellStyle name="Obično 3" xfId="2163" xr:uid="{00000000-0005-0000-0000-0000F3080000}"/>
    <cellStyle name="Obično 3 2" xfId="9" xr:uid="{00000000-0005-0000-0000-0000F4080000}"/>
    <cellStyle name="Obično 3 3" xfId="2164" xr:uid="{00000000-0005-0000-0000-0000F5080000}"/>
    <cellStyle name="Obično 3 4" xfId="2165" xr:uid="{00000000-0005-0000-0000-0000F6080000}"/>
    <cellStyle name="Obično 3 5" xfId="2485" xr:uid="{00000000-0005-0000-0000-0000F7080000}"/>
    <cellStyle name="Obično 30" xfId="27" xr:uid="{00000000-0005-0000-0000-0000F8080000}"/>
    <cellStyle name="Obično 31" xfId="30" xr:uid="{00000000-0005-0000-0000-0000F9080000}"/>
    <cellStyle name="Obično 31 2" xfId="2166" xr:uid="{00000000-0005-0000-0000-0000FA080000}"/>
    <cellStyle name="Obično 32" xfId="31" xr:uid="{00000000-0005-0000-0000-0000FB080000}"/>
    <cellStyle name="Obično 32 2" xfId="2168" xr:uid="{00000000-0005-0000-0000-0000FC080000}"/>
    <cellStyle name="Obično 32 3" xfId="2167" xr:uid="{00000000-0005-0000-0000-0000FD080000}"/>
    <cellStyle name="Obično 33" xfId="32" xr:uid="{00000000-0005-0000-0000-0000FE080000}"/>
    <cellStyle name="Obično 35" xfId="33" xr:uid="{00000000-0005-0000-0000-0000FF080000}"/>
    <cellStyle name="Obično 35 2" xfId="2170" xr:uid="{00000000-0005-0000-0000-000000090000}"/>
    <cellStyle name="Obično 35 3" xfId="2169" xr:uid="{00000000-0005-0000-0000-000001090000}"/>
    <cellStyle name="Obično 37" xfId="2171" xr:uid="{00000000-0005-0000-0000-000002090000}"/>
    <cellStyle name="Obično 38" xfId="2172" xr:uid="{00000000-0005-0000-0000-000003090000}"/>
    <cellStyle name="Obično 39" xfId="2173" xr:uid="{00000000-0005-0000-0000-000004090000}"/>
    <cellStyle name="Obično 39 2" xfId="2174" xr:uid="{00000000-0005-0000-0000-000005090000}"/>
    <cellStyle name="Obično 4" xfId="14" xr:uid="{00000000-0005-0000-0000-000006090000}"/>
    <cellStyle name="Obično 4 2" xfId="2175" xr:uid="{00000000-0005-0000-0000-000007090000}"/>
    <cellStyle name="Obično_4.2 Bill of Quantities PROBA (2)" xfId="2176" xr:uid="{00000000-0005-0000-0000-000008090000}"/>
    <cellStyle name="Odstotek 2" xfId="2177" xr:uid="{00000000-0005-0000-0000-000009090000}"/>
    <cellStyle name="Odstotek 3" xfId="2178" xr:uid="{00000000-0005-0000-0000-00000A090000}"/>
    <cellStyle name="Output 2" xfId="2179" xr:uid="{00000000-0005-0000-0000-00000B090000}"/>
    <cellStyle name="Output 2 2" xfId="2180" xr:uid="{00000000-0005-0000-0000-00000C090000}"/>
    <cellStyle name="Output 2 3" xfId="2181" xr:uid="{00000000-0005-0000-0000-00000D090000}"/>
    <cellStyle name="Output 2 4" xfId="2486" xr:uid="{00000000-0005-0000-0000-00000E090000}"/>
    <cellStyle name="Output 3" xfId="2182" xr:uid="{00000000-0005-0000-0000-00000F090000}"/>
    <cellStyle name="Output 3 10" xfId="2183" xr:uid="{00000000-0005-0000-0000-000010090000}"/>
    <cellStyle name="Output 3 11" xfId="2184" xr:uid="{00000000-0005-0000-0000-000011090000}"/>
    <cellStyle name="Output 3 12" xfId="2185" xr:uid="{00000000-0005-0000-0000-000012090000}"/>
    <cellStyle name="Output 3 13" xfId="2186" xr:uid="{00000000-0005-0000-0000-000013090000}"/>
    <cellStyle name="Output 3 14" xfId="2187" xr:uid="{00000000-0005-0000-0000-000014090000}"/>
    <cellStyle name="Output 3 15" xfId="2188" xr:uid="{00000000-0005-0000-0000-000015090000}"/>
    <cellStyle name="Output 3 16" xfId="2189" xr:uid="{00000000-0005-0000-0000-000016090000}"/>
    <cellStyle name="Output 3 17" xfId="2190" xr:uid="{00000000-0005-0000-0000-000017090000}"/>
    <cellStyle name="Output 3 18" xfId="2191" xr:uid="{00000000-0005-0000-0000-000018090000}"/>
    <cellStyle name="Output 3 19" xfId="2192" xr:uid="{00000000-0005-0000-0000-000019090000}"/>
    <cellStyle name="Output 3 2" xfId="2193" xr:uid="{00000000-0005-0000-0000-00001A090000}"/>
    <cellStyle name="Output 3 20" xfId="2487" xr:uid="{00000000-0005-0000-0000-00001B090000}"/>
    <cellStyle name="Output 3 3" xfId="2194" xr:uid="{00000000-0005-0000-0000-00001C090000}"/>
    <cellStyle name="Output 3 4" xfId="2195" xr:uid="{00000000-0005-0000-0000-00001D090000}"/>
    <cellStyle name="Output 3 5" xfId="2196" xr:uid="{00000000-0005-0000-0000-00001E090000}"/>
    <cellStyle name="Output 3 6" xfId="2197" xr:uid="{00000000-0005-0000-0000-00001F090000}"/>
    <cellStyle name="Output 3 7" xfId="2198" xr:uid="{00000000-0005-0000-0000-000020090000}"/>
    <cellStyle name="Output 3 8" xfId="2199" xr:uid="{00000000-0005-0000-0000-000021090000}"/>
    <cellStyle name="Output 3 9" xfId="2200" xr:uid="{00000000-0005-0000-0000-000022090000}"/>
    <cellStyle name="Output 4" xfId="2201" xr:uid="{00000000-0005-0000-0000-000023090000}"/>
    <cellStyle name="Output 4 10" xfId="2202" xr:uid="{00000000-0005-0000-0000-000024090000}"/>
    <cellStyle name="Output 4 11" xfId="2203" xr:uid="{00000000-0005-0000-0000-000025090000}"/>
    <cellStyle name="Output 4 12" xfId="2204" xr:uid="{00000000-0005-0000-0000-000026090000}"/>
    <cellStyle name="Output 4 13" xfId="2205" xr:uid="{00000000-0005-0000-0000-000027090000}"/>
    <cellStyle name="Output 4 14" xfId="2206" xr:uid="{00000000-0005-0000-0000-000028090000}"/>
    <cellStyle name="Output 4 15" xfId="2207" xr:uid="{00000000-0005-0000-0000-000029090000}"/>
    <cellStyle name="Output 4 16" xfId="2208" xr:uid="{00000000-0005-0000-0000-00002A090000}"/>
    <cellStyle name="Output 4 2" xfId="2209" xr:uid="{00000000-0005-0000-0000-00002B090000}"/>
    <cellStyle name="Output 4 3" xfId="2210" xr:uid="{00000000-0005-0000-0000-00002C090000}"/>
    <cellStyle name="Output 4 4" xfId="2211" xr:uid="{00000000-0005-0000-0000-00002D090000}"/>
    <cellStyle name="Output 4 5" xfId="2212" xr:uid="{00000000-0005-0000-0000-00002E090000}"/>
    <cellStyle name="Output 4 6" xfId="2213" xr:uid="{00000000-0005-0000-0000-00002F090000}"/>
    <cellStyle name="Output 4 7" xfId="2214" xr:uid="{00000000-0005-0000-0000-000030090000}"/>
    <cellStyle name="Output 4 8" xfId="2215" xr:uid="{00000000-0005-0000-0000-000031090000}"/>
    <cellStyle name="Output 4 9" xfId="2216" xr:uid="{00000000-0005-0000-0000-000032090000}"/>
    <cellStyle name="Percent [0]" xfId="2217" xr:uid="{00000000-0005-0000-0000-000034090000}"/>
    <cellStyle name="Percent [00]" xfId="2218" xr:uid="{00000000-0005-0000-0000-000035090000}"/>
    <cellStyle name="Percent [2]" xfId="2219" xr:uid="{00000000-0005-0000-0000-000036090000}"/>
    <cellStyle name="Percent 2" xfId="2" xr:uid="{00000000-0005-0000-0000-000037090000}"/>
    <cellStyle name="Percent 2 2" xfId="2488" xr:uid="{00000000-0005-0000-0000-000038090000}"/>
    <cellStyle name="Percent 2 3" xfId="2489" xr:uid="{00000000-0005-0000-0000-000039090000}"/>
    <cellStyle name="Percent 3" xfId="2490" xr:uid="{00000000-0005-0000-0000-00003A090000}"/>
    <cellStyle name="Percent 3 2" xfId="2491" xr:uid="{00000000-0005-0000-0000-00003B090000}"/>
    <cellStyle name="Percent 3 3" xfId="2492" xr:uid="{00000000-0005-0000-0000-00003C090000}"/>
    <cellStyle name="Postotak 2" xfId="2220" xr:uid="{00000000-0005-0000-0000-00003D090000}"/>
    <cellStyle name="Postotak 2 2" xfId="2516" xr:uid="{94BEC9C3-1799-40D5-A46A-6564A8719F83}"/>
    <cellStyle name="Postotak 3" xfId="2221" xr:uid="{00000000-0005-0000-0000-00003E090000}"/>
    <cellStyle name="Postotak 3 2" xfId="2222" xr:uid="{00000000-0005-0000-0000-00003F090000}"/>
    <cellStyle name="Povezana ćelija" xfId="2223" xr:uid="{00000000-0005-0000-0000-000040090000}"/>
    <cellStyle name="PrePop Currency (0)" xfId="2224" xr:uid="{00000000-0005-0000-0000-000041090000}"/>
    <cellStyle name="PrePop Currency (2)" xfId="2225" xr:uid="{00000000-0005-0000-0000-000042090000}"/>
    <cellStyle name="PrePop Units (0)" xfId="2226" xr:uid="{00000000-0005-0000-0000-000043090000}"/>
    <cellStyle name="PrePop Units (1)" xfId="2227" xr:uid="{00000000-0005-0000-0000-000044090000}"/>
    <cellStyle name="PrePop Units (2)" xfId="2228" xr:uid="{00000000-0005-0000-0000-000045090000}"/>
    <cellStyle name="Provjera ćelije" xfId="2229" xr:uid="{00000000-0005-0000-0000-000046090000}"/>
    <cellStyle name="Standard" xfId="2230" xr:uid="{00000000-0005-0000-0000-000047090000}"/>
    <cellStyle name="Standard 2" xfId="2231" xr:uid="{00000000-0005-0000-0000-000048090000}"/>
    <cellStyle name="Stil 1" xfId="2232" xr:uid="{00000000-0005-0000-0000-000049090000}"/>
    <cellStyle name="Stil 1 2" xfId="39" xr:uid="{00000000-0005-0000-0000-00004A090000}"/>
    <cellStyle name="Style 1" xfId="43" xr:uid="{00000000-0005-0000-0000-00004B090000}"/>
    <cellStyle name="Style 1 2" xfId="2233" xr:uid="{00000000-0005-0000-0000-00004C090000}"/>
    <cellStyle name="Style 1 2 2" xfId="2493" xr:uid="{00000000-0005-0000-0000-00004D090000}"/>
    <cellStyle name="Style 1 3" xfId="2234" xr:uid="{00000000-0005-0000-0000-00004E090000}"/>
    <cellStyle name="Style 1 4" xfId="2494" xr:uid="{00000000-0005-0000-0000-00004F090000}"/>
    <cellStyle name="Style 1_troskovnik-granicni prijelazi - tipski" xfId="2510" xr:uid="{00000000-0005-0000-0000-000050090000}"/>
    <cellStyle name="Tekst objašnjenja" xfId="2235" xr:uid="{00000000-0005-0000-0000-000051090000}"/>
    <cellStyle name="Tekst upozorenja" xfId="2236" xr:uid="{00000000-0005-0000-0000-000052090000}"/>
    <cellStyle name="Tekst upozorenja 2" xfId="2237" xr:uid="{00000000-0005-0000-0000-000053090000}"/>
    <cellStyle name="Tekst upozorenja 2 2" xfId="2495" xr:uid="{00000000-0005-0000-0000-000054090000}"/>
    <cellStyle name="Text Indent A" xfId="2238" xr:uid="{00000000-0005-0000-0000-000055090000}"/>
    <cellStyle name="Text Indent B" xfId="2239" xr:uid="{00000000-0005-0000-0000-000056090000}"/>
    <cellStyle name="Text Indent C" xfId="2240" xr:uid="{00000000-0005-0000-0000-000057090000}"/>
    <cellStyle name="Title 2" xfId="2241" xr:uid="{00000000-0005-0000-0000-000058090000}"/>
    <cellStyle name="Title 2 2" xfId="2242" xr:uid="{00000000-0005-0000-0000-000059090000}"/>
    <cellStyle name="Title 3" xfId="2243" xr:uid="{00000000-0005-0000-0000-00005A090000}"/>
    <cellStyle name="Title 3 10" xfId="2244" xr:uid="{00000000-0005-0000-0000-00005B090000}"/>
    <cellStyle name="Title 3 11" xfId="2245" xr:uid="{00000000-0005-0000-0000-00005C090000}"/>
    <cellStyle name="Title 3 12" xfId="2246" xr:uid="{00000000-0005-0000-0000-00005D090000}"/>
    <cellStyle name="Title 3 13" xfId="2247" xr:uid="{00000000-0005-0000-0000-00005E090000}"/>
    <cellStyle name="Title 3 14" xfId="2248" xr:uid="{00000000-0005-0000-0000-00005F090000}"/>
    <cellStyle name="Title 3 15" xfId="2249" xr:uid="{00000000-0005-0000-0000-000060090000}"/>
    <cellStyle name="Title 3 16" xfId="2250" xr:uid="{00000000-0005-0000-0000-000061090000}"/>
    <cellStyle name="Title 3 17" xfId="2251" xr:uid="{00000000-0005-0000-0000-000062090000}"/>
    <cellStyle name="Title 3 18" xfId="2252" xr:uid="{00000000-0005-0000-0000-000063090000}"/>
    <cellStyle name="Title 3 19" xfId="2253" xr:uid="{00000000-0005-0000-0000-000064090000}"/>
    <cellStyle name="Title 3 2" xfId="2254" xr:uid="{00000000-0005-0000-0000-000065090000}"/>
    <cellStyle name="Title 3 3" xfId="2255" xr:uid="{00000000-0005-0000-0000-000066090000}"/>
    <cellStyle name="Title 3 4" xfId="2256" xr:uid="{00000000-0005-0000-0000-000067090000}"/>
    <cellStyle name="Title 3 5" xfId="2257" xr:uid="{00000000-0005-0000-0000-000068090000}"/>
    <cellStyle name="Title 3 6" xfId="2258" xr:uid="{00000000-0005-0000-0000-000069090000}"/>
    <cellStyle name="Title 3 7" xfId="2259" xr:uid="{00000000-0005-0000-0000-00006A090000}"/>
    <cellStyle name="Title 3 8" xfId="2260" xr:uid="{00000000-0005-0000-0000-00006B090000}"/>
    <cellStyle name="Title 3 9" xfId="2261" xr:uid="{00000000-0005-0000-0000-00006C090000}"/>
    <cellStyle name="Title 4" xfId="2262" xr:uid="{00000000-0005-0000-0000-00006D090000}"/>
    <cellStyle name="Title 4 10" xfId="2263" xr:uid="{00000000-0005-0000-0000-00006E090000}"/>
    <cellStyle name="Title 4 11" xfId="2264" xr:uid="{00000000-0005-0000-0000-00006F090000}"/>
    <cellStyle name="Title 4 12" xfId="2265" xr:uid="{00000000-0005-0000-0000-000070090000}"/>
    <cellStyle name="Title 4 13" xfId="2266" xr:uid="{00000000-0005-0000-0000-000071090000}"/>
    <cellStyle name="Title 4 14" xfId="2267" xr:uid="{00000000-0005-0000-0000-000072090000}"/>
    <cellStyle name="Title 4 15" xfId="2268" xr:uid="{00000000-0005-0000-0000-000073090000}"/>
    <cellStyle name="Title 4 16" xfId="2269" xr:uid="{00000000-0005-0000-0000-000074090000}"/>
    <cellStyle name="Title 4 2" xfId="2270" xr:uid="{00000000-0005-0000-0000-000075090000}"/>
    <cellStyle name="Title 4 3" xfId="2271" xr:uid="{00000000-0005-0000-0000-000076090000}"/>
    <cellStyle name="Title 4 4" xfId="2272" xr:uid="{00000000-0005-0000-0000-000077090000}"/>
    <cellStyle name="Title 4 5" xfId="2273" xr:uid="{00000000-0005-0000-0000-000078090000}"/>
    <cellStyle name="Title 4 6" xfId="2274" xr:uid="{00000000-0005-0000-0000-000079090000}"/>
    <cellStyle name="Title 4 7" xfId="2275" xr:uid="{00000000-0005-0000-0000-00007A090000}"/>
    <cellStyle name="Title 4 8" xfId="2276" xr:uid="{00000000-0005-0000-0000-00007B090000}"/>
    <cellStyle name="Title 4 9" xfId="2277" xr:uid="{00000000-0005-0000-0000-00007C090000}"/>
    <cellStyle name="Total 2" xfId="2278" xr:uid="{00000000-0005-0000-0000-00007D090000}"/>
    <cellStyle name="Total 2 2" xfId="2279" xr:uid="{00000000-0005-0000-0000-00007E090000}"/>
    <cellStyle name="Total 2 3" xfId="2280" xr:uid="{00000000-0005-0000-0000-00007F090000}"/>
    <cellStyle name="Total 3" xfId="2281" xr:uid="{00000000-0005-0000-0000-000080090000}"/>
    <cellStyle name="Total 3 10" xfId="2282" xr:uid="{00000000-0005-0000-0000-000081090000}"/>
    <cellStyle name="Total 3 11" xfId="2283" xr:uid="{00000000-0005-0000-0000-000082090000}"/>
    <cellStyle name="Total 3 12" xfId="2284" xr:uid="{00000000-0005-0000-0000-000083090000}"/>
    <cellStyle name="Total 3 13" xfId="2285" xr:uid="{00000000-0005-0000-0000-000084090000}"/>
    <cellStyle name="Total 3 14" xfId="2286" xr:uid="{00000000-0005-0000-0000-000085090000}"/>
    <cellStyle name="Total 3 15" xfId="2287" xr:uid="{00000000-0005-0000-0000-000086090000}"/>
    <cellStyle name="Total 3 16" xfId="2288" xr:uid="{00000000-0005-0000-0000-000087090000}"/>
    <cellStyle name="Total 3 17" xfId="2289" xr:uid="{00000000-0005-0000-0000-000088090000}"/>
    <cellStyle name="Total 3 18" xfId="2290" xr:uid="{00000000-0005-0000-0000-000089090000}"/>
    <cellStyle name="Total 3 19" xfId="2291" xr:uid="{00000000-0005-0000-0000-00008A090000}"/>
    <cellStyle name="Total 3 2" xfId="2292" xr:uid="{00000000-0005-0000-0000-00008B090000}"/>
    <cellStyle name="Total 3 3" xfId="2293" xr:uid="{00000000-0005-0000-0000-00008C090000}"/>
    <cellStyle name="Total 3 4" xfId="2294" xr:uid="{00000000-0005-0000-0000-00008D090000}"/>
    <cellStyle name="Total 3 5" xfId="2295" xr:uid="{00000000-0005-0000-0000-00008E090000}"/>
    <cellStyle name="Total 3 6" xfId="2296" xr:uid="{00000000-0005-0000-0000-00008F090000}"/>
    <cellStyle name="Total 3 7" xfId="2297" xr:uid="{00000000-0005-0000-0000-000090090000}"/>
    <cellStyle name="Total 3 8" xfId="2298" xr:uid="{00000000-0005-0000-0000-000091090000}"/>
    <cellStyle name="Total 3 9" xfId="2299" xr:uid="{00000000-0005-0000-0000-000092090000}"/>
    <cellStyle name="Total 4" xfId="2300" xr:uid="{00000000-0005-0000-0000-000093090000}"/>
    <cellStyle name="Total 4 10" xfId="2301" xr:uid="{00000000-0005-0000-0000-000094090000}"/>
    <cellStyle name="Total 4 11" xfId="2302" xr:uid="{00000000-0005-0000-0000-000095090000}"/>
    <cellStyle name="Total 4 12" xfId="2303" xr:uid="{00000000-0005-0000-0000-000096090000}"/>
    <cellStyle name="Total 4 13" xfId="2304" xr:uid="{00000000-0005-0000-0000-000097090000}"/>
    <cellStyle name="Total 4 14" xfId="2305" xr:uid="{00000000-0005-0000-0000-000098090000}"/>
    <cellStyle name="Total 4 15" xfId="2306" xr:uid="{00000000-0005-0000-0000-000099090000}"/>
    <cellStyle name="Total 4 16" xfId="2307" xr:uid="{00000000-0005-0000-0000-00009A090000}"/>
    <cellStyle name="Total 4 2" xfId="2308" xr:uid="{00000000-0005-0000-0000-00009B090000}"/>
    <cellStyle name="Total 4 3" xfId="2309" xr:uid="{00000000-0005-0000-0000-00009C090000}"/>
    <cellStyle name="Total 4 4" xfId="2310" xr:uid="{00000000-0005-0000-0000-00009D090000}"/>
    <cellStyle name="Total 4 5" xfId="2311" xr:uid="{00000000-0005-0000-0000-00009E090000}"/>
    <cellStyle name="Total 4 6" xfId="2312" xr:uid="{00000000-0005-0000-0000-00009F090000}"/>
    <cellStyle name="Total 4 7" xfId="2313" xr:uid="{00000000-0005-0000-0000-0000A0090000}"/>
    <cellStyle name="Total 4 8" xfId="2314" xr:uid="{00000000-0005-0000-0000-0000A1090000}"/>
    <cellStyle name="Total 4 9" xfId="2315" xr:uid="{00000000-0005-0000-0000-0000A2090000}"/>
    <cellStyle name="Ukupni zbroj" xfId="2316" xr:uid="{00000000-0005-0000-0000-0000A3090000}"/>
    <cellStyle name="Ukupno" xfId="2317" xr:uid="{00000000-0005-0000-0000-0000A4090000}"/>
    <cellStyle name="Ukupno 2" xfId="2318" xr:uid="{00000000-0005-0000-0000-0000A5090000}"/>
    <cellStyle name="Unos" xfId="2319" xr:uid="{00000000-0005-0000-0000-0000A6090000}"/>
    <cellStyle name="Valuta 2 2" xfId="2320" xr:uid="{00000000-0005-0000-0000-0000A7090000}"/>
    <cellStyle name="Währung [0]_RESULTS" xfId="2321" xr:uid="{00000000-0005-0000-0000-0000A8090000}"/>
    <cellStyle name="Währung_RESULTS" xfId="2322" xr:uid="{00000000-0005-0000-0000-0000A9090000}"/>
    <cellStyle name="Warning Text 2" xfId="2323" xr:uid="{00000000-0005-0000-0000-0000AA090000}"/>
    <cellStyle name="Warning Text 3" xfId="2324" xr:uid="{00000000-0005-0000-0000-0000AB090000}"/>
    <cellStyle name="Warning Text 3 10" xfId="2325" xr:uid="{00000000-0005-0000-0000-0000AC090000}"/>
    <cellStyle name="Warning Text 3 11" xfId="2326" xr:uid="{00000000-0005-0000-0000-0000AD090000}"/>
    <cellStyle name="Warning Text 3 12" xfId="2327" xr:uid="{00000000-0005-0000-0000-0000AE090000}"/>
    <cellStyle name="Warning Text 3 13" xfId="2328" xr:uid="{00000000-0005-0000-0000-0000AF090000}"/>
    <cellStyle name="Warning Text 3 14" xfId="2329" xr:uid="{00000000-0005-0000-0000-0000B0090000}"/>
    <cellStyle name="Warning Text 3 15" xfId="2330" xr:uid="{00000000-0005-0000-0000-0000B1090000}"/>
    <cellStyle name="Warning Text 3 16" xfId="2331" xr:uid="{00000000-0005-0000-0000-0000B2090000}"/>
    <cellStyle name="Warning Text 3 17" xfId="2332" xr:uid="{00000000-0005-0000-0000-0000B3090000}"/>
    <cellStyle name="Warning Text 3 18" xfId="2333" xr:uid="{00000000-0005-0000-0000-0000B4090000}"/>
    <cellStyle name="Warning Text 3 19" xfId="2334" xr:uid="{00000000-0005-0000-0000-0000B5090000}"/>
    <cellStyle name="Warning Text 3 2" xfId="2335" xr:uid="{00000000-0005-0000-0000-0000B6090000}"/>
    <cellStyle name="Warning Text 3 3" xfId="2336" xr:uid="{00000000-0005-0000-0000-0000B7090000}"/>
    <cellStyle name="Warning Text 3 4" xfId="2337" xr:uid="{00000000-0005-0000-0000-0000B8090000}"/>
    <cellStyle name="Warning Text 3 5" xfId="2338" xr:uid="{00000000-0005-0000-0000-0000B9090000}"/>
    <cellStyle name="Warning Text 3 6" xfId="2339" xr:uid="{00000000-0005-0000-0000-0000BA090000}"/>
    <cellStyle name="Warning Text 3 7" xfId="2340" xr:uid="{00000000-0005-0000-0000-0000BB090000}"/>
    <cellStyle name="Warning Text 3 8" xfId="2341" xr:uid="{00000000-0005-0000-0000-0000BC090000}"/>
    <cellStyle name="Warning Text 3 9" xfId="2342" xr:uid="{00000000-0005-0000-0000-0000BD090000}"/>
    <cellStyle name="Warning Text 4" xfId="2343" xr:uid="{00000000-0005-0000-0000-0000BE090000}"/>
    <cellStyle name="Warning Text 4 10" xfId="2344" xr:uid="{00000000-0005-0000-0000-0000BF090000}"/>
    <cellStyle name="Warning Text 4 11" xfId="2345" xr:uid="{00000000-0005-0000-0000-0000C0090000}"/>
    <cellStyle name="Warning Text 4 12" xfId="2346" xr:uid="{00000000-0005-0000-0000-0000C1090000}"/>
    <cellStyle name="Warning Text 4 13" xfId="2347" xr:uid="{00000000-0005-0000-0000-0000C2090000}"/>
    <cellStyle name="Warning Text 4 14" xfId="2348" xr:uid="{00000000-0005-0000-0000-0000C3090000}"/>
    <cellStyle name="Warning Text 4 15" xfId="2349" xr:uid="{00000000-0005-0000-0000-0000C4090000}"/>
    <cellStyle name="Warning Text 4 16" xfId="2350" xr:uid="{00000000-0005-0000-0000-0000C5090000}"/>
    <cellStyle name="Warning Text 4 2" xfId="2351" xr:uid="{00000000-0005-0000-0000-0000C6090000}"/>
    <cellStyle name="Warning Text 4 3" xfId="2352" xr:uid="{00000000-0005-0000-0000-0000C7090000}"/>
    <cellStyle name="Warning Text 4 4" xfId="2353" xr:uid="{00000000-0005-0000-0000-0000C8090000}"/>
    <cellStyle name="Warning Text 4 5" xfId="2354" xr:uid="{00000000-0005-0000-0000-0000C9090000}"/>
    <cellStyle name="Warning Text 4 6" xfId="2355" xr:uid="{00000000-0005-0000-0000-0000CA090000}"/>
    <cellStyle name="Warning Text 4 7" xfId="2356" xr:uid="{00000000-0005-0000-0000-0000CB090000}"/>
    <cellStyle name="Warning Text 4 8" xfId="2357" xr:uid="{00000000-0005-0000-0000-0000CC090000}"/>
    <cellStyle name="Warning Text 4 9" xfId="2358" xr:uid="{00000000-0005-0000-0000-0000CD090000}"/>
    <cellStyle name="Zarez 2" xfId="47" xr:uid="{00000000-0005-0000-0000-0000CE090000}"/>
    <cellStyle name="Zarez 2 2" xfId="2360" xr:uid="{00000000-0005-0000-0000-0000CF090000}"/>
    <cellStyle name="Zarez 2 3" xfId="2359" xr:uid="{00000000-0005-0000-0000-0000D0090000}"/>
    <cellStyle name="Zarez 2 4" xfId="2496" xr:uid="{00000000-0005-0000-0000-0000D1090000}"/>
    <cellStyle name="Zarez 3" xfId="2497" xr:uid="{00000000-0005-0000-0000-0000D2090000}"/>
    <cellStyle name="Zarez 7" xfId="11" xr:uid="{00000000-0005-0000-0000-0000D3090000}"/>
  </cellStyles>
  <dxfs count="0"/>
  <tableStyles count="0" defaultTableStyle="TableStyleMedium9"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urbaneideje.hr/" TargetMode="External"/><Relationship Id="rId1" Type="http://schemas.openxmlformats.org/officeDocument/2006/relationships/hyperlink" Target="mailto:info@urbaneideje.hr" TargetMode="Externa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C029B-6326-456A-83D0-D072528DCCF5}">
  <sheetPr>
    <tabColor theme="6" tint="0.79998168889431442"/>
    <pageSetUpPr fitToPage="1"/>
  </sheetPr>
  <dimension ref="A2:L46"/>
  <sheetViews>
    <sheetView view="pageBreakPreview" topLeftCell="B1" zoomScale="145" zoomScaleNormal="100" zoomScaleSheetLayoutView="145" workbookViewId="0">
      <selection activeCell="J48" sqref="J48"/>
    </sheetView>
  </sheetViews>
  <sheetFormatPr defaultColWidth="9.140625" defaultRowHeight="12.75"/>
  <cols>
    <col min="1" max="4" width="9.140625" style="1"/>
    <col min="5" max="5" width="7.85546875" style="1" customWidth="1"/>
    <col min="6" max="7" width="9.140625" style="1"/>
    <col min="8" max="8" width="15.140625" style="1" customWidth="1"/>
    <col min="9" max="9" width="10.5703125" style="1" customWidth="1"/>
    <col min="10" max="10" width="9.140625" style="1"/>
    <col min="11" max="11" width="24.7109375" style="1" customWidth="1"/>
    <col min="12" max="12" width="1.140625" style="1" hidden="1" customWidth="1"/>
    <col min="13" max="13" width="17.28515625" style="1" customWidth="1"/>
    <col min="14" max="14" width="5.140625" style="1" customWidth="1"/>
    <col min="15" max="16384" width="9.140625" style="1"/>
  </cols>
  <sheetData>
    <row r="2" spans="2:8">
      <c r="E2" s="238" t="s">
        <v>644</v>
      </c>
      <c r="F2" s="238"/>
      <c r="G2" s="238"/>
      <c r="H2" s="238"/>
    </row>
    <row r="3" spans="2:8">
      <c r="E3" s="223" t="s">
        <v>645</v>
      </c>
      <c r="F3" s="223"/>
      <c r="G3" s="223"/>
      <c r="H3" s="223"/>
    </row>
    <row r="4" spans="2:8">
      <c r="F4" s="4"/>
      <c r="G4" s="2"/>
      <c r="H4" s="2"/>
    </row>
    <row r="5" spans="2:8">
      <c r="F5" s="5" t="s">
        <v>646</v>
      </c>
      <c r="G5" s="241" t="s">
        <v>647</v>
      </c>
      <c r="H5" s="241"/>
    </row>
    <row r="6" spans="2:8">
      <c r="F6" s="5" t="s">
        <v>648</v>
      </c>
      <c r="G6" s="223" t="s">
        <v>649</v>
      </c>
      <c r="H6" s="223"/>
    </row>
    <row r="7" spans="2:8">
      <c r="F7" s="5" t="s">
        <v>650</v>
      </c>
      <c r="G7" s="242" t="s">
        <v>651</v>
      </c>
      <c r="H7" s="240"/>
    </row>
    <row r="8" spans="2:8">
      <c r="F8" s="5" t="s">
        <v>652</v>
      </c>
      <c r="G8" s="240" t="s">
        <v>653</v>
      </c>
      <c r="H8" s="240"/>
    </row>
    <row r="9" spans="2:8">
      <c r="G9" s="2"/>
      <c r="H9" s="2"/>
    </row>
    <row r="10" spans="2:8">
      <c r="G10" s="2"/>
      <c r="H10" s="2"/>
    </row>
    <row r="13" spans="2:8" ht="53.25" customHeight="1">
      <c r="B13" s="230" t="s">
        <v>577</v>
      </c>
      <c r="C13" s="230"/>
      <c r="D13" s="230"/>
      <c r="E13" s="230"/>
      <c r="F13" s="230"/>
      <c r="G13" s="230"/>
      <c r="H13" s="230"/>
    </row>
    <row r="14" spans="2:8" ht="20.25">
      <c r="B14" s="231"/>
      <c r="C14" s="231"/>
      <c r="D14" s="231"/>
      <c r="E14" s="231"/>
      <c r="F14" s="231"/>
      <c r="G14" s="231"/>
      <c r="H14" s="231"/>
    </row>
    <row r="16" spans="2:8" ht="15.75">
      <c r="B16" s="232" t="s">
        <v>686</v>
      </c>
      <c r="C16" s="233"/>
      <c r="D16" s="233"/>
      <c r="E16" s="233"/>
      <c r="F16" s="233"/>
      <c r="G16" s="233"/>
      <c r="H16" s="233"/>
    </row>
    <row r="17" spans="1:10" ht="15">
      <c r="D17" s="234" t="s">
        <v>702</v>
      </c>
      <c r="E17" s="234"/>
      <c r="F17" s="234"/>
      <c r="G17" s="234"/>
      <c r="H17" s="234"/>
    </row>
    <row r="18" spans="1:10" ht="15.75" customHeight="1">
      <c r="B18" s="235" t="s">
        <v>578</v>
      </c>
      <c r="C18" s="235"/>
      <c r="D18" s="235"/>
      <c r="E18" s="235"/>
      <c r="F18" s="235"/>
      <c r="G18" s="235"/>
      <c r="H18" s="235"/>
    </row>
    <row r="19" spans="1:10">
      <c r="B19" s="236" t="s">
        <v>703</v>
      </c>
      <c r="C19" s="237"/>
      <c r="D19" s="237"/>
      <c r="E19" s="237"/>
      <c r="F19" s="237"/>
      <c r="G19" s="237"/>
      <c r="H19" s="237"/>
    </row>
    <row r="21" spans="1:10">
      <c r="H21" s="2" t="s">
        <v>654</v>
      </c>
    </row>
    <row r="22" spans="1:10">
      <c r="J22" s="6"/>
    </row>
    <row r="23" spans="1:10">
      <c r="J23" s="6"/>
    </row>
    <row r="25" spans="1:10">
      <c r="B25" s="223"/>
      <c r="C25" s="223"/>
      <c r="D25" s="223"/>
      <c r="E25" s="223"/>
      <c r="F25" s="223"/>
      <c r="G25" s="223"/>
      <c r="H25" s="223"/>
    </row>
    <row r="26" spans="1:10" ht="15">
      <c r="A26" s="7"/>
      <c r="D26" s="1" t="s">
        <v>655</v>
      </c>
      <c r="E26" s="238" t="s">
        <v>575</v>
      </c>
      <c r="F26" s="238"/>
      <c r="G26" s="238"/>
      <c r="H26" s="238"/>
    </row>
    <row r="27" spans="1:10" ht="15">
      <c r="A27" s="8"/>
      <c r="E27" s="223" t="s">
        <v>656</v>
      </c>
      <c r="F27" s="223"/>
      <c r="G27" s="223"/>
      <c r="H27" s="223"/>
    </row>
    <row r="28" spans="1:10" ht="15">
      <c r="A28" s="8"/>
      <c r="E28" s="2"/>
      <c r="F28" s="2"/>
      <c r="G28" s="2"/>
      <c r="H28" s="3" t="s">
        <v>576</v>
      </c>
    </row>
    <row r="29" spans="1:10" ht="15">
      <c r="A29" s="9"/>
      <c r="E29" s="2"/>
      <c r="F29" s="2"/>
      <c r="G29" s="2"/>
      <c r="H29" s="3" t="s">
        <v>657</v>
      </c>
    </row>
    <row r="30" spans="1:10">
      <c r="G30" s="223"/>
      <c r="H30" s="223"/>
    </row>
    <row r="31" spans="1:10">
      <c r="B31" s="239"/>
      <c r="C31" s="239"/>
      <c r="D31" s="239"/>
      <c r="E31" s="239"/>
      <c r="F31" s="239"/>
      <c r="G31" s="239"/>
      <c r="H31" s="239"/>
    </row>
    <row r="32" spans="1:10">
      <c r="D32" s="1" t="s">
        <v>658</v>
      </c>
      <c r="F32" s="224" t="s">
        <v>659</v>
      </c>
      <c r="G32" s="224"/>
      <c r="H32" s="224"/>
    </row>
    <row r="33" spans="2:8" ht="18">
      <c r="B33" s="10"/>
    </row>
    <row r="34" spans="2:8" ht="44.25" customHeight="1">
      <c r="D34" s="1" t="s">
        <v>660</v>
      </c>
      <c r="F34" s="224" t="s">
        <v>661</v>
      </c>
      <c r="G34" s="224"/>
      <c r="H34" s="224"/>
    </row>
    <row r="36" spans="2:8">
      <c r="D36" s="1" t="s">
        <v>662</v>
      </c>
      <c r="F36" s="225" t="s">
        <v>663</v>
      </c>
      <c r="G36" s="226"/>
      <c r="H36" s="226"/>
    </row>
    <row r="37" spans="2:8">
      <c r="F37" s="3"/>
      <c r="G37" s="3"/>
      <c r="H37" s="3"/>
    </row>
    <row r="38" spans="2:8" ht="30.75" customHeight="1">
      <c r="D38" s="11" t="s">
        <v>664</v>
      </c>
      <c r="F38" s="227" t="s">
        <v>665</v>
      </c>
      <c r="G38" s="227"/>
      <c r="H38" s="227"/>
    </row>
    <row r="39" spans="2:8">
      <c r="D39" s="228"/>
      <c r="E39" s="228"/>
      <c r="F39" s="228"/>
      <c r="G39" s="228"/>
      <c r="H39" s="228"/>
    </row>
    <row r="41" spans="2:8">
      <c r="D41" s="1" t="s">
        <v>473</v>
      </c>
      <c r="G41" s="229" t="s">
        <v>666</v>
      </c>
      <c r="H41" s="229"/>
    </row>
    <row r="43" spans="2:8">
      <c r="D43" s="1" t="s">
        <v>627</v>
      </c>
      <c r="G43" s="229" t="s">
        <v>667</v>
      </c>
      <c r="H43" s="229"/>
    </row>
    <row r="46" spans="2:8">
      <c r="F46" s="223" t="s">
        <v>708</v>
      </c>
      <c r="G46" s="223"/>
      <c r="H46" s="223"/>
    </row>
  </sheetData>
  <mergeCells count="25">
    <mergeCell ref="G8:H8"/>
    <mergeCell ref="E2:H2"/>
    <mergeCell ref="E3:H3"/>
    <mergeCell ref="G5:H5"/>
    <mergeCell ref="G6:H6"/>
    <mergeCell ref="G7:H7"/>
    <mergeCell ref="F32:H32"/>
    <mergeCell ref="B13:H13"/>
    <mergeCell ref="B14:H14"/>
    <mergeCell ref="B16:H16"/>
    <mergeCell ref="D17:H17"/>
    <mergeCell ref="B18:H18"/>
    <mergeCell ref="B19:H19"/>
    <mergeCell ref="B25:H25"/>
    <mergeCell ref="E26:H26"/>
    <mergeCell ref="E27:H27"/>
    <mergeCell ref="G30:H30"/>
    <mergeCell ref="B31:H31"/>
    <mergeCell ref="F46:H46"/>
    <mergeCell ref="F34:H34"/>
    <mergeCell ref="F36:H36"/>
    <mergeCell ref="F38:H38"/>
    <mergeCell ref="D39:H39"/>
    <mergeCell ref="G41:H41"/>
    <mergeCell ref="G43:H43"/>
  </mergeCells>
  <hyperlinks>
    <hyperlink ref="G7" r:id="rId1" xr:uid="{818242D0-93B0-47E8-875E-C62B861C963D}"/>
    <hyperlink ref="G8" r:id="rId2" xr:uid="{1CA61B8B-96B5-44CD-89F9-33DC2854324D}"/>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FF0000"/>
    <pageSetUpPr fitToPage="1"/>
  </sheetPr>
  <dimension ref="A1:O2469"/>
  <sheetViews>
    <sheetView showZeros="0" view="pageLayout" topLeftCell="A48" zoomScale="160" zoomScaleNormal="100" zoomScaleSheetLayoutView="100" zoomScalePageLayoutView="160" workbookViewId="0">
      <selection activeCell="A33" sqref="A33"/>
    </sheetView>
  </sheetViews>
  <sheetFormatPr defaultColWidth="9.140625" defaultRowHeight="15.75"/>
  <cols>
    <col min="1" max="1" width="8.7109375" style="12" customWidth="1"/>
    <col min="2" max="2" width="50.7109375" style="13" customWidth="1"/>
    <col min="3" max="3" width="10.7109375" style="14" customWidth="1"/>
    <col min="4" max="4" width="10.7109375" style="15" customWidth="1"/>
    <col min="5" max="5" width="13.7109375" style="16" customWidth="1"/>
    <col min="6" max="6" width="15.7109375" style="16" customWidth="1"/>
    <col min="7" max="8" width="2.7109375" style="25" customWidth="1"/>
    <col min="9" max="9" width="2.7109375" style="95" customWidth="1"/>
    <col min="10" max="11" width="2.7109375" style="12" customWidth="1"/>
    <col min="12" max="12" width="2.7109375" style="13" customWidth="1"/>
    <col min="13" max="13" width="9.7109375" style="14" customWidth="1"/>
    <col min="14" max="14" width="10.85546875" style="15" customWidth="1"/>
    <col min="15" max="16384" width="9.140625" style="25"/>
  </cols>
  <sheetData>
    <row r="1" spans="1:14" s="17" customFormat="1">
      <c r="A1" s="12"/>
      <c r="B1" s="13"/>
      <c r="C1" s="14"/>
      <c r="D1" s="15"/>
      <c r="E1" s="16"/>
      <c r="F1" s="16"/>
      <c r="I1" s="18"/>
      <c r="J1" s="12"/>
      <c r="K1" s="12"/>
      <c r="L1" s="13"/>
      <c r="M1" s="14"/>
      <c r="N1" s="15"/>
    </row>
    <row r="2" spans="1:14" s="22" customFormat="1">
      <c r="A2" s="19" t="s">
        <v>84</v>
      </c>
      <c r="B2" s="20"/>
      <c r="C2" s="20"/>
      <c r="D2" s="20"/>
      <c r="E2" s="20"/>
      <c r="F2" s="20"/>
      <c r="G2" s="21"/>
      <c r="H2" s="21"/>
      <c r="I2" s="21"/>
      <c r="J2" s="21"/>
      <c r="K2" s="21"/>
      <c r="L2" s="21"/>
    </row>
    <row r="3" spans="1:14" ht="14.25">
      <c r="A3" s="23"/>
      <c r="B3" s="24"/>
      <c r="C3" s="24"/>
      <c r="D3" s="24"/>
      <c r="E3" s="24"/>
      <c r="F3" s="24"/>
      <c r="G3" s="17"/>
      <c r="H3" s="17"/>
      <c r="I3" s="17"/>
      <c r="J3" s="17"/>
      <c r="K3" s="17"/>
      <c r="L3" s="17"/>
      <c r="M3" s="25"/>
      <c r="N3" s="25"/>
    </row>
    <row r="4" spans="1:14" ht="65.25" customHeight="1">
      <c r="A4" s="243" t="s">
        <v>494</v>
      </c>
      <c r="B4" s="243"/>
      <c r="C4" s="243"/>
      <c r="D4" s="243"/>
      <c r="E4" s="243"/>
      <c r="F4" s="243"/>
      <c r="G4" s="17"/>
      <c r="H4" s="17"/>
      <c r="I4" s="17"/>
      <c r="J4" s="17"/>
      <c r="K4" s="17"/>
      <c r="L4" s="17"/>
      <c r="M4" s="25"/>
      <c r="N4" s="25"/>
    </row>
    <row r="5" spans="1:14" ht="41.25" customHeight="1">
      <c r="A5" s="243" t="s">
        <v>85</v>
      </c>
      <c r="B5" s="243"/>
      <c r="C5" s="243"/>
      <c r="D5" s="243"/>
      <c r="E5" s="243"/>
      <c r="F5" s="243"/>
      <c r="G5" s="17"/>
      <c r="H5" s="17"/>
      <c r="I5" s="17"/>
      <c r="J5" s="17"/>
      <c r="K5" s="17"/>
      <c r="L5" s="17"/>
      <c r="M5" s="25"/>
      <c r="N5" s="25"/>
    </row>
    <row r="6" spans="1:14" ht="40.5" customHeight="1">
      <c r="A6" s="243" t="s">
        <v>474</v>
      </c>
      <c r="B6" s="243"/>
      <c r="C6" s="243"/>
      <c r="D6" s="243"/>
      <c r="E6" s="243"/>
      <c r="F6" s="243"/>
      <c r="G6" s="17"/>
      <c r="H6" s="17"/>
      <c r="I6" s="17"/>
      <c r="J6" s="17"/>
      <c r="K6" s="17"/>
      <c r="L6" s="17"/>
      <c r="M6" s="25"/>
      <c r="N6" s="25"/>
    </row>
    <row r="7" spans="1:14" ht="36" customHeight="1">
      <c r="A7" s="243" t="s">
        <v>86</v>
      </c>
      <c r="B7" s="243"/>
      <c r="C7" s="243"/>
      <c r="D7" s="243"/>
      <c r="E7" s="243"/>
      <c r="F7" s="243"/>
      <c r="G7" s="17"/>
      <c r="H7" s="17"/>
      <c r="I7" s="17"/>
      <c r="J7" s="17"/>
      <c r="K7" s="17"/>
      <c r="L7" s="17"/>
      <c r="M7" s="25"/>
      <c r="N7" s="25"/>
    </row>
    <row r="8" spans="1:14" ht="45.75" customHeight="1">
      <c r="A8" s="243" t="s">
        <v>87</v>
      </c>
      <c r="B8" s="243"/>
      <c r="C8" s="243"/>
      <c r="D8" s="243"/>
      <c r="E8" s="243"/>
      <c r="F8" s="243"/>
      <c r="G8" s="17"/>
      <c r="H8" s="17"/>
      <c r="I8" s="17"/>
      <c r="J8" s="17"/>
      <c r="K8" s="17"/>
      <c r="L8" s="17"/>
      <c r="M8" s="25"/>
      <c r="N8" s="25"/>
    </row>
    <row r="9" spans="1:14" ht="13.5" customHeight="1">
      <c r="A9" s="27" t="s">
        <v>88</v>
      </c>
      <c r="B9" s="243" t="s">
        <v>89</v>
      </c>
      <c r="C9" s="243"/>
      <c r="D9" s="243"/>
      <c r="E9" s="26"/>
      <c r="F9" s="26"/>
      <c r="G9" s="17"/>
      <c r="H9" s="17"/>
      <c r="I9" s="17"/>
      <c r="J9" s="17"/>
      <c r="K9" s="17"/>
      <c r="L9" s="17"/>
      <c r="M9" s="25"/>
      <c r="N9" s="25"/>
    </row>
    <row r="10" spans="1:14" ht="14.25" customHeight="1">
      <c r="A10" s="27" t="s">
        <v>88</v>
      </c>
      <c r="B10" s="244" t="s">
        <v>90</v>
      </c>
      <c r="C10" s="244"/>
      <c r="D10" s="244"/>
      <c r="E10" s="244"/>
      <c r="F10" s="244"/>
      <c r="G10" s="17"/>
      <c r="H10" s="17"/>
      <c r="I10" s="17"/>
      <c r="J10" s="17"/>
      <c r="K10" s="17"/>
      <c r="L10" s="17"/>
      <c r="M10" s="25"/>
      <c r="N10" s="25"/>
    </row>
    <row r="11" spans="1:14" ht="14.25" customHeight="1">
      <c r="A11" s="27" t="s">
        <v>88</v>
      </c>
      <c r="B11" s="244" t="s">
        <v>91</v>
      </c>
      <c r="C11" s="244"/>
      <c r="D11" s="244"/>
      <c r="E11" s="244"/>
      <c r="F11" s="244"/>
      <c r="G11" s="17"/>
      <c r="H11" s="17"/>
      <c r="I11" s="17"/>
      <c r="J11" s="17"/>
      <c r="K11" s="17"/>
      <c r="L11" s="17"/>
      <c r="M11" s="25"/>
      <c r="N11" s="25"/>
    </row>
    <row r="12" spans="1:14" ht="14.25" customHeight="1">
      <c r="A12" s="27" t="s">
        <v>88</v>
      </c>
      <c r="B12" s="243" t="s">
        <v>92</v>
      </c>
      <c r="C12" s="243"/>
      <c r="D12" s="243"/>
      <c r="E12" s="29"/>
      <c r="F12" s="23"/>
      <c r="G12" s="17"/>
      <c r="H12" s="17"/>
      <c r="I12" s="17"/>
      <c r="J12" s="17"/>
      <c r="K12" s="17"/>
      <c r="L12" s="17"/>
      <c r="M12" s="25"/>
      <c r="N12" s="25"/>
    </row>
    <row r="13" spans="1:14" ht="14.25" customHeight="1">
      <c r="A13" s="27" t="s">
        <v>88</v>
      </c>
      <c r="B13" s="243" t="s">
        <v>93</v>
      </c>
      <c r="C13" s="243"/>
      <c r="D13" s="243"/>
      <c r="E13" s="29"/>
      <c r="F13" s="23"/>
      <c r="G13" s="17"/>
      <c r="H13" s="17"/>
      <c r="I13" s="17"/>
      <c r="J13" s="17"/>
      <c r="K13" s="17"/>
      <c r="L13" s="17"/>
      <c r="M13" s="25"/>
      <c r="N13" s="25"/>
    </row>
    <row r="14" spans="1:14" ht="14.25" customHeight="1">
      <c r="A14" s="27" t="s">
        <v>88</v>
      </c>
      <c r="B14" s="243" t="s">
        <v>94</v>
      </c>
      <c r="C14" s="243"/>
      <c r="D14" s="243"/>
      <c r="E14" s="29"/>
      <c r="F14" s="23"/>
      <c r="G14" s="17"/>
      <c r="H14" s="17"/>
      <c r="I14" s="17"/>
      <c r="J14" s="17"/>
      <c r="K14" s="17"/>
      <c r="L14" s="17"/>
      <c r="M14" s="25"/>
      <c r="N14" s="25"/>
    </row>
    <row r="15" spans="1:14" ht="27" customHeight="1">
      <c r="A15" s="27" t="s">
        <v>88</v>
      </c>
      <c r="B15" s="244" t="s">
        <v>95</v>
      </c>
      <c r="C15" s="244"/>
      <c r="D15" s="244"/>
      <c r="E15" s="244"/>
      <c r="F15" s="244"/>
      <c r="G15" s="17"/>
      <c r="H15" s="17"/>
      <c r="I15" s="17"/>
      <c r="J15" s="17"/>
      <c r="K15" s="17"/>
      <c r="L15" s="17"/>
      <c r="M15" s="25"/>
      <c r="N15" s="25"/>
    </row>
    <row r="16" spans="1:14" ht="41.25" customHeight="1">
      <c r="A16" s="27" t="s">
        <v>88</v>
      </c>
      <c r="B16" s="244" t="s">
        <v>96</v>
      </c>
      <c r="C16" s="244"/>
      <c r="D16" s="244"/>
      <c r="E16" s="244"/>
      <c r="F16" s="244"/>
      <c r="G16" s="17"/>
      <c r="H16" s="17"/>
      <c r="I16" s="17"/>
      <c r="J16" s="17"/>
      <c r="K16" s="17"/>
      <c r="L16" s="17"/>
      <c r="M16" s="25"/>
      <c r="N16" s="25"/>
    </row>
    <row r="17" spans="1:12" s="25" customFormat="1" ht="13.15" customHeight="1">
      <c r="A17" s="27" t="s">
        <v>88</v>
      </c>
      <c r="B17" s="243" t="s">
        <v>97</v>
      </c>
      <c r="C17" s="243"/>
      <c r="D17" s="243"/>
      <c r="E17" s="29"/>
      <c r="F17" s="23"/>
      <c r="G17" s="17"/>
      <c r="H17" s="17"/>
      <c r="I17" s="17"/>
      <c r="J17" s="17"/>
      <c r="K17" s="17"/>
      <c r="L17" s="17"/>
    </row>
    <row r="18" spans="1:12" s="25" customFormat="1" ht="13.9" customHeight="1">
      <c r="A18" s="27" t="s">
        <v>88</v>
      </c>
      <c r="B18" s="244" t="s">
        <v>98</v>
      </c>
      <c r="C18" s="244"/>
      <c r="D18" s="244"/>
      <c r="E18" s="244"/>
      <c r="F18" s="244"/>
      <c r="G18" s="17"/>
      <c r="H18" s="17"/>
      <c r="I18" s="17"/>
      <c r="J18" s="17"/>
      <c r="K18" s="17"/>
      <c r="L18" s="17"/>
    </row>
    <row r="19" spans="1:12" s="25" customFormat="1" ht="14.25" customHeight="1">
      <c r="A19" s="27" t="s">
        <v>88</v>
      </c>
      <c r="B19" s="243" t="s">
        <v>99</v>
      </c>
      <c r="C19" s="243"/>
      <c r="D19" s="243"/>
      <c r="E19" s="29"/>
      <c r="F19" s="23"/>
      <c r="G19" s="17"/>
      <c r="H19" s="17"/>
      <c r="I19" s="17"/>
      <c r="J19" s="17"/>
      <c r="K19" s="17"/>
      <c r="L19" s="17"/>
    </row>
    <row r="20" spans="1:12" s="25" customFormat="1" ht="14.25" customHeight="1">
      <c r="A20" s="27" t="s">
        <v>88</v>
      </c>
      <c r="B20" s="243" t="s">
        <v>100</v>
      </c>
      <c r="C20" s="243"/>
      <c r="D20" s="243"/>
      <c r="E20" s="29"/>
      <c r="F20" s="23"/>
      <c r="G20" s="17"/>
      <c r="H20" s="17"/>
      <c r="I20" s="17"/>
      <c r="J20" s="17"/>
      <c r="K20" s="17"/>
      <c r="L20" s="17"/>
    </row>
    <row r="21" spans="1:12" s="25" customFormat="1" ht="14.25" customHeight="1">
      <c r="A21" s="27" t="s">
        <v>88</v>
      </c>
      <c r="B21" s="243" t="s">
        <v>101</v>
      </c>
      <c r="C21" s="243"/>
      <c r="D21" s="243"/>
      <c r="E21" s="29"/>
      <c r="F21" s="23"/>
      <c r="G21" s="17"/>
      <c r="H21" s="17"/>
      <c r="I21" s="17"/>
      <c r="J21" s="17"/>
      <c r="K21" s="17"/>
      <c r="L21" s="17"/>
    </row>
    <row r="22" spans="1:12" s="25" customFormat="1" ht="14.25" customHeight="1">
      <c r="A22" s="27" t="s">
        <v>88</v>
      </c>
      <c r="B22" s="243" t="s">
        <v>102</v>
      </c>
      <c r="C22" s="243"/>
      <c r="D22" s="243"/>
      <c r="E22" s="29"/>
      <c r="F22" s="23"/>
      <c r="G22" s="17"/>
      <c r="H22" s="17"/>
      <c r="I22" s="17"/>
      <c r="J22" s="17"/>
      <c r="K22" s="17"/>
      <c r="L22" s="17"/>
    </row>
    <row r="23" spans="1:12" s="25" customFormat="1" ht="14.25" customHeight="1">
      <c r="A23" s="27" t="s">
        <v>88</v>
      </c>
      <c r="B23" s="26" t="s">
        <v>103</v>
      </c>
      <c r="C23" s="26"/>
      <c r="D23" s="26"/>
      <c r="E23" s="29"/>
      <c r="F23" s="23"/>
      <c r="G23" s="17"/>
      <c r="H23" s="17"/>
      <c r="I23" s="17"/>
      <c r="J23" s="17"/>
      <c r="K23" s="17"/>
      <c r="L23" s="17"/>
    </row>
    <row r="24" spans="1:12" s="25" customFormat="1" ht="14.25" customHeight="1">
      <c r="A24" s="27" t="s">
        <v>88</v>
      </c>
      <c r="B24" s="26" t="s">
        <v>104</v>
      </c>
      <c r="C24" s="30"/>
      <c r="D24" s="30"/>
      <c r="E24" s="30"/>
      <c r="F24" s="30"/>
      <c r="G24" s="17"/>
      <c r="H24" s="17"/>
      <c r="I24" s="17"/>
      <c r="J24" s="17"/>
      <c r="K24" s="17"/>
      <c r="L24" s="17"/>
    </row>
    <row r="25" spans="1:12" s="25" customFormat="1" ht="14.25" customHeight="1">
      <c r="A25" s="27" t="s">
        <v>88</v>
      </c>
      <c r="B25" s="30" t="s">
        <v>105</v>
      </c>
      <c r="C25" s="30"/>
      <c r="D25" s="30"/>
      <c r="E25" s="29"/>
      <c r="F25" s="23"/>
      <c r="G25" s="17"/>
      <c r="H25" s="17"/>
      <c r="I25" s="17"/>
      <c r="J25" s="17"/>
      <c r="K25" s="17"/>
      <c r="L25" s="17"/>
    </row>
    <row r="26" spans="1:12" s="25" customFormat="1" ht="14.25" customHeight="1">
      <c r="A26" s="27" t="s">
        <v>88</v>
      </c>
      <c r="B26" s="243" t="s">
        <v>106</v>
      </c>
      <c r="C26" s="243"/>
      <c r="D26" s="243"/>
      <c r="E26" s="29"/>
      <c r="F26" s="23"/>
      <c r="G26" s="17"/>
      <c r="H26" s="17"/>
      <c r="I26" s="17"/>
      <c r="J26" s="17"/>
      <c r="K26" s="17"/>
      <c r="L26" s="17"/>
    </row>
    <row r="27" spans="1:12" s="25" customFormat="1" ht="14.25" customHeight="1">
      <c r="A27" s="27" t="s">
        <v>88</v>
      </c>
      <c r="B27" s="243" t="s">
        <v>107</v>
      </c>
      <c r="C27" s="243"/>
      <c r="D27" s="243"/>
      <c r="E27" s="29"/>
      <c r="F27" s="23"/>
      <c r="G27" s="17"/>
      <c r="H27" s="17"/>
      <c r="I27" s="17"/>
      <c r="J27" s="17"/>
      <c r="K27" s="17"/>
      <c r="L27" s="17"/>
    </row>
    <row r="28" spans="1:12" s="25" customFormat="1" ht="14.25" customHeight="1">
      <c r="A28" s="27" t="s">
        <v>88</v>
      </c>
      <c r="B28" s="243" t="s">
        <v>108</v>
      </c>
      <c r="C28" s="243"/>
      <c r="D28" s="243"/>
      <c r="E28" s="29"/>
      <c r="F28" s="23"/>
      <c r="G28" s="17"/>
      <c r="H28" s="17"/>
      <c r="I28" s="17"/>
      <c r="J28" s="17"/>
      <c r="K28" s="17"/>
      <c r="L28" s="17"/>
    </row>
    <row r="29" spans="1:12" s="25" customFormat="1" ht="14.25" customHeight="1">
      <c r="A29" s="27" t="s">
        <v>88</v>
      </c>
      <c r="B29" s="30" t="s">
        <v>109</v>
      </c>
      <c r="C29" s="30"/>
      <c r="D29" s="30"/>
      <c r="E29" s="29"/>
      <c r="F29" s="23"/>
      <c r="G29" s="17"/>
      <c r="H29" s="17"/>
      <c r="I29" s="17"/>
      <c r="J29" s="17"/>
      <c r="K29" s="17"/>
      <c r="L29" s="17"/>
    </row>
    <row r="30" spans="1:12" s="25" customFormat="1" ht="36" customHeight="1">
      <c r="A30" s="243" t="s">
        <v>110</v>
      </c>
      <c r="B30" s="243"/>
      <c r="C30" s="243"/>
      <c r="D30" s="243"/>
      <c r="E30" s="243"/>
      <c r="F30" s="243"/>
      <c r="G30" s="17"/>
      <c r="H30" s="17"/>
      <c r="I30" s="17"/>
      <c r="J30" s="17"/>
      <c r="K30" s="17"/>
      <c r="L30" s="17"/>
    </row>
    <row r="31" spans="1:12" s="25" customFormat="1" ht="60.75" customHeight="1">
      <c r="A31" s="243" t="s">
        <v>111</v>
      </c>
      <c r="B31" s="243"/>
      <c r="C31" s="243"/>
      <c r="D31" s="243"/>
      <c r="E31" s="243"/>
      <c r="F31" s="243"/>
      <c r="G31" s="17"/>
      <c r="H31" s="17"/>
      <c r="I31" s="17"/>
      <c r="J31" s="17"/>
      <c r="K31" s="17"/>
      <c r="L31" s="17"/>
    </row>
    <row r="32" spans="1:12" s="25" customFormat="1" ht="18" customHeight="1">
      <c r="A32" s="243" t="s">
        <v>112</v>
      </c>
      <c r="B32" s="243"/>
      <c r="C32" s="243"/>
      <c r="D32" s="243"/>
      <c r="E32" s="243"/>
      <c r="F32" s="243"/>
      <c r="G32" s="17"/>
      <c r="H32" s="17"/>
      <c r="I32" s="17"/>
      <c r="J32" s="17"/>
      <c r="K32" s="17"/>
      <c r="L32" s="17"/>
    </row>
    <row r="33" spans="1:14" ht="12.75">
      <c r="A33" s="24"/>
      <c r="B33" s="24"/>
      <c r="C33" s="24"/>
      <c r="D33" s="24"/>
      <c r="E33" s="24"/>
      <c r="F33" s="24"/>
      <c r="G33" s="17"/>
      <c r="H33" s="17"/>
      <c r="I33" s="17"/>
      <c r="J33" s="17"/>
      <c r="K33" s="17"/>
      <c r="L33" s="17"/>
      <c r="M33" s="25"/>
      <c r="N33" s="25"/>
    </row>
    <row r="34" spans="1:14" ht="12.75">
      <c r="A34" s="245" t="s">
        <v>707</v>
      </c>
      <c r="B34" s="246"/>
      <c r="C34" s="246"/>
      <c r="D34" s="246"/>
      <c r="E34" s="246"/>
      <c r="F34" s="246"/>
      <c r="G34" s="17"/>
      <c r="H34" s="17"/>
      <c r="I34" s="17"/>
      <c r="J34" s="17"/>
      <c r="K34" s="17"/>
      <c r="L34" s="17"/>
      <c r="M34" s="25"/>
      <c r="N34" s="25"/>
    </row>
    <row r="35" spans="1:14" s="32" customFormat="1">
      <c r="A35" s="19" t="s">
        <v>3</v>
      </c>
      <c r="B35" s="19"/>
      <c r="C35" s="31"/>
      <c r="D35" s="31"/>
      <c r="E35" s="31"/>
      <c r="F35" s="31"/>
    </row>
    <row r="36" spans="1:14" ht="12.75">
      <c r="A36" s="24"/>
      <c r="B36" s="24"/>
      <c r="C36" s="24"/>
      <c r="D36" s="24"/>
      <c r="E36" s="24"/>
      <c r="F36" s="24"/>
      <c r="I36" s="25"/>
      <c r="J36" s="25"/>
      <c r="K36" s="25"/>
      <c r="L36" s="25"/>
      <c r="M36" s="25"/>
      <c r="N36" s="25"/>
    </row>
    <row r="37" spans="1:14" ht="49.5" customHeight="1">
      <c r="A37" s="243" t="s">
        <v>495</v>
      </c>
      <c r="B37" s="243"/>
      <c r="C37" s="243"/>
      <c r="D37" s="243"/>
      <c r="E37" s="243"/>
      <c r="F37" s="243"/>
      <c r="G37" s="17"/>
      <c r="H37" s="17"/>
      <c r="I37" s="17"/>
      <c r="J37" s="17"/>
      <c r="K37" s="17"/>
      <c r="L37" s="17"/>
      <c r="M37" s="25"/>
      <c r="N37" s="25"/>
    </row>
    <row r="38" spans="1:14" s="34" customFormat="1" ht="36.75" customHeight="1">
      <c r="A38" s="243" t="s">
        <v>113</v>
      </c>
      <c r="B38" s="243"/>
      <c r="C38" s="243"/>
      <c r="D38" s="243"/>
      <c r="E38" s="243"/>
      <c r="F38" s="243"/>
      <c r="G38" s="33"/>
    </row>
    <row r="39" spans="1:14" ht="51.75" customHeight="1">
      <c r="A39" s="243" t="s">
        <v>475</v>
      </c>
      <c r="B39" s="243"/>
      <c r="C39" s="243"/>
      <c r="D39" s="243"/>
      <c r="E39" s="243"/>
      <c r="F39" s="243"/>
      <c r="G39" s="17"/>
      <c r="H39" s="17"/>
      <c r="I39" s="17"/>
      <c r="J39" s="17"/>
      <c r="K39" s="17"/>
      <c r="L39" s="17"/>
      <c r="M39" s="25"/>
      <c r="N39" s="25"/>
    </row>
    <row r="40" spans="1:14" ht="35.25" customHeight="1">
      <c r="A40" s="243" t="s">
        <v>114</v>
      </c>
      <c r="B40" s="243"/>
      <c r="C40" s="243"/>
      <c r="D40" s="243"/>
      <c r="E40" s="243"/>
      <c r="F40" s="243"/>
      <c r="G40" s="17"/>
      <c r="H40" s="17"/>
      <c r="I40" s="17"/>
      <c r="J40" s="17"/>
      <c r="K40" s="17"/>
      <c r="L40" s="17"/>
      <c r="M40" s="25"/>
      <c r="N40" s="25"/>
    </row>
    <row r="41" spans="1:14" ht="37.5" customHeight="1">
      <c r="A41" s="243" t="s">
        <v>115</v>
      </c>
      <c r="B41" s="243"/>
      <c r="C41" s="243"/>
      <c r="D41" s="243"/>
      <c r="E41" s="243"/>
      <c r="F41" s="243"/>
      <c r="G41" s="17"/>
      <c r="H41" s="17"/>
      <c r="I41" s="17"/>
      <c r="J41" s="17"/>
      <c r="K41" s="17"/>
      <c r="L41" s="17"/>
      <c r="M41" s="25"/>
      <c r="N41" s="25"/>
    </row>
    <row r="42" spans="1:14" ht="33" customHeight="1">
      <c r="A42" s="243" t="s">
        <v>476</v>
      </c>
      <c r="B42" s="243"/>
      <c r="C42" s="243"/>
      <c r="D42" s="243"/>
      <c r="E42" s="243"/>
      <c r="F42" s="243"/>
      <c r="G42" s="17"/>
      <c r="H42" s="17"/>
      <c r="I42" s="17"/>
      <c r="J42" s="17"/>
      <c r="K42" s="17"/>
      <c r="L42" s="17"/>
      <c r="M42" s="25"/>
      <c r="N42" s="25"/>
    </row>
    <row r="43" spans="1:14" ht="29.25" customHeight="1">
      <c r="A43" s="243" t="s">
        <v>116</v>
      </c>
      <c r="B43" s="243"/>
      <c r="C43" s="243"/>
      <c r="D43" s="243"/>
      <c r="E43" s="243"/>
      <c r="F43" s="243"/>
      <c r="G43" s="17"/>
      <c r="H43" s="17"/>
      <c r="I43" s="17"/>
      <c r="J43" s="17"/>
      <c r="K43" s="17"/>
      <c r="L43" s="17"/>
      <c r="M43" s="25"/>
      <c r="N43" s="25"/>
    </row>
    <row r="44" spans="1:14" ht="24.75" customHeight="1">
      <c r="A44" s="243" t="s">
        <v>117</v>
      </c>
      <c r="B44" s="243"/>
      <c r="C44" s="243"/>
      <c r="D44" s="243"/>
      <c r="E44" s="243"/>
      <c r="F44" s="243"/>
      <c r="G44" s="17"/>
      <c r="H44" s="17"/>
      <c r="I44" s="17"/>
      <c r="J44" s="17"/>
      <c r="K44" s="17"/>
      <c r="L44" s="17"/>
      <c r="M44" s="25"/>
      <c r="N44" s="25"/>
    </row>
    <row r="45" spans="1:14" ht="35.25" customHeight="1">
      <c r="A45" s="243" t="s">
        <v>118</v>
      </c>
      <c r="B45" s="243"/>
      <c r="C45" s="243"/>
      <c r="D45" s="243"/>
      <c r="E45" s="243"/>
      <c r="F45" s="243"/>
      <c r="I45" s="25"/>
      <c r="J45" s="25"/>
      <c r="K45" s="25"/>
      <c r="L45" s="25"/>
      <c r="M45" s="25"/>
      <c r="N45" s="25"/>
    </row>
    <row r="46" spans="1:14" ht="20.25" customHeight="1">
      <c r="A46" s="26"/>
      <c r="B46" s="26"/>
      <c r="C46" s="26"/>
      <c r="D46" s="26"/>
      <c r="E46" s="26"/>
      <c r="F46" s="26"/>
      <c r="I46" s="25"/>
      <c r="J46" s="25"/>
      <c r="K46" s="25"/>
      <c r="L46" s="25"/>
      <c r="M46" s="25"/>
      <c r="N46" s="25"/>
    </row>
    <row r="47" spans="1:14" ht="12.75">
      <c r="A47" s="35"/>
      <c r="B47" s="36"/>
      <c r="C47" s="35"/>
      <c r="D47" s="37"/>
      <c r="E47" s="37"/>
      <c r="F47" s="37"/>
      <c r="I47" s="25"/>
      <c r="J47" s="25"/>
      <c r="K47" s="25"/>
      <c r="L47" s="25"/>
      <c r="M47" s="25"/>
      <c r="N47" s="25"/>
    </row>
    <row r="48" spans="1:14" s="32" customFormat="1">
      <c r="A48" s="19" t="s">
        <v>4</v>
      </c>
      <c r="B48" s="19"/>
      <c r="C48" s="31"/>
      <c r="D48" s="31"/>
      <c r="E48" s="31"/>
      <c r="F48" s="31"/>
    </row>
    <row r="49" spans="1:7" s="34" customFormat="1" ht="15">
      <c r="A49" s="38"/>
      <c r="B49" s="39"/>
      <c r="C49" s="26"/>
      <c r="D49" s="40"/>
      <c r="E49" s="41"/>
      <c r="F49" s="41"/>
      <c r="G49" s="33"/>
    </row>
    <row r="50" spans="1:7" s="34" customFormat="1" ht="44.25" customHeight="1">
      <c r="A50" s="243" t="s">
        <v>119</v>
      </c>
      <c r="B50" s="243"/>
      <c r="C50" s="243"/>
      <c r="D50" s="243"/>
      <c r="E50" s="243"/>
      <c r="F50" s="243"/>
      <c r="G50" s="33"/>
    </row>
    <row r="51" spans="1:7" s="34" customFormat="1" ht="33" customHeight="1">
      <c r="A51" s="243" t="s">
        <v>113</v>
      </c>
      <c r="B51" s="243"/>
      <c r="C51" s="243"/>
      <c r="D51" s="243"/>
      <c r="E51" s="243"/>
      <c r="F51" s="243"/>
      <c r="G51" s="33"/>
    </row>
    <row r="52" spans="1:7" s="34" customFormat="1" ht="28.5" customHeight="1">
      <c r="A52" s="243" t="s">
        <v>60</v>
      </c>
      <c r="B52" s="243"/>
      <c r="C52" s="243"/>
      <c r="D52" s="243"/>
      <c r="E52" s="243"/>
      <c r="F52" s="243"/>
      <c r="G52" s="33"/>
    </row>
    <row r="53" spans="1:7" s="34" customFormat="1" ht="47.25" customHeight="1">
      <c r="A53" s="243" t="s">
        <v>120</v>
      </c>
      <c r="B53" s="243"/>
      <c r="C53" s="243"/>
      <c r="D53" s="243"/>
      <c r="E53" s="243"/>
      <c r="F53" s="243"/>
      <c r="G53" s="33"/>
    </row>
    <row r="54" spans="1:7" s="34" customFormat="1" ht="34.5" customHeight="1">
      <c r="A54" s="243" t="s">
        <v>70</v>
      </c>
      <c r="B54" s="243"/>
      <c r="C54" s="243"/>
      <c r="D54" s="243"/>
      <c r="E54" s="243"/>
      <c r="F54" s="243"/>
      <c r="G54" s="33"/>
    </row>
    <row r="55" spans="1:7" s="34" customFormat="1" ht="62.25" customHeight="1">
      <c r="A55" s="243" t="s">
        <v>477</v>
      </c>
      <c r="B55" s="243"/>
      <c r="C55" s="243"/>
      <c r="D55" s="243"/>
      <c r="E55" s="243"/>
      <c r="F55" s="243"/>
      <c r="G55" s="33"/>
    </row>
    <row r="56" spans="1:7" s="34" customFormat="1" ht="32.25" customHeight="1">
      <c r="A56" s="243" t="s">
        <v>668</v>
      </c>
      <c r="B56" s="243"/>
      <c r="C56" s="243"/>
      <c r="D56" s="243"/>
      <c r="E56" s="243"/>
      <c r="F56" s="243"/>
      <c r="G56" s="33"/>
    </row>
    <row r="57" spans="1:7" s="34" customFormat="1" ht="40.5" customHeight="1">
      <c r="A57" s="243" t="s">
        <v>71</v>
      </c>
      <c r="B57" s="243"/>
      <c r="C57" s="243"/>
      <c r="D57" s="243"/>
      <c r="E57" s="243"/>
      <c r="F57" s="243"/>
      <c r="G57" s="33"/>
    </row>
    <row r="58" spans="1:7" s="34" customFormat="1" ht="15.75" customHeight="1">
      <c r="A58" s="243" t="s">
        <v>72</v>
      </c>
      <c r="B58" s="243"/>
      <c r="C58" s="243"/>
      <c r="D58" s="243"/>
      <c r="E58" s="243"/>
      <c r="F58" s="243"/>
      <c r="G58" s="33"/>
    </row>
    <row r="59" spans="1:7" s="34" customFormat="1" ht="65.25" customHeight="1">
      <c r="A59" s="243" t="s">
        <v>73</v>
      </c>
      <c r="B59" s="243"/>
      <c r="C59" s="243"/>
      <c r="D59" s="243"/>
      <c r="E59" s="243"/>
      <c r="F59" s="243"/>
      <c r="G59" s="33"/>
    </row>
    <row r="60" spans="1:7" s="34" customFormat="1" ht="15.75" customHeight="1">
      <c r="A60" s="42" t="s">
        <v>64</v>
      </c>
      <c r="B60" s="43"/>
      <c r="C60" s="43"/>
      <c r="D60" s="26"/>
      <c r="E60" s="26"/>
      <c r="F60" s="26"/>
      <c r="G60" s="33"/>
    </row>
    <row r="61" spans="1:7" s="34" customFormat="1" ht="51.75" customHeight="1">
      <c r="A61" s="243" t="s">
        <v>57</v>
      </c>
      <c r="B61" s="243"/>
      <c r="C61" s="243"/>
      <c r="D61" s="243"/>
      <c r="E61" s="243"/>
      <c r="F61" s="243"/>
      <c r="G61" s="33"/>
    </row>
    <row r="62" spans="1:7" s="34" customFormat="1" ht="81" customHeight="1">
      <c r="A62" s="243" t="s">
        <v>56</v>
      </c>
      <c r="B62" s="243"/>
      <c r="C62" s="243"/>
      <c r="D62" s="243"/>
      <c r="E62" s="243"/>
      <c r="F62" s="243"/>
      <c r="G62" s="33"/>
    </row>
    <row r="63" spans="1:7" s="34" customFormat="1" ht="13.5" customHeight="1">
      <c r="A63" s="243" t="s">
        <v>58</v>
      </c>
      <c r="B63" s="243"/>
      <c r="C63" s="243"/>
      <c r="D63" s="243"/>
      <c r="E63" s="243"/>
      <c r="F63" s="243"/>
      <c r="G63" s="33"/>
    </row>
    <row r="64" spans="1:7" s="34" customFormat="1" ht="37.5" customHeight="1">
      <c r="A64" s="243" t="s">
        <v>59</v>
      </c>
      <c r="B64" s="243"/>
      <c r="C64" s="243"/>
      <c r="D64" s="243"/>
      <c r="E64" s="243"/>
      <c r="F64" s="243"/>
      <c r="G64" s="33"/>
    </row>
    <row r="65" spans="1:7" s="34" customFormat="1" ht="15.75" customHeight="1">
      <c r="A65" s="42" t="s">
        <v>13</v>
      </c>
      <c r="B65" s="43"/>
      <c r="C65" s="43"/>
      <c r="D65" s="26"/>
      <c r="E65" s="26"/>
      <c r="F65" s="26"/>
      <c r="G65" s="33"/>
    </row>
    <row r="66" spans="1:7" s="34" customFormat="1" ht="34.5" customHeight="1">
      <c r="A66" s="243" t="s">
        <v>496</v>
      </c>
      <c r="B66" s="243"/>
      <c r="C66" s="243"/>
      <c r="D66" s="243"/>
      <c r="E66" s="243"/>
      <c r="F66" s="243"/>
      <c r="G66" s="33"/>
    </row>
    <row r="67" spans="1:7" s="34" customFormat="1" ht="48.75" customHeight="1">
      <c r="A67" s="243" t="s">
        <v>497</v>
      </c>
      <c r="B67" s="243"/>
      <c r="C67" s="243"/>
      <c r="D67" s="243"/>
      <c r="E67" s="243"/>
      <c r="F67" s="243"/>
      <c r="G67" s="33"/>
    </row>
    <row r="68" spans="1:7" s="34" customFormat="1" ht="30.75" customHeight="1">
      <c r="A68" s="243" t="s">
        <v>498</v>
      </c>
      <c r="B68" s="243"/>
      <c r="C68" s="243"/>
      <c r="D68" s="243"/>
      <c r="E68" s="243"/>
      <c r="F68" s="243"/>
      <c r="G68" s="33"/>
    </row>
    <row r="69" spans="1:7" s="34" customFormat="1" ht="50.25" customHeight="1">
      <c r="A69" s="243" t="s">
        <v>61</v>
      </c>
      <c r="B69" s="243"/>
      <c r="C69" s="243"/>
      <c r="D69" s="243"/>
      <c r="E69" s="243"/>
      <c r="F69" s="243"/>
      <c r="G69" s="33"/>
    </row>
    <row r="70" spans="1:7" s="34" customFormat="1" ht="75.75" customHeight="1">
      <c r="A70" s="243" t="s">
        <v>669</v>
      </c>
      <c r="B70" s="243"/>
      <c r="C70" s="243"/>
      <c r="D70" s="243"/>
      <c r="E70" s="243"/>
      <c r="F70" s="243"/>
      <c r="G70" s="33"/>
    </row>
    <row r="71" spans="1:7" s="34" customFormat="1" ht="48.75" customHeight="1">
      <c r="A71" s="243" t="s">
        <v>499</v>
      </c>
      <c r="B71" s="243"/>
      <c r="C71" s="243"/>
      <c r="D71" s="243"/>
      <c r="E71" s="243"/>
      <c r="F71" s="243"/>
      <c r="G71" s="33"/>
    </row>
    <row r="72" spans="1:7" s="34" customFormat="1" ht="30" customHeight="1">
      <c r="A72" s="243" t="s">
        <v>62</v>
      </c>
      <c r="B72" s="243"/>
      <c r="C72" s="243"/>
      <c r="D72" s="243"/>
      <c r="E72" s="243"/>
      <c r="F72" s="243"/>
      <c r="G72" s="33"/>
    </row>
    <row r="73" spans="1:7" s="34" customFormat="1" ht="29.25" customHeight="1">
      <c r="A73" s="243" t="s">
        <v>80</v>
      </c>
      <c r="B73" s="243"/>
      <c r="C73" s="243"/>
      <c r="D73" s="243"/>
      <c r="E73" s="243"/>
      <c r="F73" s="243"/>
      <c r="G73" s="33"/>
    </row>
    <row r="74" spans="1:7" s="34" customFormat="1" ht="15.75" customHeight="1">
      <c r="A74" s="42" t="s">
        <v>14</v>
      </c>
      <c r="B74" s="43"/>
      <c r="C74" s="43"/>
      <c r="D74" s="26"/>
      <c r="E74" s="26"/>
      <c r="F74" s="26"/>
      <c r="G74" s="33"/>
    </row>
    <row r="75" spans="1:7" s="34" customFormat="1" ht="66" customHeight="1">
      <c r="A75" s="243" t="s">
        <v>500</v>
      </c>
      <c r="B75" s="243"/>
      <c r="C75" s="243"/>
      <c r="D75" s="243"/>
      <c r="E75" s="243"/>
      <c r="F75" s="243"/>
      <c r="G75" s="33"/>
    </row>
    <row r="76" spans="1:7" s="34" customFormat="1" ht="39.75" customHeight="1">
      <c r="A76" s="243" t="s">
        <v>63</v>
      </c>
      <c r="B76" s="243"/>
      <c r="C76" s="243"/>
      <c r="D76" s="243"/>
      <c r="E76" s="243"/>
      <c r="F76" s="243"/>
      <c r="G76" s="33"/>
    </row>
    <row r="77" spans="1:7" s="34" customFormat="1" ht="91.5" customHeight="1">
      <c r="A77" s="243" t="s">
        <v>65</v>
      </c>
      <c r="B77" s="243"/>
      <c r="C77" s="243"/>
      <c r="D77" s="243"/>
      <c r="E77" s="243"/>
      <c r="F77" s="243"/>
      <c r="G77" s="33"/>
    </row>
    <row r="78" spans="1:7" s="34" customFormat="1" ht="35.25" customHeight="1">
      <c r="A78" s="243" t="s">
        <v>501</v>
      </c>
      <c r="B78" s="243"/>
      <c r="C78" s="243"/>
      <c r="D78" s="243"/>
      <c r="E78" s="243"/>
      <c r="F78" s="243"/>
      <c r="G78" s="33"/>
    </row>
    <row r="79" spans="1:7" s="34" customFormat="1" ht="15.75" customHeight="1">
      <c r="A79" s="42" t="s">
        <v>10</v>
      </c>
      <c r="B79" s="43"/>
      <c r="C79" s="43"/>
      <c r="D79" s="26"/>
      <c r="E79" s="26"/>
      <c r="F79" s="26"/>
      <c r="G79" s="33"/>
    </row>
    <row r="80" spans="1:7" s="34" customFormat="1" ht="44.25" customHeight="1">
      <c r="A80" s="243" t="s">
        <v>503</v>
      </c>
      <c r="B80" s="243"/>
      <c r="C80" s="243"/>
      <c r="D80" s="243"/>
      <c r="E80" s="243"/>
      <c r="F80" s="243"/>
      <c r="G80" s="33"/>
    </row>
    <row r="81" spans="1:14" s="34" customFormat="1" ht="15.75" customHeight="1">
      <c r="A81" s="42" t="s">
        <v>11</v>
      </c>
      <c r="B81" s="43"/>
      <c r="C81" s="43"/>
      <c r="D81" s="26"/>
      <c r="E81" s="26"/>
      <c r="F81" s="26"/>
      <c r="G81" s="33"/>
    </row>
    <row r="82" spans="1:14" s="34" customFormat="1" ht="45" customHeight="1">
      <c r="A82" s="243" t="s">
        <v>502</v>
      </c>
      <c r="B82" s="243"/>
      <c r="C82" s="243"/>
      <c r="D82" s="243"/>
      <c r="E82" s="243"/>
      <c r="F82" s="243"/>
      <c r="G82" s="33"/>
    </row>
    <row r="83" spans="1:14" s="34" customFormat="1" ht="15.75" customHeight="1">
      <c r="A83" s="42" t="s">
        <v>66</v>
      </c>
      <c r="B83" s="43"/>
      <c r="C83" s="43"/>
      <c r="D83" s="26"/>
      <c r="E83" s="26"/>
      <c r="F83" s="26"/>
      <c r="G83" s="33"/>
    </row>
    <row r="84" spans="1:14" s="34" customFormat="1" ht="60" customHeight="1">
      <c r="A84" s="243" t="s">
        <v>504</v>
      </c>
      <c r="B84" s="243"/>
      <c r="C84" s="243"/>
      <c r="D84" s="243"/>
      <c r="E84" s="243"/>
      <c r="F84" s="243"/>
      <c r="G84" s="33"/>
    </row>
    <row r="85" spans="1:14" s="34" customFormat="1" ht="41.25" customHeight="1">
      <c r="A85" s="243" t="s">
        <v>505</v>
      </c>
      <c r="B85" s="243"/>
      <c r="C85" s="243"/>
      <c r="D85" s="243"/>
      <c r="E85" s="243"/>
      <c r="F85" s="243"/>
      <c r="G85" s="33"/>
    </row>
    <row r="86" spans="1:14" s="34" customFormat="1" ht="15.75" customHeight="1">
      <c r="A86" s="42" t="s">
        <v>67</v>
      </c>
      <c r="B86" s="43"/>
      <c r="C86" s="43"/>
      <c r="D86" s="26"/>
      <c r="E86" s="26"/>
      <c r="F86" s="26"/>
      <c r="G86" s="33"/>
    </row>
    <row r="87" spans="1:14" s="34" customFormat="1" ht="45.6" customHeight="1">
      <c r="A87" s="243" t="s">
        <v>506</v>
      </c>
      <c r="B87" s="243"/>
      <c r="C87" s="243"/>
      <c r="D87" s="243"/>
      <c r="E87" s="243"/>
      <c r="F87" s="243"/>
      <c r="G87" s="33"/>
    </row>
    <row r="88" spans="1:14" s="34" customFormat="1" ht="15.75" customHeight="1">
      <c r="A88" s="42" t="s">
        <v>68</v>
      </c>
      <c r="B88" s="43"/>
      <c r="C88" s="43"/>
      <c r="D88" s="26"/>
      <c r="E88" s="26"/>
      <c r="F88" s="26"/>
      <c r="G88" s="33"/>
    </row>
    <row r="89" spans="1:14" s="34" customFormat="1" ht="48.75" customHeight="1">
      <c r="A89" s="243" t="s">
        <v>507</v>
      </c>
      <c r="B89" s="243"/>
      <c r="C89" s="243"/>
      <c r="D89" s="243"/>
      <c r="E89" s="243"/>
      <c r="F89" s="243"/>
      <c r="G89" s="33"/>
    </row>
    <row r="90" spans="1:14" s="34" customFormat="1" ht="95.25" customHeight="1">
      <c r="A90" s="243" t="s">
        <v>508</v>
      </c>
      <c r="B90" s="243"/>
      <c r="C90" s="243"/>
      <c r="D90" s="243"/>
      <c r="E90" s="243"/>
      <c r="F90" s="243"/>
      <c r="G90" s="33"/>
    </row>
    <row r="91" spans="1:14" s="34" customFormat="1" ht="58.5" customHeight="1">
      <c r="A91" s="243" t="s">
        <v>74</v>
      </c>
      <c r="B91" s="243"/>
      <c r="C91" s="243"/>
      <c r="D91" s="243"/>
      <c r="E91" s="243"/>
      <c r="F91" s="243"/>
      <c r="G91" s="33"/>
    </row>
    <row r="92" spans="1:14" s="34" customFormat="1" ht="27" customHeight="1">
      <c r="A92" s="243" t="s">
        <v>118</v>
      </c>
      <c r="B92" s="243"/>
      <c r="C92" s="243"/>
      <c r="D92" s="243"/>
      <c r="E92" s="243"/>
      <c r="F92" s="243"/>
      <c r="G92" s="33"/>
    </row>
    <row r="93" spans="1:14" s="34" customFormat="1" ht="23.25" customHeight="1">
      <c r="A93" s="26"/>
      <c r="B93" s="26"/>
      <c r="C93" s="26"/>
      <c r="D93" s="26"/>
      <c r="E93" s="26"/>
      <c r="F93" s="26"/>
      <c r="G93" s="33"/>
    </row>
    <row r="94" spans="1:14" ht="17.25" customHeight="1">
      <c r="A94" s="29"/>
      <c r="B94" s="44"/>
      <c r="C94" s="29"/>
      <c r="D94" s="45"/>
      <c r="E94" s="45"/>
      <c r="F94" s="45"/>
      <c r="I94" s="25"/>
      <c r="J94" s="25"/>
      <c r="K94" s="25"/>
      <c r="L94" s="25"/>
      <c r="M94" s="25"/>
      <c r="N94" s="25"/>
    </row>
    <row r="95" spans="1:14" ht="15">
      <c r="A95" s="46" t="s">
        <v>121</v>
      </c>
      <c r="B95" s="47"/>
      <c r="C95" s="48"/>
      <c r="D95" s="48"/>
      <c r="E95" s="48"/>
      <c r="F95" s="49"/>
      <c r="I95" s="25"/>
      <c r="J95" s="25"/>
      <c r="K95" s="25"/>
      <c r="L95" s="25"/>
      <c r="M95" s="25"/>
      <c r="N95" s="25"/>
    </row>
    <row r="96" spans="1:14" ht="14.25">
      <c r="A96" s="23"/>
      <c r="B96" s="23"/>
      <c r="C96" s="23"/>
      <c r="D96" s="23"/>
      <c r="E96" s="23"/>
      <c r="F96" s="45"/>
      <c r="I96" s="25"/>
      <c r="J96" s="25"/>
      <c r="K96" s="25"/>
      <c r="L96" s="25"/>
      <c r="M96" s="25"/>
      <c r="N96" s="25"/>
    </row>
    <row r="97" spans="1:14" s="34" customFormat="1" ht="51.75" customHeight="1">
      <c r="A97" s="243" t="s">
        <v>122</v>
      </c>
      <c r="B97" s="243"/>
      <c r="C97" s="243"/>
      <c r="D97" s="243"/>
      <c r="E97" s="243"/>
      <c r="F97" s="243"/>
      <c r="G97" s="33"/>
    </row>
    <row r="98" spans="1:14" s="34" customFormat="1" ht="33" customHeight="1">
      <c r="A98" s="243" t="s">
        <v>113</v>
      </c>
      <c r="B98" s="243"/>
      <c r="C98" s="243"/>
      <c r="D98" s="243"/>
      <c r="E98" s="243"/>
      <c r="F98" s="243"/>
      <c r="G98" s="33"/>
    </row>
    <row r="99" spans="1:14" s="34" customFormat="1" ht="30.6" customHeight="1">
      <c r="A99" s="244" t="s">
        <v>478</v>
      </c>
      <c r="B99" s="244"/>
      <c r="C99" s="244"/>
      <c r="D99" s="244"/>
      <c r="E99" s="50"/>
      <c r="F99" s="51" t="s">
        <v>479</v>
      </c>
      <c r="G99" s="33"/>
    </row>
    <row r="100" spans="1:14" ht="14.25">
      <c r="A100" s="27" t="s">
        <v>88</v>
      </c>
      <c r="B100" s="52" t="s">
        <v>124</v>
      </c>
      <c r="C100" s="23"/>
      <c r="D100" s="23"/>
      <c r="E100" s="52" t="s">
        <v>125</v>
      </c>
      <c r="F100" s="53"/>
      <c r="I100" s="25"/>
      <c r="J100" s="25"/>
      <c r="K100" s="25"/>
      <c r="L100" s="25"/>
      <c r="M100" s="25"/>
      <c r="N100" s="25"/>
    </row>
    <row r="101" spans="1:14" ht="14.25">
      <c r="A101" s="27" t="s">
        <v>88</v>
      </c>
      <c r="B101" s="52" t="s">
        <v>126</v>
      </c>
      <c r="C101" s="23"/>
      <c r="D101" s="23"/>
      <c r="E101" s="52" t="s">
        <v>127</v>
      </c>
      <c r="F101" s="53"/>
      <c r="I101" s="25"/>
      <c r="J101" s="25"/>
      <c r="K101" s="25"/>
      <c r="L101" s="25"/>
      <c r="M101" s="25"/>
      <c r="N101" s="25"/>
    </row>
    <row r="102" spans="1:14" ht="14.25">
      <c r="A102" s="27" t="s">
        <v>88</v>
      </c>
      <c r="B102" s="52" t="s">
        <v>128</v>
      </c>
      <c r="C102" s="23"/>
      <c r="D102" s="23"/>
      <c r="E102" s="52" t="s">
        <v>129</v>
      </c>
      <c r="F102" s="53"/>
      <c r="I102" s="25"/>
      <c r="J102" s="25"/>
      <c r="K102" s="25"/>
      <c r="L102" s="25"/>
      <c r="M102" s="25"/>
      <c r="N102" s="25"/>
    </row>
    <row r="103" spans="1:14" ht="15" customHeight="1">
      <c r="A103" s="27" t="s">
        <v>88</v>
      </c>
      <c r="B103" s="244" t="s">
        <v>130</v>
      </c>
      <c r="C103" s="244"/>
      <c r="D103" s="244"/>
      <c r="E103" s="52" t="s">
        <v>131</v>
      </c>
      <c r="F103" s="53"/>
      <c r="I103" s="25"/>
      <c r="J103" s="25"/>
      <c r="K103" s="25"/>
      <c r="L103" s="25"/>
      <c r="M103" s="25"/>
      <c r="N103" s="25"/>
    </row>
    <row r="104" spans="1:14" ht="14.25">
      <c r="A104" s="27" t="s">
        <v>88</v>
      </c>
      <c r="B104" s="52" t="s">
        <v>132</v>
      </c>
      <c r="C104" s="23"/>
      <c r="D104" s="23"/>
      <c r="E104" s="52" t="s">
        <v>133</v>
      </c>
      <c r="F104" s="53"/>
      <c r="I104" s="25"/>
      <c r="J104" s="25"/>
      <c r="K104" s="25"/>
      <c r="L104" s="25"/>
      <c r="M104" s="25"/>
      <c r="N104" s="25"/>
    </row>
    <row r="105" spans="1:14" ht="14.25">
      <c r="A105" s="27" t="s">
        <v>88</v>
      </c>
      <c r="B105" s="52" t="s">
        <v>134</v>
      </c>
      <c r="C105" s="23"/>
      <c r="D105" s="23"/>
      <c r="E105" s="52" t="s">
        <v>135</v>
      </c>
      <c r="F105" s="53"/>
      <c r="I105" s="25"/>
      <c r="J105" s="25"/>
      <c r="K105" s="25"/>
      <c r="L105" s="25"/>
      <c r="M105" s="25"/>
      <c r="N105" s="25"/>
    </row>
    <row r="106" spans="1:14" ht="14.25">
      <c r="A106" s="27" t="s">
        <v>88</v>
      </c>
      <c r="B106" s="52" t="s">
        <v>136</v>
      </c>
      <c r="C106" s="23"/>
      <c r="D106" s="23"/>
      <c r="E106" s="52" t="s">
        <v>137</v>
      </c>
      <c r="F106" s="53"/>
      <c r="I106" s="25"/>
      <c r="J106" s="25"/>
      <c r="K106" s="25"/>
      <c r="L106" s="25"/>
      <c r="M106" s="25"/>
      <c r="N106" s="25"/>
    </row>
    <row r="107" spans="1:14" ht="14.25">
      <c r="A107" s="27" t="s">
        <v>88</v>
      </c>
      <c r="B107" s="52" t="s">
        <v>138</v>
      </c>
      <c r="C107" s="23"/>
      <c r="D107" s="23"/>
      <c r="E107" s="52" t="s">
        <v>139</v>
      </c>
      <c r="F107" s="53"/>
      <c r="I107" s="25"/>
      <c r="J107" s="25"/>
      <c r="K107" s="25"/>
      <c r="L107" s="25"/>
      <c r="M107" s="25"/>
      <c r="N107" s="25"/>
    </row>
    <row r="108" spans="1:14" ht="14.25">
      <c r="A108" s="27" t="s">
        <v>88</v>
      </c>
      <c r="B108" s="52" t="s">
        <v>140</v>
      </c>
      <c r="C108" s="23"/>
      <c r="D108" s="23"/>
      <c r="E108" s="52" t="s">
        <v>141</v>
      </c>
      <c r="F108" s="53"/>
      <c r="I108" s="25"/>
      <c r="J108" s="25"/>
      <c r="K108" s="25"/>
      <c r="L108" s="25"/>
      <c r="M108" s="25"/>
      <c r="N108" s="25"/>
    </row>
    <row r="109" spans="1:14" ht="14.25">
      <c r="A109" s="27" t="s">
        <v>88</v>
      </c>
      <c r="B109" s="52" t="s">
        <v>142</v>
      </c>
      <c r="C109" s="23"/>
      <c r="D109" s="23"/>
      <c r="E109" s="52" t="s">
        <v>143</v>
      </c>
      <c r="F109" s="53"/>
      <c r="I109" s="25"/>
      <c r="J109" s="25"/>
      <c r="K109" s="25"/>
      <c r="L109" s="25"/>
      <c r="M109" s="25"/>
      <c r="N109" s="25"/>
    </row>
    <row r="110" spans="1:14" ht="14.25">
      <c r="A110" s="27" t="s">
        <v>88</v>
      </c>
      <c r="B110" s="52" t="s">
        <v>144</v>
      </c>
      <c r="C110" s="23"/>
      <c r="D110" s="23"/>
      <c r="E110" s="52" t="s">
        <v>145</v>
      </c>
      <c r="F110" s="53"/>
      <c r="I110" s="25"/>
      <c r="J110" s="25"/>
      <c r="K110" s="25"/>
      <c r="L110" s="25"/>
      <c r="M110" s="25"/>
      <c r="N110" s="25"/>
    </row>
    <row r="111" spans="1:14" ht="14.25">
      <c r="A111" s="27" t="s">
        <v>88</v>
      </c>
      <c r="B111" s="52" t="s">
        <v>482</v>
      </c>
      <c r="C111" s="23"/>
      <c r="D111" s="23"/>
      <c r="E111" s="52" t="s">
        <v>146</v>
      </c>
      <c r="F111" s="53"/>
      <c r="I111" s="25"/>
      <c r="J111" s="25"/>
      <c r="K111" s="25"/>
      <c r="L111" s="25"/>
      <c r="M111" s="25"/>
      <c r="N111" s="25"/>
    </row>
    <row r="112" spans="1:14" ht="14.25">
      <c r="A112" s="27" t="s">
        <v>88</v>
      </c>
      <c r="B112" s="52" t="s">
        <v>480</v>
      </c>
      <c r="C112" s="23"/>
      <c r="D112" s="23"/>
      <c r="E112" s="52" t="s">
        <v>147</v>
      </c>
      <c r="F112" s="53"/>
      <c r="I112" s="25"/>
      <c r="J112" s="25"/>
      <c r="K112" s="25"/>
      <c r="L112" s="25"/>
      <c r="M112" s="25"/>
      <c r="N112" s="25"/>
    </row>
    <row r="113" spans="1:14" ht="14.25">
      <c r="A113" s="27" t="s">
        <v>88</v>
      </c>
      <c r="B113" s="52" t="s">
        <v>481</v>
      </c>
      <c r="C113" s="23"/>
      <c r="D113" s="23"/>
      <c r="E113" s="52" t="s">
        <v>148</v>
      </c>
      <c r="F113" s="53"/>
      <c r="I113" s="25"/>
      <c r="J113" s="25"/>
      <c r="K113" s="25"/>
      <c r="L113" s="25"/>
      <c r="M113" s="25"/>
      <c r="N113" s="25"/>
    </row>
    <row r="114" spans="1:14" ht="14.25">
      <c r="A114" s="27" t="s">
        <v>88</v>
      </c>
      <c r="B114" s="52" t="s">
        <v>483</v>
      </c>
      <c r="C114" s="23"/>
      <c r="D114" s="23"/>
      <c r="E114" s="52" t="s">
        <v>149</v>
      </c>
      <c r="F114" s="53"/>
      <c r="I114" s="25"/>
      <c r="J114" s="25"/>
      <c r="K114" s="25"/>
      <c r="L114" s="25"/>
      <c r="M114" s="25"/>
      <c r="N114" s="25"/>
    </row>
    <row r="115" spans="1:14" ht="14.25">
      <c r="A115" s="27" t="s">
        <v>88</v>
      </c>
      <c r="B115" s="52" t="s">
        <v>484</v>
      </c>
      <c r="C115" s="23"/>
      <c r="D115" s="23"/>
      <c r="E115" s="52" t="s">
        <v>150</v>
      </c>
      <c r="F115" s="53"/>
      <c r="I115" s="25"/>
      <c r="J115" s="25"/>
      <c r="K115" s="25"/>
      <c r="L115" s="25"/>
      <c r="M115" s="25"/>
      <c r="N115" s="25"/>
    </row>
    <row r="116" spans="1:14" ht="14.25">
      <c r="A116" s="27" t="s">
        <v>88</v>
      </c>
      <c r="B116" s="52" t="s">
        <v>485</v>
      </c>
      <c r="C116" s="23"/>
      <c r="D116" s="23"/>
      <c r="E116" s="52" t="s">
        <v>151</v>
      </c>
      <c r="F116" s="53"/>
      <c r="I116" s="25"/>
      <c r="J116" s="25"/>
      <c r="K116" s="25"/>
      <c r="L116" s="25"/>
      <c r="M116" s="25"/>
      <c r="N116" s="25"/>
    </row>
    <row r="117" spans="1:14" ht="14.25">
      <c r="A117" s="27" t="s">
        <v>88</v>
      </c>
      <c r="B117" s="52" t="s">
        <v>486</v>
      </c>
      <c r="C117" s="23"/>
      <c r="D117" s="23"/>
      <c r="E117" s="52" t="s">
        <v>152</v>
      </c>
      <c r="F117" s="53"/>
      <c r="I117" s="25"/>
      <c r="J117" s="25"/>
      <c r="K117" s="25"/>
      <c r="L117" s="25"/>
      <c r="M117" s="25"/>
      <c r="N117" s="25"/>
    </row>
    <row r="118" spans="1:14" ht="14.25">
      <c r="A118" s="27" t="s">
        <v>88</v>
      </c>
      <c r="B118" s="52" t="s">
        <v>487</v>
      </c>
      <c r="C118" s="23"/>
      <c r="D118" s="23"/>
      <c r="E118" s="52" t="s">
        <v>153</v>
      </c>
      <c r="F118" s="53"/>
      <c r="I118" s="25"/>
      <c r="J118" s="25"/>
      <c r="K118" s="25"/>
      <c r="L118" s="25"/>
      <c r="M118" s="25"/>
      <c r="N118" s="25"/>
    </row>
    <row r="119" spans="1:14" ht="14.25">
      <c r="A119" s="27" t="s">
        <v>88</v>
      </c>
      <c r="B119" s="52" t="s">
        <v>154</v>
      </c>
      <c r="C119" s="23"/>
      <c r="D119" s="23"/>
      <c r="E119" s="52" t="s">
        <v>155</v>
      </c>
      <c r="F119" s="53"/>
      <c r="I119" s="25"/>
      <c r="J119" s="25"/>
      <c r="K119" s="25"/>
      <c r="L119" s="25"/>
      <c r="M119" s="25"/>
      <c r="N119" s="25"/>
    </row>
    <row r="120" spans="1:14" ht="14.25">
      <c r="A120" s="27" t="s">
        <v>88</v>
      </c>
      <c r="B120" s="52" t="s">
        <v>156</v>
      </c>
      <c r="C120" s="23"/>
      <c r="D120" s="23"/>
      <c r="E120" s="52" t="s">
        <v>157</v>
      </c>
      <c r="F120" s="53"/>
      <c r="I120" s="25"/>
      <c r="J120" s="25"/>
      <c r="K120" s="25"/>
      <c r="L120" s="25"/>
      <c r="M120" s="25"/>
      <c r="N120" s="25"/>
    </row>
    <row r="121" spans="1:14" ht="31.9" customHeight="1">
      <c r="A121" s="27" t="s">
        <v>88</v>
      </c>
      <c r="B121" s="52" t="s">
        <v>158</v>
      </c>
      <c r="C121" s="23"/>
      <c r="D121" s="23"/>
      <c r="E121" s="28" t="s">
        <v>159</v>
      </c>
      <c r="F121" s="54"/>
      <c r="I121" s="25"/>
      <c r="J121" s="25"/>
      <c r="K121" s="25"/>
      <c r="L121" s="25"/>
      <c r="M121" s="25"/>
      <c r="N121" s="25"/>
    </row>
    <row r="122" spans="1:14" ht="14.25">
      <c r="A122" s="27" t="s">
        <v>88</v>
      </c>
      <c r="B122" s="52" t="s">
        <v>160</v>
      </c>
      <c r="C122" s="23"/>
      <c r="D122" s="23"/>
      <c r="E122" s="52" t="s">
        <v>161</v>
      </c>
      <c r="F122" s="53"/>
      <c r="I122" s="25"/>
      <c r="J122" s="25"/>
      <c r="K122" s="25"/>
      <c r="L122" s="25"/>
      <c r="M122" s="25"/>
      <c r="N122" s="25"/>
    </row>
    <row r="123" spans="1:14" ht="32.450000000000003" customHeight="1">
      <c r="A123" s="27" t="s">
        <v>88</v>
      </c>
      <c r="B123" s="52" t="s">
        <v>162</v>
      </c>
      <c r="C123" s="23"/>
      <c r="D123" s="23"/>
      <c r="E123" s="28" t="s">
        <v>163</v>
      </c>
      <c r="F123" s="54"/>
      <c r="I123" s="25"/>
      <c r="J123" s="25"/>
      <c r="K123" s="25"/>
      <c r="L123" s="25"/>
      <c r="M123" s="25"/>
      <c r="N123" s="25"/>
    </row>
    <row r="124" spans="1:14" s="34" customFormat="1" ht="35.25" customHeight="1">
      <c r="A124" s="243" t="s">
        <v>118</v>
      </c>
      <c r="B124" s="243"/>
      <c r="C124" s="243"/>
      <c r="D124" s="243"/>
      <c r="E124" s="243"/>
      <c r="F124" s="243"/>
      <c r="G124" s="33"/>
    </row>
    <row r="125" spans="1:14" ht="15">
      <c r="A125" s="55" t="s">
        <v>164</v>
      </c>
      <c r="B125" s="29"/>
      <c r="C125" s="29"/>
      <c r="D125" s="45"/>
      <c r="E125" s="45"/>
      <c r="F125" s="45"/>
      <c r="I125" s="25"/>
      <c r="J125" s="25"/>
      <c r="K125" s="25"/>
      <c r="L125" s="25"/>
      <c r="M125" s="25"/>
      <c r="N125" s="25"/>
    </row>
    <row r="126" spans="1:14" s="34" customFormat="1" ht="54" customHeight="1">
      <c r="A126" s="243" t="s">
        <v>165</v>
      </c>
      <c r="B126" s="243"/>
      <c r="C126" s="243"/>
      <c r="D126" s="243"/>
      <c r="E126" s="243"/>
      <c r="F126" s="243"/>
      <c r="G126" s="33"/>
    </row>
    <row r="127" spans="1:14" s="34" customFormat="1" ht="29.45" customHeight="1">
      <c r="A127" s="243" t="s">
        <v>113</v>
      </c>
      <c r="B127" s="243"/>
      <c r="C127" s="243"/>
      <c r="D127" s="243"/>
      <c r="E127" s="243"/>
      <c r="F127" s="243"/>
      <c r="G127" s="33"/>
    </row>
    <row r="128" spans="1:14" ht="14.25">
      <c r="A128" s="56" t="s">
        <v>166</v>
      </c>
      <c r="B128" s="29"/>
      <c r="C128" s="29"/>
      <c r="D128" s="45"/>
      <c r="E128" s="45"/>
      <c r="F128" s="45"/>
      <c r="I128" s="25"/>
      <c r="J128" s="25"/>
      <c r="K128" s="25"/>
      <c r="L128" s="25"/>
      <c r="M128" s="25"/>
      <c r="N128" s="25"/>
    </row>
    <row r="129" spans="1:14" s="34" customFormat="1" ht="36" customHeight="1">
      <c r="A129" s="243" t="s">
        <v>489</v>
      </c>
      <c r="B129" s="243"/>
      <c r="C129" s="243"/>
      <c r="D129" s="243"/>
      <c r="E129" s="243"/>
      <c r="F129" s="243"/>
      <c r="G129" s="33"/>
    </row>
    <row r="130" spans="1:14" ht="23.25" customHeight="1">
      <c r="A130" s="243" t="s">
        <v>167</v>
      </c>
      <c r="B130" s="243"/>
      <c r="C130" s="243"/>
      <c r="D130" s="243"/>
      <c r="E130" s="243"/>
      <c r="F130" s="243"/>
      <c r="I130" s="25"/>
      <c r="J130" s="25"/>
      <c r="K130" s="25"/>
      <c r="L130" s="25"/>
      <c r="M130" s="25"/>
      <c r="N130" s="25"/>
    </row>
    <row r="131" spans="1:14" ht="33" customHeight="1">
      <c r="A131" s="243" t="s">
        <v>118</v>
      </c>
      <c r="B131" s="243"/>
      <c r="C131" s="243"/>
      <c r="D131" s="243"/>
      <c r="E131" s="243"/>
      <c r="F131" s="243"/>
      <c r="I131" s="25"/>
      <c r="J131" s="25"/>
      <c r="K131" s="25"/>
      <c r="L131" s="25"/>
      <c r="M131" s="25"/>
      <c r="N131" s="25"/>
    </row>
    <row r="132" spans="1:14" ht="12.75" customHeight="1">
      <c r="A132" s="57"/>
      <c r="B132" s="57"/>
      <c r="C132" s="57"/>
      <c r="D132" s="57"/>
      <c r="E132" s="57"/>
      <c r="F132" s="57"/>
      <c r="I132" s="25"/>
      <c r="J132" s="25"/>
      <c r="K132" s="25"/>
      <c r="L132" s="25"/>
      <c r="M132" s="25"/>
      <c r="N132" s="25"/>
    </row>
    <row r="133" spans="1:14" ht="12.75" customHeight="1">
      <c r="A133" s="57"/>
      <c r="B133" s="57"/>
      <c r="C133" s="57"/>
      <c r="D133" s="57"/>
      <c r="E133" s="57"/>
      <c r="F133" s="57"/>
      <c r="I133" s="25"/>
      <c r="J133" s="25"/>
      <c r="K133" s="25"/>
      <c r="L133" s="25"/>
      <c r="M133" s="25"/>
      <c r="N133" s="25"/>
    </row>
    <row r="134" spans="1:14" s="34" customFormat="1" ht="16.5">
      <c r="A134" s="58" t="s">
        <v>12</v>
      </c>
      <c r="B134" s="58"/>
      <c r="C134" s="59"/>
      <c r="D134" s="60"/>
      <c r="E134" s="61"/>
      <c r="F134" s="62"/>
      <c r="G134" s="33"/>
    </row>
    <row r="135" spans="1:14" s="34" customFormat="1" ht="15">
      <c r="A135" s="38"/>
      <c r="B135" s="63"/>
      <c r="C135" s="63"/>
      <c r="D135" s="63"/>
      <c r="E135" s="63"/>
      <c r="F135" s="63"/>
      <c r="G135" s="33"/>
    </row>
    <row r="136" spans="1:14" s="34" customFormat="1" ht="61.5" customHeight="1">
      <c r="A136" s="243" t="s">
        <v>168</v>
      </c>
      <c r="B136" s="243"/>
      <c r="C136" s="243"/>
      <c r="D136" s="243"/>
      <c r="E136" s="243"/>
      <c r="F136" s="243"/>
      <c r="G136" s="33"/>
    </row>
    <row r="137" spans="1:14" s="34" customFormat="1" ht="40.5" customHeight="1">
      <c r="A137" s="243" t="s">
        <v>113</v>
      </c>
      <c r="B137" s="243"/>
      <c r="C137" s="243"/>
      <c r="D137" s="243"/>
      <c r="E137" s="243"/>
      <c r="F137" s="243"/>
      <c r="G137" s="33"/>
    </row>
    <row r="138" spans="1:14" ht="47.25" customHeight="1">
      <c r="A138" s="243" t="s">
        <v>75</v>
      </c>
      <c r="B138" s="243"/>
      <c r="C138" s="243"/>
      <c r="D138" s="243"/>
      <c r="E138" s="243"/>
      <c r="F138" s="243"/>
      <c r="I138" s="25"/>
      <c r="J138" s="25"/>
      <c r="K138" s="25"/>
      <c r="L138" s="25"/>
      <c r="M138" s="25"/>
      <c r="N138" s="25"/>
    </row>
    <row r="139" spans="1:14" s="34" customFormat="1" ht="15.75" customHeight="1">
      <c r="A139" s="38"/>
      <c r="B139" s="26"/>
      <c r="C139" s="26"/>
      <c r="D139" s="26"/>
      <c r="E139" s="26"/>
      <c r="F139" s="26"/>
      <c r="G139" s="33"/>
    </row>
    <row r="140" spans="1:14" s="34" customFormat="1" ht="15" customHeight="1">
      <c r="A140" s="42" t="s">
        <v>76</v>
      </c>
      <c r="B140" s="64"/>
      <c r="C140" s="26"/>
      <c r="D140" s="26"/>
      <c r="E140" s="26"/>
      <c r="F140" s="26"/>
      <c r="G140" s="33"/>
    </row>
    <row r="141" spans="1:14" s="34" customFormat="1" ht="15" customHeight="1">
      <c r="A141" s="52" t="s">
        <v>77</v>
      </c>
      <c r="B141" s="28"/>
      <c r="C141" s="28"/>
      <c r="D141" s="28"/>
      <c r="E141" s="50"/>
      <c r="F141" s="50"/>
      <c r="G141" s="33"/>
    </row>
    <row r="142" spans="1:14" s="34" customFormat="1" ht="15" customHeight="1">
      <c r="A142" s="52" t="s">
        <v>78</v>
      </c>
      <c r="B142" s="28"/>
      <c r="C142" s="28"/>
      <c r="D142" s="28"/>
      <c r="E142" s="50"/>
      <c r="F142" s="50"/>
      <c r="G142" s="33"/>
    </row>
    <row r="143" spans="1:14" s="34" customFormat="1" ht="15" customHeight="1">
      <c r="A143" s="52" t="s">
        <v>79</v>
      </c>
      <c r="B143" s="28"/>
      <c r="C143" s="28"/>
      <c r="D143" s="28"/>
      <c r="E143" s="50"/>
      <c r="F143" s="50"/>
      <c r="G143" s="33"/>
    </row>
    <row r="144" spans="1:14" s="34" customFormat="1" ht="5.25" customHeight="1">
      <c r="A144" s="52"/>
      <c r="B144" s="28"/>
      <c r="C144" s="28"/>
      <c r="D144" s="28"/>
      <c r="E144" s="28"/>
      <c r="F144" s="28"/>
      <c r="G144" s="33"/>
    </row>
    <row r="145" spans="1:7" s="34" customFormat="1" ht="15" customHeight="1">
      <c r="A145" s="42" t="s">
        <v>20</v>
      </c>
      <c r="B145" s="64"/>
      <c r="C145" s="26"/>
      <c r="D145" s="26"/>
      <c r="E145" s="26"/>
      <c r="F145" s="26"/>
      <c r="G145" s="33"/>
    </row>
    <row r="146" spans="1:7" s="34" customFormat="1" ht="15" customHeight="1">
      <c r="A146" s="52" t="s">
        <v>22</v>
      </c>
      <c r="B146" s="64"/>
      <c r="C146" s="26"/>
      <c r="D146" s="26"/>
      <c r="E146" s="26"/>
      <c r="F146" s="26"/>
      <c r="G146" s="33"/>
    </row>
    <row r="147" spans="1:7" s="34" customFormat="1" ht="15" customHeight="1">
      <c r="A147" s="52" t="s">
        <v>169</v>
      </c>
      <c r="B147" s="28"/>
      <c r="C147" s="28"/>
      <c r="D147" s="28"/>
      <c r="E147" s="50"/>
      <c r="F147" s="50"/>
      <c r="G147" s="33"/>
    </row>
    <row r="148" spans="1:7" s="34" customFormat="1" ht="15" customHeight="1">
      <c r="A148" s="52" t="s">
        <v>170</v>
      </c>
      <c r="B148" s="28"/>
      <c r="C148" s="28"/>
      <c r="D148" s="28"/>
      <c r="E148" s="50"/>
      <c r="F148" s="50"/>
      <c r="G148" s="33"/>
    </row>
    <row r="149" spans="1:7" s="34" customFormat="1" ht="15" customHeight="1">
      <c r="A149" s="52" t="s">
        <v>171</v>
      </c>
      <c r="B149" s="28"/>
      <c r="C149" s="28"/>
      <c r="D149" s="28"/>
      <c r="E149" s="50"/>
      <c r="F149" s="50"/>
      <c r="G149" s="33"/>
    </row>
    <row r="150" spans="1:7" s="34" customFormat="1" ht="15" customHeight="1">
      <c r="A150" s="52" t="s">
        <v>172</v>
      </c>
      <c r="B150" s="28"/>
      <c r="C150" s="28"/>
      <c r="D150" s="28"/>
      <c r="E150" s="50"/>
      <c r="F150" s="50"/>
      <c r="G150" s="33"/>
    </row>
    <row r="151" spans="1:7" s="34" customFormat="1" ht="15" customHeight="1">
      <c r="A151" s="52" t="s">
        <v>173</v>
      </c>
      <c r="B151" s="28"/>
      <c r="C151" s="28"/>
      <c r="D151" s="28"/>
      <c r="E151" s="50"/>
      <c r="F151" s="50"/>
      <c r="G151" s="33"/>
    </row>
    <row r="152" spans="1:7" s="34" customFormat="1" ht="15" customHeight="1">
      <c r="A152" s="52" t="s">
        <v>174</v>
      </c>
      <c r="B152" s="28"/>
      <c r="C152" s="28"/>
      <c r="D152" s="28"/>
      <c r="E152" s="50"/>
      <c r="F152" s="50"/>
      <c r="G152" s="33"/>
    </row>
    <row r="153" spans="1:7" s="34" customFormat="1" ht="15" customHeight="1">
      <c r="A153" s="52" t="s">
        <v>175</v>
      </c>
      <c r="B153" s="28"/>
      <c r="C153" s="28"/>
      <c r="D153" s="28"/>
      <c r="E153" s="50"/>
      <c r="F153" s="50"/>
      <c r="G153" s="33"/>
    </row>
    <row r="154" spans="1:7" s="34" customFormat="1" ht="15" customHeight="1">
      <c r="A154" s="52" t="s">
        <v>176</v>
      </c>
      <c r="B154" s="28"/>
      <c r="C154" s="28"/>
      <c r="D154" s="28"/>
      <c r="E154" s="50"/>
      <c r="F154" s="50"/>
      <c r="G154" s="33"/>
    </row>
    <row r="155" spans="1:7" s="34" customFormat="1" ht="15" customHeight="1">
      <c r="A155" s="52" t="s">
        <v>21</v>
      </c>
      <c r="B155" s="28"/>
      <c r="C155" s="28"/>
      <c r="D155" s="28"/>
      <c r="E155" s="50"/>
      <c r="F155" s="50"/>
      <c r="G155" s="33"/>
    </row>
    <row r="156" spans="1:7" s="34" customFormat="1" ht="6" customHeight="1">
      <c r="A156" s="38"/>
      <c r="B156" s="28"/>
      <c r="C156" s="28"/>
      <c r="D156" s="28"/>
      <c r="E156" s="28"/>
      <c r="F156" s="28"/>
      <c r="G156" s="33"/>
    </row>
    <row r="157" spans="1:7" s="34" customFormat="1" ht="15" customHeight="1">
      <c r="A157" s="42" t="s">
        <v>23</v>
      </c>
      <c r="B157" s="64"/>
      <c r="C157" s="26"/>
      <c r="D157" s="26"/>
      <c r="E157" s="26"/>
      <c r="F157" s="26"/>
      <c r="G157" s="33"/>
    </row>
    <row r="158" spans="1:7" s="34" customFormat="1" ht="29.25" customHeight="1">
      <c r="A158" s="30" t="s">
        <v>28</v>
      </c>
      <c r="B158" s="50"/>
      <c r="C158" s="50"/>
      <c r="D158" s="50"/>
      <c r="E158" s="50"/>
      <c r="F158" s="50"/>
      <c r="G158" s="33"/>
    </row>
    <row r="159" spans="1:7" s="34" customFormat="1" ht="25.5" customHeight="1">
      <c r="A159" s="65" t="s">
        <v>24</v>
      </c>
      <c r="B159" s="66"/>
      <c r="C159" s="66"/>
      <c r="D159" s="248" t="s">
        <v>509</v>
      </c>
      <c r="E159" s="248"/>
      <c r="F159" s="248"/>
      <c r="G159" s="33"/>
    </row>
    <row r="160" spans="1:7" s="34" customFormat="1" ht="15" customHeight="1">
      <c r="A160" s="65" t="s">
        <v>25</v>
      </c>
      <c r="B160" s="66"/>
      <c r="C160" s="66"/>
      <c r="D160" s="248" t="s">
        <v>509</v>
      </c>
      <c r="E160" s="248"/>
      <c r="F160" s="248"/>
      <c r="G160" s="33"/>
    </row>
    <row r="161" spans="1:7" s="34" customFormat="1" ht="15" customHeight="1">
      <c r="A161" s="65" t="s">
        <v>34</v>
      </c>
      <c r="B161" s="66"/>
      <c r="C161" s="66"/>
      <c r="D161" s="248" t="s">
        <v>509</v>
      </c>
      <c r="E161" s="248"/>
      <c r="F161" s="248"/>
      <c r="G161" s="33"/>
    </row>
    <row r="162" spans="1:7" s="34" customFormat="1" ht="15" customHeight="1">
      <c r="A162" s="65" t="s">
        <v>26</v>
      </c>
      <c r="B162" s="66"/>
      <c r="C162" s="66"/>
      <c r="D162" s="248" t="s">
        <v>509</v>
      </c>
      <c r="E162" s="248"/>
      <c r="F162" s="248"/>
      <c r="G162" s="33"/>
    </row>
    <row r="163" spans="1:7" s="34" customFormat="1" ht="27.75" customHeight="1">
      <c r="A163" s="247" t="s">
        <v>177</v>
      </c>
      <c r="B163" s="247"/>
      <c r="C163" s="247"/>
      <c r="D163" s="248" t="s">
        <v>509</v>
      </c>
      <c r="E163" s="248"/>
      <c r="F163" s="248"/>
      <c r="G163" s="33"/>
    </row>
    <row r="164" spans="1:7" s="34" customFormat="1" ht="15" customHeight="1">
      <c r="A164" s="65" t="s">
        <v>178</v>
      </c>
      <c r="B164" s="66"/>
      <c r="C164" s="66"/>
      <c r="D164" s="248" t="s">
        <v>509</v>
      </c>
      <c r="E164" s="248"/>
      <c r="F164" s="248"/>
      <c r="G164" s="33"/>
    </row>
    <row r="165" spans="1:7" s="34" customFormat="1" ht="15" customHeight="1">
      <c r="A165" s="65" t="s">
        <v>179</v>
      </c>
      <c r="B165" s="66"/>
      <c r="C165" s="66"/>
      <c r="D165" s="248" t="s">
        <v>509</v>
      </c>
      <c r="E165" s="248"/>
      <c r="F165" s="248"/>
      <c r="G165" s="33"/>
    </row>
    <row r="166" spans="1:7" s="34" customFormat="1" ht="15" customHeight="1">
      <c r="A166" s="65" t="s">
        <v>180</v>
      </c>
      <c r="B166" s="66"/>
      <c r="C166" s="66"/>
      <c r="D166" s="248" t="s">
        <v>509</v>
      </c>
      <c r="E166" s="248"/>
      <c r="F166" s="248"/>
      <c r="G166" s="33"/>
    </row>
    <row r="167" spans="1:7" s="34" customFormat="1" ht="15" customHeight="1">
      <c r="A167" s="65" t="s">
        <v>181</v>
      </c>
      <c r="B167" s="66"/>
      <c r="C167" s="66"/>
      <c r="D167" s="248" t="s">
        <v>509</v>
      </c>
      <c r="E167" s="248"/>
      <c r="F167" s="248"/>
      <c r="G167" s="33"/>
    </row>
    <row r="168" spans="1:7" s="34" customFormat="1" ht="15" customHeight="1">
      <c r="A168" s="65" t="s">
        <v>182</v>
      </c>
      <c r="B168" s="66"/>
      <c r="C168" s="66"/>
      <c r="D168" s="248" t="s">
        <v>509</v>
      </c>
      <c r="E168" s="248"/>
      <c r="F168" s="248"/>
      <c r="G168" s="33"/>
    </row>
    <row r="169" spans="1:7" s="34" customFormat="1" ht="15" customHeight="1">
      <c r="A169" s="65" t="s">
        <v>183</v>
      </c>
      <c r="B169" s="66"/>
      <c r="C169" s="66"/>
      <c r="D169" s="248" t="s">
        <v>509</v>
      </c>
      <c r="E169" s="248"/>
      <c r="F169" s="248"/>
      <c r="G169" s="33"/>
    </row>
    <row r="170" spans="1:7" s="34" customFormat="1" ht="15" customHeight="1">
      <c r="A170" s="65" t="s">
        <v>184</v>
      </c>
      <c r="B170" s="66"/>
      <c r="C170" s="66"/>
      <c r="D170" s="248" t="s">
        <v>509</v>
      </c>
      <c r="E170" s="248"/>
      <c r="F170" s="248"/>
      <c r="G170" s="33"/>
    </row>
    <row r="171" spans="1:7" s="34" customFormat="1" ht="15" customHeight="1">
      <c r="A171" s="65" t="s">
        <v>185</v>
      </c>
      <c r="B171" s="66"/>
      <c r="C171" s="66"/>
      <c r="D171" s="248" t="s">
        <v>509</v>
      </c>
      <c r="E171" s="248"/>
      <c r="F171" s="248"/>
      <c r="G171" s="33"/>
    </row>
    <row r="172" spans="1:7" s="34" customFormat="1" ht="15" customHeight="1">
      <c r="A172" s="65" t="s">
        <v>186</v>
      </c>
      <c r="B172" s="66"/>
      <c r="C172" s="66"/>
      <c r="D172" s="248" t="s">
        <v>509</v>
      </c>
      <c r="E172" s="248"/>
      <c r="F172" s="248"/>
      <c r="G172" s="33"/>
    </row>
    <row r="173" spans="1:7" s="34" customFormat="1" ht="15" customHeight="1">
      <c r="A173" s="65" t="s">
        <v>187</v>
      </c>
      <c r="B173" s="66"/>
      <c r="C173" s="66"/>
      <c r="D173" s="248" t="s">
        <v>509</v>
      </c>
      <c r="E173" s="248"/>
      <c r="F173" s="248"/>
      <c r="G173" s="33"/>
    </row>
    <row r="174" spans="1:7" s="34" customFormat="1" ht="15" customHeight="1">
      <c r="A174" s="65" t="s">
        <v>188</v>
      </c>
      <c r="B174" s="66"/>
      <c r="C174" s="66"/>
      <c r="D174" s="248" t="s">
        <v>509</v>
      </c>
      <c r="E174" s="248"/>
      <c r="F174" s="248"/>
      <c r="G174" s="33"/>
    </row>
    <row r="175" spans="1:7" s="34" customFormat="1" ht="15" customHeight="1">
      <c r="A175" s="65" t="s">
        <v>189</v>
      </c>
      <c r="B175" s="66"/>
      <c r="C175" s="66"/>
      <c r="D175" s="248" t="s">
        <v>509</v>
      </c>
      <c r="E175" s="248"/>
      <c r="F175" s="248"/>
      <c r="G175" s="33"/>
    </row>
    <row r="176" spans="1:7" s="34" customFormat="1" ht="15" customHeight="1">
      <c r="A176" s="65" t="s">
        <v>190</v>
      </c>
      <c r="B176" s="66"/>
      <c r="C176" s="66"/>
      <c r="D176" s="248" t="s">
        <v>509</v>
      </c>
      <c r="E176" s="248"/>
      <c r="F176" s="248"/>
      <c r="G176" s="33"/>
    </row>
    <row r="177" spans="1:7" s="34" customFormat="1" ht="8.25" customHeight="1">
      <c r="A177" s="68"/>
      <c r="B177" s="44"/>
      <c r="C177" s="44"/>
      <c r="D177" s="44"/>
      <c r="E177" s="44"/>
      <c r="F177" s="44"/>
      <c r="G177" s="33"/>
    </row>
    <row r="178" spans="1:7" s="34" customFormat="1" ht="15" customHeight="1">
      <c r="A178" s="42" t="s">
        <v>27</v>
      </c>
      <c r="B178" s="64"/>
      <c r="C178" s="26"/>
      <c r="D178" s="26"/>
      <c r="E178" s="26"/>
      <c r="F178" s="26"/>
      <c r="G178" s="33"/>
    </row>
    <row r="179" spans="1:7" s="34" customFormat="1" ht="15" customHeight="1">
      <c r="A179" s="52" t="s">
        <v>28</v>
      </c>
      <c r="B179" s="28"/>
      <c r="C179" s="28"/>
      <c r="D179" s="28"/>
      <c r="E179" s="50"/>
      <c r="F179" s="50"/>
      <c r="G179" s="33"/>
    </row>
    <row r="180" spans="1:7" s="34" customFormat="1" ht="28.5" customHeight="1">
      <c r="A180" s="244" t="s">
        <v>30</v>
      </c>
      <c r="B180" s="244"/>
      <c r="C180" s="244"/>
      <c r="D180" s="244"/>
      <c r="E180" s="244"/>
      <c r="F180" s="244"/>
      <c r="G180" s="33"/>
    </row>
    <row r="181" spans="1:7" s="34" customFormat="1" ht="28.5" customHeight="1">
      <c r="A181" s="244" t="s">
        <v>29</v>
      </c>
      <c r="B181" s="244"/>
      <c r="C181" s="244"/>
      <c r="D181" s="244"/>
      <c r="E181" s="244"/>
      <c r="F181" s="244"/>
      <c r="G181" s="33"/>
    </row>
    <row r="182" spans="1:7" s="34" customFormat="1" ht="15" customHeight="1">
      <c r="A182" s="52" t="s">
        <v>31</v>
      </c>
      <c r="B182" s="28"/>
      <c r="C182" s="28"/>
      <c r="D182" s="28"/>
      <c r="E182" s="50"/>
      <c r="F182" s="50"/>
      <c r="G182" s="33"/>
    </row>
    <row r="183" spans="1:7" s="34" customFormat="1" ht="15" customHeight="1">
      <c r="A183" s="52" t="s">
        <v>32</v>
      </c>
      <c r="B183" s="28"/>
      <c r="C183" s="28"/>
      <c r="D183" s="28"/>
      <c r="E183" s="50"/>
      <c r="F183" s="50"/>
      <c r="G183" s="33"/>
    </row>
    <row r="184" spans="1:7" s="34" customFormat="1" ht="15" customHeight="1">
      <c r="A184" s="52" t="s">
        <v>33</v>
      </c>
      <c r="B184" s="28"/>
      <c r="C184" s="28"/>
      <c r="D184" s="28"/>
      <c r="E184" s="50"/>
      <c r="F184" s="50"/>
      <c r="G184" s="33"/>
    </row>
    <row r="185" spans="1:7" s="34" customFormat="1" ht="7.5" customHeight="1">
      <c r="A185" s="68"/>
      <c r="B185" s="44"/>
      <c r="C185" s="44"/>
      <c r="D185" s="44"/>
      <c r="E185" s="44"/>
      <c r="F185" s="44"/>
      <c r="G185" s="33"/>
    </row>
    <row r="186" spans="1:7" s="34" customFormat="1" ht="15" customHeight="1">
      <c r="A186" s="42" t="s">
        <v>35</v>
      </c>
      <c r="B186" s="64"/>
      <c r="C186" s="26"/>
      <c r="D186" s="26"/>
      <c r="E186" s="26"/>
      <c r="F186" s="26"/>
      <c r="G186" s="33"/>
    </row>
    <row r="187" spans="1:7" s="34" customFormat="1" ht="32.25" customHeight="1">
      <c r="A187" s="243" t="s">
        <v>36</v>
      </c>
      <c r="B187" s="243"/>
      <c r="C187" s="243"/>
      <c r="D187" s="243"/>
      <c r="E187" s="243"/>
      <c r="F187" s="243"/>
      <c r="G187" s="33"/>
    </row>
    <row r="188" spans="1:7" s="34" customFormat="1" ht="15" customHeight="1">
      <c r="A188" s="42" t="s">
        <v>37</v>
      </c>
      <c r="B188" s="64"/>
      <c r="C188" s="26"/>
      <c r="D188" s="26"/>
      <c r="E188" s="26"/>
      <c r="F188" s="26"/>
      <c r="G188" s="33"/>
    </row>
    <row r="189" spans="1:7" s="34" customFormat="1" ht="44.25" customHeight="1">
      <c r="A189" s="243" t="s">
        <v>38</v>
      </c>
      <c r="B189" s="243"/>
      <c r="C189" s="243"/>
      <c r="D189" s="243"/>
      <c r="E189" s="243"/>
      <c r="F189" s="243"/>
      <c r="G189" s="33"/>
    </row>
    <row r="190" spans="1:7" s="34" customFormat="1" ht="15" customHeight="1">
      <c r="A190" s="42" t="s">
        <v>39</v>
      </c>
      <c r="B190" s="64"/>
      <c r="C190" s="26"/>
      <c r="D190" s="26"/>
      <c r="E190" s="26"/>
      <c r="F190" s="26"/>
      <c r="G190" s="33"/>
    </row>
    <row r="191" spans="1:7" s="34" customFormat="1" ht="14.25" customHeight="1">
      <c r="A191" s="243" t="s">
        <v>42</v>
      </c>
      <c r="B191" s="243"/>
      <c r="C191" s="243"/>
      <c r="D191" s="243"/>
      <c r="E191" s="243"/>
      <c r="F191" s="243"/>
      <c r="G191" s="33"/>
    </row>
    <row r="192" spans="1:7" s="34" customFormat="1" ht="27.75" customHeight="1">
      <c r="A192" s="243" t="s">
        <v>41</v>
      </c>
      <c r="B192" s="243"/>
      <c r="C192" s="243"/>
      <c r="D192" s="243"/>
      <c r="E192" s="243"/>
      <c r="F192" s="243"/>
      <c r="G192" s="33"/>
    </row>
    <row r="193" spans="1:14" s="34" customFormat="1" ht="15" customHeight="1">
      <c r="A193" s="243" t="s">
        <v>40</v>
      </c>
      <c r="B193" s="243"/>
      <c r="C193" s="243"/>
      <c r="D193" s="243"/>
      <c r="E193" s="243"/>
      <c r="F193" s="243"/>
      <c r="G193" s="33"/>
    </row>
    <row r="194" spans="1:14" s="34" customFormat="1" ht="14.25" customHeight="1">
      <c r="A194" s="243" t="s">
        <v>43</v>
      </c>
      <c r="B194" s="243"/>
      <c r="C194" s="243"/>
      <c r="D194" s="243"/>
      <c r="E194" s="243"/>
      <c r="F194" s="243"/>
      <c r="G194" s="33"/>
    </row>
    <row r="195" spans="1:14" s="34" customFormat="1" ht="13.5" customHeight="1">
      <c r="A195" s="243" t="s">
        <v>44</v>
      </c>
      <c r="B195" s="243"/>
      <c r="C195" s="243"/>
      <c r="D195" s="243"/>
      <c r="E195" s="243"/>
      <c r="F195" s="243"/>
      <c r="G195" s="33"/>
    </row>
    <row r="196" spans="1:14" s="34" customFormat="1" ht="14.25" customHeight="1">
      <c r="A196" s="243" t="s">
        <v>45</v>
      </c>
      <c r="B196" s="243"/>
      <c r="C196" s="243"/>
      <c r="D196" s="243"/>
      <c r="E196" s="243"/>
      <c r="F196" s="243"/>
      <c r="G196" s="33"/>
    </row>
    <row r="197" spans="1:14" s="34" customFormat="1" ht="14.25" customHeight="1">
      <c r="A197" s="243" t="s">
        <v>46</v>
      </c>
      <c r="B197" s="243"/>
      <c r="C197" s="243"/>
      <c r="D197" s="243"/>
      <c r="E197" s="243"/>
      <c r="F197" s="243"/>
      <c r="G197" s="33"/>
    </row>
    <row r="198" spans="1:14" s="34" customFormat="1" ht="14.25" customHeight="1">
      <c r="A198" s="243" t="s">
        <v>47</v>
      </c>
      <c r="B198" s="243"/>
      <c r="C198" s="243"/>
      <c r="D198" s="243"/>
      <c r="E198" s="243"/>
      <c r="F198" s="243"/>
      <c r="G198" s="33"/>
    </row>
    <row r="199" spans="1:14" s="34" customFormat="1" ht="15" customHeight="1">
      <c r="A199" s="243" t="s">
        <v>48</v>
      </c>
      <c r="B199" s="243"/>
      <c r="C199" s="243"/>
      <c r="D199" s="243"/>
      <c r="E199" s="243"/>
      <c r="F199" s="243"/>
      <c r="G199" s="33"/>
    </row>
    <row r="200" spans="1:14" s="34" customFormat="1" ht="15" customHeight="1">
      <c r="A200" s="243" t="s">
        <v>49</v>
      </c>
      <c r="B200" s="243"/>
      <c r="C200" s="243"/>
      <c r="D200" s="243"/>
      <c r="E200" s="243"/>
      <c r="F200" s="243"/>
      <c r="G200" s="33"/>
    </row>
    <row r="201" spans="1:14" ht="30.75" customHeight="1">
      <c r="A201" s="243" t="s">
        <v>118</v>
      </c>
      <c r="B201" s="243"/>
      <c r="C201" s="243"/>
      <c r="D201" s="243"/>
      <c r="E201" s="243"/>
      <c r="F201" s="243"/>
      <c r="I201" s="25"/>
      <c r="J201" s="25"/>
      <c r="K201" s="25"/>
      <c r="L201" s="25"/>
      <c r="M201" s="25"/>
      <c r="N201" s="25"/>
    </row>
    <row r="202" spans="1:14" ht="12.75">
      <c r="A202" s="57"/>
      <c r="B202" s="57"/>
      <c r="C202" s="57"/>
      <c r="D202" s="57"/>
      <c r="E202" s="57"/>
      <c r="F202" s="57"/>
      <c r="I202" s="25"/>
      <c r="J202" s="25"/>
      <c r="K202" s="25"/>
      <c r="L202" s="25"/>
      <c r="M202" s="25"/>
      <c r="N202" s="25"/>
    </row>
    <row r="203" spans="1:14" ht="12.75">
      <c r="A203" s="35"/>
      <c r="B203" s="36"/>
      <c r="C203" s="35"/>
      <c r="D203" s="37"/>
      <c r="E203" s="37"/>
      <c r="F203" s="37"/>
      <c r="I203" s="25"/>
      <c r="J203" s="25"/>
      <c r="K203" s="25"/>
      <c r="L203" s="25"/>
      <c r="M203" s="25"/>
      <c r="N203" s="25"/>
    </row>
    <row r="204" spans="1:14" s="32" customFormat="1">
      <c r="A204" s="19" t="s">
        <v>191</v>
      </c>
      <c r="B204" s="69"/>
      <c r="C204" s="31"/>
      <c r="D204" s="31"/>
      <c r="E204" s="70"/>
      <c r="F204" s="31"/>
    </row>
    <row r="205" spans="1:14" ht="12.75">
      <c r="A205" s="24"/>
      <c r="B205" s="24"/>
      <c r="C205" s="24"/>
      <c r="D205" s="24"/>
      <c r="E205" s="37"/>
      <c r="F205" s="37"/>
      <c r="I205" s="25"/>
      <c r="J205" s="25"/>
      <c r="K205" s="25"/>
      <c r="L205" s="25"/>
      <c r="M205" s="25"/>
      <c r="N205" s="25"/>
    </row>
    <row r="206" spans="1:14" ht="68.25" customHeight="1">
      <c r="A206" s="243" t="s">
        <v>510</v>
      </c>
      <c r="B206" s="243"/>
      <c r="C206" s="243"/>
      <c r="D206" s="243"/>
      <c r="E206" s="243"/>
      <c r="F206" s="243"/>
      <c r="G206" s="17"/>
      <c r="H206" s="17"/>
      <c r="I206" s="17"/>
      <c r="J206" s="17"/>
      <c r="K206" s="17"/>
      <c r="L206" s="17"/>
      <c r="M206" s="25"/>
      <c r="N206" s="25"/>
    </row>
    <row r="207" spans="1:14" ht="36" customHeight="1">
      <c r="A207" s="243" t="s">
        <v>192</v>
      </c>
      <c r="B207" s="243"/>
      <c r="C207" s="243"/>
      <c r="D207" s="243"/>
      <c r="E207" s="243"/>
      <c r="F207" s="243"/>
      <c r="G207" s="17"/>
      <c r="H207" s="17"/>
      <c r="I207" s="17"/>
      <c r="J207" s="17"/>
      <c r="K207" s="17"/>
      <c r="L207" s="17"/>
      <c r="M207" s="25"/>
      <c r="N207" s="25"/>
    </row>
    <row r="208" spans="1:14" ht="38.25" customHeight="1">
      <c r="A208" s="243" t="s">
        <v>193</v>
      </c>
      <c r="B208" s="243"/>
      <c r="C208" s="243"/>
      <c r="D208" s="243"/>
      <c r="E208" s="243"/>
      <c r="F208" s="243"/>
      <c r="I208" s="25"/>
      <c r="J208" s="25"/>
      <c r="K208" s="25"/>
      <c r="L208" s="25"/>
      <c r="M208" s="25"/>
      <c r="N208" s="25"/>
    </row>
    <row r="209" spans="1:14" ht="48" customHeight="1">
      <c r="A209" s="243" t="s">
        <v>194</v>
      </c>
      <c r="B209" s="243"/>
      <c r="C209" s="243"/>
      <c r="D209" s="243"/>
      <c r="E209" s="243"/>
      <c r="F209" s="243"/>
      <c r="I209" s="25"/>
      <c r="J209" s="25"/>
      <c r="K209" s="25"/>
      <c r="L209" s="25"/>
      <c r="M209" s="25"/>
      <c r="N209" s="25"/>
    </row>
    <row r="210" spans="1:14" ht="15" customHeight="1">
      <c r="A210" s="243" t="s">
        <v>195</v>
      </c>
      <c r="B210" s="243"/>
      <c r="C210" s="243"/>
      <c r="D210" s="243"/>
      <c r="E210" s="243"/>
      <c r="F210" s="243"/>
      <c r="I210" s="25"/>
      <c r="J210" s="25"/>
      <c r="K210" s="25"/>
      <c r="L210" s="25"/>
      <c r="M210" s="25"/>
      <c r="N210" s="25"/>
    </row>
    <row r="211" spans="1:14" ht="16.149999999999999" customHeight="1">
      <c r="A211" s="243" t="s">
        <v>196</v>
      </c>
      <c r="B211" s="243"/>
      <c r="C211" s="243"/>
      <c r="D211" s="243"/>
      <c r="E211" s="243"/>
      <c r="F211" s="243"/>
      <c r="I211" s="25"/>
      <c r="J211" s="25"/>
      <c r="K211" s="25"/>
      <c r="L211" s="25"/>
      <c r="M211" s="25"/>
      <c r="N211" s="25"/>
    </row>
    <row r="212" spans="1:14" ht="15.75" customHeight="1">
      <c r="A212" s="243" t="s">
        <v>197</v>
      </c>
      <c r="B212" s="243"/>
      <c r="C212" s="243"/>
      <c r="D212" s="243"/>
      <c r="E212" s="243"/>
      <c r="F212" s="243"/>
      <c r="I212" s="25"/>
      <c r="J212" s="25"/>
      <c r="K212" s="25"/>
      <c r="L212" s="25"/>
      <c r="M212" s="25"/>
      <c r="N212" s="25"/>
    </row>
    <row r="213" spans="1:14" ht="15" customHeight="1">
      <c r="A213" s="71" t="s">
        <v>198</v>
      </c>
      <c r="B213" s="26"/>
      <c r="C213" s="26"/>
      <c r="D213" s="26"/>
      <c r="E213" s="26"/>
      <c r="F213" s="26"/>
      <c r="I213" s="25"/>
      <c r="J213" s="25"/>
      <c r="K213" s="25"/>
      <c r="L213" s="25"/>
      <c r="M213" s="25"/>
      <c r="N213" s="25"/>
    </row>
    <row r="214" spans="1:14" ht="60.75" customHeight="1">
      <c r="A214" s="243" t="s">
        <v>199</v>
      </c>
      <c r="B214" s="243"/>
      <c r="C214" s="243"/>
      <c r="D214" s="243"/>
      <c r="E214" s="243"/>
      <c r="F214" s="243"/>
      <c r="I214" s="25"/>
      <c r="J214" s="25"/>
      <c r="K214" s="25"/>
      <c r="L214" s="25"/>
      <c r="M214" s="25"/>
      <c r="N214" s="25"/>
    </row>
    <row r="215" spans="1:14" ht="45.75" customHeight="1">
      <c r="A215" s="243" t="s">
        <v>200</v>
      </c>
      <c r="B215" s="243"/>
      <c r="C215" s="243"/>
      <c r="D215" s="243"/>
      <c r="E215" s="243"/>
      <c r="F215" s="243"/>
      <c r="I215" s="25"/>
      <c r="J215" s="25"/>
      <c r="K215" s="25"/>
      <c r="L215" s="25"/>
      <c r="M215" s="25"/>
      <c r="N215" s="25"/>
    </row>
    <row r="216" spans="1:14" ht="46.5" customHeight="1">
      <c r="A216" s="243" t="s">
        <v>201</v>
      </c>
      <c r="B216" s="243"/>
      <c r="C216" s="243"/>
      <c r="D216" s="243"/>
      <c r="E216" s="243"/>
      <c r="F216" s="243"/>
      <c r="I216" s="25"/>
      <c r="J216" s="25"/>
      <c r="K216" s="25"/>
      <c r="L216" s="25"/>
      <c r="M216" s="25"/>
      <c r="N216" s="25"/>
    </row>
    <row r="217" spans="1:14" ht="31.9" customHeight="1">
      <c r="A217" s="243" t="s">
        <v>202</v>
      </c>
      <c r="B217" s="243"/>
      <c r="C217" s="243"/>
      <c r="D217" s="243"/>
      <c r="E217" s="243"/>
      <c r="F217" s="243"/>
      <c r="I217" s="25"/>
      <c r="J217" s="25"/>
      <c r="K217" s="25"/>
      <c r="L217" s="25"/>
      <c r="M217" s="25"/>
      <c r="N217" s="25"/>
    </row>
    <row r="218" spans="1:14" ht="16.5" customHeight="1">
      <c r="A218" s="71" t="s">
        <v>203</v>
      </c>
      <c r="B218" s="26"/>
      <c r="C218" s="26"/>
      <c r="D218" s="26"/>
      <c r="E218" s="26"/>
      <c r="F218" s="26"/>
      <c r="I218" s="25"/>
      <c r="J218" s="25"/>
      <c r="K218" s="25"/>
      <c r="L218" s="25"/>
      <c r="M218" s="25"/>
      <c r="N218" s="25"/>
    </row>
    <row r="219" spans="1:14" ht="16.899999999999999" customHeight="1">
      <c r="A219" s="243" t="s">
        <v>204</v>
      </c>
      <c r="B219" s="243"/>
      <c r="C219" s="243"/>
      <c r="D219" s="243"/>
      <c r="E219" s="243"/>
      <c r="F219" s="243"/>
      <c r="I219" s="25"/>
      <c r="J219" s="25"/>
      <c r="K219" s="25"/>
      <c r="L219" s="25"/>
      <c r="M219" s="25"/>
      <c r="N219" s="25"/>
    </row>
    <row r="220" spans="1:14" ht="65.25" customHeight="1">
      <c r="A220" s="243" t="s">
        <v>205</v>
      </c>
      <c r="B220" s="243"/>
      <c r="C220" s="243"/>
      <c r="D220" s="243"/>
      <c r="E220" s="243"/>
      <c r="F220" s="243"/>
      <c r="I220" s="25"/>
      <c r="J220" s="25"/>
      <c r="K220" s="25"/>
      <c r="L220" s="25"/>
      <c r="M220" s="25"/>
      <c r="N220" s="25"/>
    </row>
    <row r="221" spans="1:14" ht="37.5" customHeight="1">
      <c r="A221" s="243" t="s">
        <v>670</v>
      </c>
      <c r="B221" s="243"/>
      <c r="C221" s="243"/>
      <c r="D221" s="243"/>
      <c r="E221" s="243"/>
      <c r="F221" s="243"/>
      <c r="I221" s="25"/>
      <c r="J221" s="25"/>
      <c r="K221" s="25"/>
      <c r="L221" s="25"/>
      <c r="M221" s="25"/>
      <c r="N221" s="25"/>
    </row>
    <row r="222" spans="1:14" ht="34.5" customHeight="1">
      <c r="A222" s="243" t="s">
        <v>206</v>
      </c>
      <c r="B222" s="243"/>
      <c r="C222" s="243"/>
      <c r="D222" s="243"/>
      <c r="E222" s="243"/>
      <c r="F222" s="243"/>
      <c r="I222" s="25"/>
      <c r="J222" s="25"/>
      <c r="K222" s="25"/>
      <c r="L222" s="25"/>
      <c r="M222" s="25"/>
      <c r="N222" s="25"/>
    </row>
    <row r="223" spans="1:14" ht="35.25" customHeight="1">
      <c r="A223" s="243" t="s">
        <v>207</v>
      </c>
      <c r="B223" s="243"/>
      <c r="C223" s="243"/>
      <c r="D223" s="243"/>
      <c r="E223" s="243"/>
      <c r="F223" s="243"/>
      <c r="I223" s="25"/>
      <c r="J223" s="25"/>
      <c r="K223" s="25"/>
      <c r="L223" s="25"/>
      <c r="M223" s="25"/>
      <c r="N223" s="25"/>
    </row>
    <row r="224" spans="1:14" ht="26.25" customHeight="1">
      <c r="A224" s="243" t="s">
        <v>208</v>
      </c>
      <c r="B224" s="243"/>
      <c r="C224" s="243"/>
      <c r="D224" s="243"/>
      <c r="E224" s="243"/>
      <c r="F224" s="243"/>
      <c r="I224" s="25"/>
      <c r="J224" s="25"/>
      <c r="K224" s="25"/>
      <c r="L224" s="25"/>
      <c r="M224" s="25"/>
      <c r="N224" s="25"/>
    </row>
    <row r="225" spans="1:14" ht="48.75" customHeight="1">
      <c r="A225" s="243" t="s">
        <v>209</v>
      </c>
      <c r="B225" s="243"/>
      <c r="C225" s="243"/>
      <c r="D225" s="243"/>
      <c r="E225" s="243"/>
      <c r="F225" s="243"/>
      <c r="I225" s="25"/>
      <c r="J225" s="25"/>
      <c r="K225" s="25"/>
      <c r="L225" s="25"/>
      <c r="M225" s="25"/>
      <c r="N225" s="25"/>
    </row>
    <row r="226" spans="1:14" ht="20.45" customHeight="1">
      <c r="A226" s="243" t="s">
        <v>123</v>
      </c>
      <c r="B226" s="243"/>
      <c r="C226" s="243"/>
      <c r="D226" s="243"/>
      <c r="E226" s="243"/>
      <c r="F226" s="243"/>
      <c r="I226" s="25"/>
      <c r="J226" s="25"/>
      <c r="K226" s="25"/>
      <c r="L226" s="25"/>
      <c r="M226" s="25"/>
      <c r="N226" s="25"/>
    </row>
    <row r="227" spans="1:14" ht="15">
      <c r="A227" s="71" t="s">
        <v>210</v>
      </c>
      <c r="B227" s="52"/>
      <c r="C227" s="23"/>
      <c r="D227" s="23"/>
      <c r="E227" s="45"/>
      <c r="F227" s="45"/>
      <c r="I227" s="25"/>
      <c r="J227" s="25"/>
      <c r="K227" s="25"/>
      <c r="L227" s="25"/>
      <c r="M227" s="25"/>
      <c r="N227" s="25"/>
    </row>
    <row r="228" spans="1:14" ht="29.45" customHeight="1">
      <c r="A228" s="244" t="s">
        <v>511</v>
      </c>
      <c r="B228" s="244"/>
      <c r="C228" s="244"/>
      <c r="D228" s="244"/>
      <c r="E228" s="244"/>
      <c r="F228" s="244"/>
      <c r="I228" s="25"/>
      <c r="J228" s="25"/>
      <c r="K228" s="25"/>
      <c r="L228" s="25"/>
      <c r="M228" s="25"/>
      <c r="N228" s="25"/>
    </row>
    <row r="229" spans="1:14" ht="29.45" customHeight="1">
      <c r="A229" s="244" t="s">
        <v>512</v>
      </c>
      <c r="B229" s="244"/>
      <c r="C229" s="244"/>
      <c r="D229" s="244"/>
      <c r="E229" s="244"/>
      <c r="F229" s="244"/>
      <c r="I229" s="25"/>
      <c r="J229" s="25"/>
      <c r="K229" s="25"/>
      <c r="L229" s="25"/>
      <c r="M229" s="25"/>
      <c r="N229" s="25"/>
    </row>
    <row r="230" spans="1:14" ht="29.45" customHeight="1">
      <c r="A230" s="244" t="s">
        <v>513</v>
      </c>
      <c r="B230" s="244"/>
      <c r="C230" s="244"/>
      <c r="D230" s="244"/>
      <c r="E230" s="244"/>
      <c r="F230" s="244"/>
      <c r="I230" s="25"/>
      <c r="J230" s="25"/>
      <c r="K230" s="25"/>
      <c r="L230" s="25"/>
      <c r="M230" s="25"/>
      <c r="N230" s="25"/>
    </row>
    <row r="231" spans="1:14" ht="29.45" customHeight="1">
      <c r="A231" s="244" t="s">
        <v>514</v>
      </c>
      <c r="B231" s="244"/>
      <c r="C231" s="244"/>
      <c r="D231" s="244"/>
      <c r="E231" s="244"/>
      <c r="F231" s="244"/>
      <c r="I231" s="25"/>
      <c r="J231" s="25"/>
      <c r="K231" s="25"/>
      <c r="L231" s="25"/>
      <c r="M231" s="25"/>
      <c r="N231" s="25"/>
    </row>
    <row r="232" spans="1:14" ht="29.45" customHeight="1">
      <c r="A232" s="244" t="s">
        <v>515</v>
      </c>
      <c r="B232" s="244"/>
      <c r="C232" s="244"/>
      <c r="D232" s="244"/>
      <c r="E232" s="244"/>
      <c r="F232" s="244"/>
      <c r="I232" s="25"/>
      <c r="J232" s="25"/>
      <c r="K232" s="25"/>
      <c r="L232" s="25"/>
      <c r="M232" s="25"/>
      <c r="N232" s="25"/>
    </row>
    <row r="233" spans="1:14" ht="29.45" customHeight="1">
      <c r="A233" s="244" t="s">
        <v>516</v>
      </c>
      <c r="B233" s="244"/>
      <c r="C233" s="244"/>
      <c r="D233" s="244"/>
      <c r="E233" s="244"/>
      <c r="F233" s="244"/>
      <c r="I233" s="25"/>
      <c r="J233" s="25"/>
      <c r="K233" s="25"/>
      <c r="L233" s="25"/>
      <c r="M233" s="25"/>
      <c r="N233" s="25"/>
    </row>
    <row r="234" spans="1:14" ht="29.45" customHeight="1">
      <c r="A234" s="244" t="s">
        <v>517</v>
      </c>
      <c r="B234" s="244"/>
      <c r="C234" s="244"/>
      <c r="D234" s="244"/>
      <c r="E234" s="244"/>
      <c r="F234" s="244"/>
      <c r="I234" s="25"/>
      <c r="J234" s="25"/>
      <c r="K234" s="25"/>
      <c r="L234" s="25"/>
      <c r="M234" s="25"/>
      <c r="N234" s="25"/>
    </row>
    <row r="235" spans="1:14" ht="33" customHeight="1">
      <c r="A235" s="244" t="s">
        <v>518</v>
      </c>
      <c r="B235" s="244"/>
      <c r="C235" s="244"/>
      <c r="D235" s="244"/>
      <c r="E235" s="244"/>
      <c r="F235" s="244"/>
      <c r="I235" s="25"/>
      <c r="J235" s="25"/>
      <c r="K235" s="25"/>
      <c r="L235" s="25"/>
      <c r="M235" s="25"/>
      <c r="N235" s="25"/>
    </row>
    <row r="236" spans="1:14" ht="15">
      <c r="A236" s="71" t="s">
        <v>69</v>
      </c>
      <c r="B236" s="52"/>
      <c r="C236" s="23"/>
      <c r="D236" s="23"/>
      <c r="E236" s="45"/>
      <c r="F236" s="45"/>
      <c r="I236" s="25"/>
      <c r="J236" s="25"/>
      <c r="K236" s="25"/>
      <c r="L236" s="25"/>
      <c r="M236" s="25"/>
      <c r="N236" s="25"/>
    </row>
    <row r="237" spans="1:14" ht="30.6" customHeight="1">
      <c r="A237" s="244" t="s">
        <v>519</v>
      </c>
      <c r="B237" s="244"/>
      <c r="C237" s="244"/>
      <c r="D237" s="244"/>
      <c r="E237" s="244"/>
      <c r="F237" s="244"/>
      <c r="I237" s="25"/>
      <c r="J237" s="25"/>
      <c r="K237" s="25"/>
      <c r="L237" s="25"/>
      <c r="M237" s="25"/>
      <c r="N237" s="25"/>
    </row>
    <row r="238" spans="1:14" ht="28.5" customHeight="1">
      <c r="A238" s="244" t="s">
        <v>520</v>
      </c>
      <c r="B238" s="244"/>
      <c r="C238" s="244"/>
      <c r="D238" s="244"/>
      <c r="E238" s="244"/>
      <c r="F238" s="244"/>
      <c r="I238" s="25"/>
      <c r="J238" s="25"/>
      <c r="K238" s="25"/>
      <c r="L238" s="25"/>
      <c r="M238" s="25"/>
      <c r="N238" s="25"/>
    </row>
    <row r="239" spans="1:14" ht="32.450000000000003" customHeight="1">
      <c r="A239" s="244" t="s">
        <v>521</v>
      </c>
      <c r="B239" s="244"/>
      <c r="C239" s="244"/>
      <c r="D239" s="244"/>
      <c r="E239" s="244"/>
      <c r="F239" s="244"/>
      <c r="I239" s="25"/>
      <c r="J239" s="25"/>
      <c r="K239" s="25"/>
      <c r="L239" s="25"/>
      <c r="M239" s="25"/>
      <c r="N239" s="25"/>
    </row>
    <row r="240" spans="1:14" ht="15">
      <c r="A240" s="71" t="s">
        <v>211</v>
      </c>
      <c r="B240" s="52"/>
      <c r="C240" s="23"/>
      <c r="D240" s="23"/>
      <c r="E240" s="45"/>
      <c r="F240" s="45"/>
      <c r="I240" s="25"/>
      <c r="J240" s="25"/>
      <c r="K240" s="25"/>
      <c r="L240" s="25"/>
      <c r="M240" s="25"/>
      <c r="N240" s="25"/>
    </row>
    <row r="241" spans="1:14" ht="32.450000000000003" customHeight="1">
      <c r="A241" s="244" t="s">
        <v>522</v>
      </c>
      <c r="B241" s="244"/>
      <c r="C241" s="244"/>
      <c r="D241" s="244"/>
      <c r="E241" s="244"/>
      <c r="F241" s="244"/>
      <c r="I241" s="25"/>
      <c r="J241" s="25"/>
      <c r="K241" s="25"/>
      <c r="L241" s="25"/>
      <c r="M241" s="25"/>
      <c r="N241" s="25"/>
    </row>
    <row r="242" spans="1:14" ht="33" customHeight="1">
      <c r="A242" s="244" t="s">
        <v>523</v>
      </c>
      <c r="B242" s="244"/>
      <c r="C242" s="244"/>
      <c r="D242" s="244"/>
      <c r="E242" s="244"/>
      <c r="F242" s="244"/>
      <c r="I242" s="25"/>
      <c r="J242" s="25"/>
      <c r="K242" s="25"/>
      <c r="L242" s="25"/>
      <c r="M242" s="25"/>
      <c r="N242" s="25"/>
    </row>
    <row r="243" spans="1:14" ht="15">
      <c r="A243" s="71" t="s">
        <v>212</v>
      </c>
      <c r="B243" s="52"/>
      <c r="C243" s="23"/>
      <c r="D243" s="23"/>
      <c r="E243" s="45"/>
      <c r="F243" s="45"/>
      <c r="I243" s="25"/>
      <c r="J243" s="25"/>
      <c r="K243" s="25"/>
      <c r="L243" s="25"/>
      <c r="M243" s="25"/>
      <c r="N243" s="25"/>
    </row>
    <row r="244" spans="1:14" ht="30.6" customHeight="1">
      <c r="A244" s="244" t="s">
        <v>524</v>
      </c>
      <c r="B244" s="244"/>
      <c r="C244" s="244"/>
      <c r="D244" s="244"/>
      <c r="E244" s="244"/>
      <c r="F244" s="244"/>
      <c r="I244" s="25"/>
      <c r="J244" s="25"/>
      <c r="K244" s="25"/>
      <c r="L244" s="25"/>
      <c r="M244" s="25"/>
      <c r="N244" s="25"/>
    </row>
    <row r="245" spans="1:14" ht="28.15" customHeight="1">
      <c r="A245" s="244" t="s">
        <v>525</v>
      </c>
      <c r="B245" s="244"/>
      <c r="C245" s="244"/>
      <c r="D245" s="244"/>
      <c r="E245" s="244"/>
      <c r="F245" s="244"/>
      <c r="I245" s="25"/>
      <c r="J245" s="25"/>
      <c r="K245" s="25"/>
      <c r="L245" s="25"/>
      <c r="M245" s="25"/>
      <c r="N245" s="25"/>
    </row>
    <row r="246" spans="1:14" ht="27.6" customHeight="1">
      <c r="A246" s="244" t="s">
        <v>526</v>
      </c>
      <c r="B246" s="244"/>
      <c r="C246" s="244"/>
      <c r="D246" s="244"/>
      <c r="E246" s="244"/>
      <c r="F246" s="244"/>
      <c r="I246" s="25"/>
      <c r="J246" s="25"/>
      <c r="K246" s="25"/>
      <c r="L246" s="25"/>
      <c r="M246" s="25"/>
      <c r="N246" s="25"/>
    </row>
    <row r="247" spans="1:14" ht="32.450000000000003" customHeight="1">
      <c r="A247" s="244" t="s">
        <v>527</v>
      </c>
      <c r="B247" s="244"/>
      <c r="C247" s="244"/>
      <c r="D247" s="244"/>
      <c r="E247" s="244"/>
      <c r="F247" s="244"/>
      <c r="I247" s="25"/>
      <c r="J247" s="25"/>
      <c r="K247" s="25"/>
      <c r="L247" s="25"/>
      <c r="M247" s="25"/>
      <c r="N247" s="25"/>
    </row>
    <row r="248" spans="1:14" ht="15">
      <c r="A248" s="71" t="s">
        <v>213</v>
      </c>
      <c r="B248" s="52"/>
      <c r="C248" s="23"/>
      <c r="D248" s="23"/>
      <c r="E248" s="45"/>
      <c r="F248" s="45"/>
      <c r="I248" s="25"/>
      <c r="J248" s="25"/>
      <c r="K248" s="25"/>
      <c r="L248" s="25"/>
      <c r="M248" s="25"/>
      <c r="N248" s="25"/>
    </row>
    <row r="249" spans="1:14" ht="43.9" customHeight="1">
      <c r="A249" s="244" t="s">
        <v>528</v>
      </c>
      <c r="B249" s="244"/>
      <c r="C249" s="244"/>
      <c r="D249" s="244"/>
      <c r="E249" s="244"/>
      <c r="F249" s="244"/>
      <c r="I249" s="25"/>
      <c r="J249" s="25"/>
      <c r="K249" s="25"/>
      <c r="L249" s="25"/>
      <c r="M249" s="25"/>
      <c r="N249" s="25"/>
    </row>
    <row r="250" spans="1:14" ht="30.6" customHeight="1">
      <c r="A250" s="244" t="s">
        <v>529</v>
      </c>
      <c r="B250" s="244"/>
      <c r="C250" s="244"/>
      <c r="D250" s="244"/>
      <c r="E250" s="244"/>
      <c r="F250" s="244"/>
      <c r="I250" s="25"/>
      <c r="J250" s="25"/>
      <c r="K250" s="25"/>
      <c r="L250" s="25"/>
      <c r="M250" s="25"/>
      <c r="N250" s="25"/>
    </row>
    <row r="251" spans="1:14" ht="37.9" customHeight="1">
      <c r="A251" s="244" t="s">
        <v>530</v>
      </c>
      <c r="B251" s="244"/>
      <c r="C251" s="244"/>
      <c r="D251" s="244"/>
      <c r="E251" s="244"/>
      <c r="F251" s="244"/>
      <c r="I251" s="25"/>
      <c r="J251" s="25"/>
      <c r="K251" s="25"/>
      <c r="L251" s="25"/>
      <c r="M251" s="25"/>
      <c r="N251" s="25"/>
    </row>
    <row r="252" spans="1:14" ht="15">
      <c r="A252" s="71" t="s">
        <v>214</v>
      </c>
      <c r="B252" s="52"/>
      <c r="C252" s="23"/>
      <c r="D252" s="23"/>
      <c r="E252" s="45"/>
      <c r="F252" s="45"/>
      <c r="I252" s="25"/>
      <c r="J252" s="25"/>
      <c r="K252" s="25"/>
      <c r="L252" s="25"/>
      <c r="M252" s="25"/>
      <c r="N252" s="25"/>
    </row>
    <row r="253" spans="1:14" ht="19.899999999999999" customHeight="1">
      <c r="A253" s="244" t="s">
        <v>531</v>
      </c>
      <c r="B253" s="244"/>
      <c r="C253" s="244"/>
      <c r="D253" s="244"/>
      <c r="E253" s="244"/>
      <c r="F253" s="244"/>
      <c r="I253" s="25"/>
      <c r="J253" s="25"/>
      <c r="K253" s="25"/>
      <c r="L253" s="25"/>
      <c r="M253" s="25"/>
      <c r="N253" s="25"/>
    </row>
    <row r="254" spans="1:14" ht="31.15" customHeight="1">
      <c r="A254" s="244" t="s">
        <v>532</v>
      </c>
      <c r="B254" s="244"/>
      <c r="C254" s="244"/>
      <c r="D254" s="244"/>
      <c r="E254" s="244"/>
      <c r="F254" s="244"/>
      <c r="I254" s="25"/>
      <c r="J254" s="25"/>
      <c r="K254" s="25"/>
      <c r="L254" s="25"/>
      <c r="M254" s="25"/>
      <c r="N254" s="25"/>
    </row>
    <row r="255" spans="1:14" ht="32.450000000000003" customHeight="1">
      <c r="A255" s="244" t="s">
        <v>533</v>
      </c>
      <c r="B255" s="244"/>
      <c r="C255" s="244"/>
      <c r="D255" s="244"/>
      <c r="E255" s="244"/>
      <c r="F255" s="244"/>
      <c r="I255" s="25"/>
      <c r="J255" s="25"/>
      <c r="K255" s="25"/>
      <c r="L255" s="25"/>
      <c r="M255" s="25"/>
      <c r="N255" s="25"/>
    </row>
    <row r="256" spans="1:14" ht="36" customHeight="1">
      <c r="A256" s="244" t="s">
        <v>534</v>
      </c>
      <c r="B256" s="244"/>
      <c r="C256" s="244"/>
      <c r="D256" s="244"/>
      <c r="E256" s="244"/>
      <c r="F256" s="244"/>
      <c r="I256" s="25"/>
      <c r="J256" s="25"/>
      <c r="K256" s="25"/>
      <c r="L256" s="25"/>
      <c r="M256" s="25"/>
      <c r="N256" s="25"/>
    </row>
    <row r="257" spans="1:14" ht="15">
      <c r="A257" s="71" t="s">
        <v>215</v>
      </c>
      <c r="B257" s="52"/>
      <c r="C257" s="23"/>
      <c r="D257" s="23"/>
      <c r="E257" s="45"/>
      <c r="F257" s="45"/>
      <c r="I257" s="25"/>
      <c r="J257" s="25"/>
      <c r="K257" s="25"/>
      <c r="L257" s="25"/>
      <c r="M257" s="25"/>
      <c r="N257" s="25"/>
    </row>
    <row r="258" spans="1:14" ht="31.15" customHeight="1">
      <c r="A258" s="244" t="s">
        <v>535</v>
      </c>
      <c r="B258" s="244"/>
      <c r="C258" s="244"/>
      <c r="D258" s="244"/>
      <c r="E258" s="244"/>
      <c r="F258" s="244"/>
      <c r="I258" s="25"/>
      <c r="J258" s="25"/>
      <c r="K258" s="25"/>
      <c r="L258" s="25"/>
      <c r="M258" s="25"/>
      <c r="N258" s="25"/>
    </row>
    <row r="259" spans="1:14" ht="32.450000000000003" customHeight="1">
      <c r="A259" s="244" t="s">
        <v>536</v>
      </c>
      <c r="B259" s="244"/>
      <c r="C259" s="244"/>
      <c r="D259" s="244"/>
      <c r="E259" s="244"/>
      <c r="F259" s="244"/>
      <c r="I259" s="25"/>
      <c r="J259" s="25"/>
      <c r="K259" s="25"/>
      <c r="L259" s="25"/>
      <c r="M259" s="25"/>
      <c r="N259" s="25"/>
    </row>
    <row r="260" spans="1:14" ht="34.15" customHeight="1">
      <c r="A260" s="244" t="s">
        <v>537</v>
      </c>
      <c r="B260" s="244"/>
      <c r="C260" s="244"/>
      <c r="D260" s="244"/>
      <c r="E260" s="244"/>
      <c r="F260" s="244"/>
      <c r="I260" s="25"/>
      <c r="J260" s="25"/>
      <c r="K260" s="25"/>
      <c r="L260" s="25"/>
      <c r="M260" s="25"/>
      <c r="N260" s="25"/>
    </row>
    <row r="261" spans="1:14" ht="15">
      <c r="A261" s="71" t="s">
        <v>216</v>
      </c>
      <c r="B261" s="52"/>
      <c r="C261" s="23"/>
      <c r="D261" s="23"/>
      <c r="E261" s="45"/>
      <c r="F261" s="45"/>
      <c r="I261" s="25"/>
      <c r="J261" s="25"/>
      <c r="K261" s="25"/>
      <c r="L261" s="25"/>
      <c r="M261" s="25"/>
      <c r="N261" s="25"/>
    </row>
    <row r="262" spans="1:14" ht="30.6" customHeight="1">
      <c r="A262" s="244" t="s">
        <v>538</v>
      </c>
      <c r="B262" s="244"/>
      <c r="C262" s="244"/>
      <c r="D262" s="244"/>
      <c r="E262" s="244"/>
      <c r="F262" s="244"/>
      <c r="I262" s="25"/>
      <c r="J262" s="25"/>
      <c r="K262" s="25"/>
      <c r="L262" s="25"/>
      <c r="M262" s="25"/>
      <c r="N262" s="25"/>
    </row>
    <row r="263" spans="1:14" ht="27.6" customHeight="1">
      <c r="A263" s="244" t="s">
        <v>539</v>
      </c>
      <c r="B263" s="244"/>
      <c r="C263" s="244"/>
      <c r="D263" s="244"/>
      <c r="E263" s="244"/>
      <c r="F263" s="244"/>
      <c r="I263" s="25"/>
      <c r="J263" s="25"/>
      <c r="K263" s="25"/>
      <c r="L263" s="25"/>
      <c r="M263" s="25"/>
      <c r="N263" s="25"/>
    </row>
    <row r="264" spans="1:14" ht="30" customHeight="1">
      <c r="A264" s="244" t="s">
        <v>540</v>
      </c>
      <c r="B264" s="244"/>
      <c r="C264" s="244"/>
      <c r="D264" s="244"/>
      <c r="E264" s="244"/>
      <c r="F264" s="244"/>
      <c r="I264" s="25"/>
      <c r="J264" s="25"/>
      <c r="K264" s="25"/>
      <c r="L264" s="25"/>
      <c r="M264" s="25"/>
      <c r="N264" s="25"/>
    </row>
    <row r="265" spans="1:14" ht="28.9" customHeight="1">
      <c r="A265" s="244" t="s">
        <v>541</v>
      </c>
      <c r="B265" s="244"/>
      <c r="C265" s="244"/>
      <c r="D265" s="244"/>
      <c r="E265" s="244"/>
      <c r="F265" s="244"/>
      <c r="I265" s="25"/>
      <c r="J265" s="25"/>
      <c r="K265" s="25"/>
      <c r="L265" s="25"/>
      <c r="M265" s="25"/>
      <c r="N265" s="25"/>
    </row>
    <row r="266" spans="1:14" ht="27.6" customHeight="1">
      <c r="A266" s="244" t="s">
        <v>542</v>
      </c>
      <c r="B266" s="244"/>
      <c r="C266" s="244"/>
      <c r="D266" s="244"/>
      <c r="E266" s="244"/>
      <c r="F266" s="244"/>
      <c r="I266" s="25"/>
      <c r="J266" s="25"/>
      <c r="K266" s="25"/>
      <c r="L266" s="25"/>
      <c r="M266" s="25"/>
      <c r="N266" s="25"/>
    </row>
    <row r="267" spans="1:14" ht="33" customHeight="1">
      <c r="A267" s="244" t="s">
        <v>543</v>
      </c>
      <c r="B267" s="244"/>
      <c r="C267" s="244"/>
      <c r="D267" s="244"/>
      <c r="E267" s="244"/>
      <c r="F267" s="244"/>
      <c r="I267" s="25"/>
      <c r="J267" s="25"/>
      <c r="K267" s="25"/>
      <c r="L267" s="25"/>
      <c r="M267" s="25"/>
      <c r="N267" s="25"/>
    </row>
    <row r="268" spans="1:14" ht="33.6" customHeight="1">
      <c r="A268" s="244" t="s">
        <v>544</v>
      </c>
      <c r="B268" s="244"/>
      <c r="C268" s="244"/>
      <c r="D268" s="244"/>
      <c r="E268" s="244"/>
      <c r="F268" s="244"/>
      <c r="I268" s="25"/>
      <c r="J268" s="25"/>
      <c r="K268" s="25"/>
      <c r="L268" s="25"/>
      <c r="M268" s="25"/>
      <c r="N268" s="25"/>
    </row>
    <row r="269" spans="1:14" ht="30" customHeight="1">
      <c r="A269" s="244" t="s">
        <v>545</v>
      </c>
      <c r="B269" s="244"/>
      <c r="C269" s="244"/>
      <c r="D269" s="244"/>
      <c r="E269" s="244"/>
      <c r="F269" s="244"/>
      <c r="I269" s="25"/>
      <c r="J269" s="25"/>
      <c r="K269" s="25"/>
      <c r="L269" s="25"/>
      <c r="M269" s="25"/>
      <c r="N269" s="25"/>
    </row>
    <row r="270" spans="1:14" ht="28.5" customHeight="1">
      <c r="A270" s="244" t="s">
        <v>546</v>
      </c>
      <c r="B270" s="244"/>
      <c r="C270" s="244"/>
      <c r="D270" s="244"/>
      <c r="E270" s="244"/>
      <c r="F270" s="244"/>
      <c r="I270" s="25"/>
      <c r="J270" s="25"/>
      <c r="K270" s="25"/>
      <c r="L270" s="25"/>
      <c r="M270" s="25"/>
      <c r="N270" s="25"/>
    </row>
    <row r="271" spans="1:14" ht="29.25" customHeight="1">
      <c r="A271" s="243" t="s">
        <v>118</v>
      </c>
      <c r="B271" s="243"/>
      <c r="C271" s="243"/>
      <c r="D271" s="243"/>
      <c r="E271" s="243"/>
      <c r="F271" s="243"/>
      <c r="I271" s="25"/>
      <c r="J271" s="25"/>
      <c r="K271" s="25"/>
      <c r="L271" s="25"/>
      <c r="M271" s="25"/>
      <c r="N271" s="25"/>
    </row>
    <row r="272" spans="1:14" ht="12.75">
      <c r="A272" s="249"/>
      <c r="B272" s="249"/>
      <c r="C272" s="249"/>
      <c r="D272" s="249"/>
      <c r="E272" s="249"/>
      <c r="F272" s="249"/>
      <c r="I272" s="17"/>
      <c r="J272" s="25"/>
      <c r="K272" s="25"/>
      <c r="L272" s="25"/>
      <c r="M272" s="25"/>
      <c r="N272" s="25"/>
    </row>
    <row r="273" spans="1:14" ht="12.75">
      <c r="A273" s="35"/>
      <c r="B273" s="36"/>
      <c r="C273" s="35"/>
      <c r="D273" s="37"/>
      <c r="E273" s="37"/>
      <c r="F273" s="37"/>
      <c r="I273" s="17"/>
      <c r="J273" s="25"/>
      <c r="K273" s="25"/>
      <c r="L273" s="25"/>
      <c r="M273" s="25"/>
      <c r="N273" s="25"/>
    </row>
    <row r="274" spans="1:14" s="32" customFormat="1">
      <c r="A274" s="19" t="s">
        <v>1</v>
      </c>
      <c r="B274" s="69"/>
      <c r="C274" s="31"/>
      <c r="D274" s="31"/>
      <c r="E274" s="70"/>
      <c r="F274" s="31"/>
    </row>
    <row r="275" spans="1:14" ht="12.75">
      <c r="A275" s="24"/>
      <c r="B275" s="24"/>
      <c r="C275" s="24"/>
      <c r="D275" s="24"/>
      <c r="E275" s="37"/>
      <c r="F275" s="37"/>
      <c r="I275" s="17"/>
      <c r="J275" s="25"/>
      <c r="K275" s="25"/>
      <c r="L275" s="25"/>
      <c r="M275" s="25"/>
      <c r="N275" s="25"/>
    </row>
    <row r="276" spans="1:14" ht="60.75" customHeight="1">
      <c r="A276" s="243" t="s">
        <v>547</v>
      </c>
      <c r="B276" s="243"/>
      <c r="C276" s="243"/>
      <c r="D276" s="243"/>
      <c r="E276" s="243"/>
      <c r="F276" s="243"/>
      <c r="G276" s="17"/>
      <c r="H276" s="17"/>
      <c r="I276" s="17"/>
      <c r="J276" s="17"/>
      <c r="K276" s="17"/>
      <c r="L276" s="17"/>
      <c r="M276" s="25"/>
      <c r="N276" s="25"/>
    </row>
    <row r="277" spans="1:14" ht="33" customHeight="1">
      <c r="A277" s="243" t="s">
        <v>192</v>
      </c>
      <c r="B277" s="243"/>
      <c r="C277" s="243"/>
      <c r="D277" s="243"/>
      <c r="E277" s="243"/>
      <c r="F277" s="243"/>
      <c r="G277" s="17"/>
      <c r="H277" s="17"/>
      <c r="I277" s="17"/>
      <c r="J277" s="17"/>
      <c r="K277" s="17"/>
      <c r="L277" s="17"/>
      <c r="M277" s="25"/>
      <c r="N277" s="25"/>
    </row>
    <row r="278" spans="1:14" ht="15.75" customHeight="1">
      <c r="A278" s="42" t="s">
        <v>82</v>
      </c>
      <c r="B278" s="43"/>
      <c r="C278" s="43"/>
      <c r="D278" s="43"/>
      <c r="E278" s="43"/>
      <c r="F278" s="43"/>
      <c r="I278" s="17"/>
      <c r="J278" s="25"/>
      <c r="K278" s="25"/>
      <c r="L278" s="25"/>
      <c r="M278" s="25"/>
      <c r="N278" s="25"/>
    </row>
    <row r="279" spans="1:14" ht="27" customHeight="1">
      <c r="A279" s="243" t="s">
        <v>217</v>
      </c>
      <c r="B279" s="243"/>
      <c r="C279" s="243"/>
      <c r="D279" s="243"/>
      <c r="E279" s="243"/>
      <c r="F279" s="243"/>
      <c r="I279" s="25"/>
      <c r="J279" s="25"/>
      <c r="K279" s="25"/>
      <c r="L279" s="25"/>
      <c r="M279" s="25"/>
      <c r="N279" s="25"/>
    </row>
    <row r="280" spans="1:14" ht="14.25">
      <c r="A280" s="72" t="s">
        <v>53</v>
      </c>
      <c r="B280" s="56" t="s">
        <v>218</v>
      </c>
      <c r="C280" s="40"/>
      <c r="D280" s="73"/>
      <c r="E280" s="73"/>
      <c r="F280" s="73"/>
      <c r="I280" s="25"/>
      <c r="J280" s="25"/>
      <c r="K280" s="25"/>
      <c r="L280" s="25"/>
      <c r="M280" s="25"/>
      <c r="N280" s="25"/>
    </row>
    <row r="281" spans="1:14" ht="14.25">
      <c r="A281" s="72" t="s">
        <v>51</v>
      </c>
      <c r="B281" s="56" t="s">
        <v>219</v>
      </c>
      <c r="C281" s="40"/>
      <c r="D281" s="73"/>
      <c r="E281" s="73"/>
      <c r="F281" s="73"/>
      <c r="I281" s="25"/>
      <c r="J281" s="25"/>
      <c r="K281" s="25"/>
      <c r="L281" s="25"/>
      <c r="M281" s="25"/>
      <c r="N281" s="25"/>
    </row>
    <row r="282" spans="1:14" ht="14.25">
      <c r="A282" s="72" t="s">
        <v>19</v>
      </c>
      <c r="B282" s="56" t="s">
        <v>220</v>
      </c>
      <c r="C282" s="40"/>
      <c r="D282" s="73"/>
      <c r="E282" s="73"/>
      <c r="F282" s="73"/>
      <c r="I282" s="25"/>
      <c r="J282" s="25"/>
      <c r="K282" s="25"/>
      <c r="L282" s="25"/>
      <c r="M282" s="25"/>
      <c r="N282" s="25"/>
    </row>
    <row r="283" spans="1:14" ht="14.25">
      <c r="A283" s="72" t="s">
        <v>50</v>
      </c>
      <c r="B283" s="56" t="s">
        <v>221</v>
      </c>
      <c r="C283" s="40"/>
      <c r="D283" s="73"/>
      <c r="E283" s="73"/>
      <c r="F283" s="73"/>
      <c r="I283" s="25"/>
      <c r="J283" s="25"/>
      <c r="K283" s="25"/>
      <c r="L283" s="25"/>
      <c r="M283" s="25"/>
      <c r="N283" s="25"/>
    </row>
    <row r="284" spans="1:14" ht="14.25">
      <c r="A284" s="72" t="s">
        <v>52</v>
      </c>
      <c r="B284" s="56" t="s">
        <v>222</v>
      </c>
      <c r="C284" s="40"/>
      <c r="D284" s="73"/>
      <c r="E284" s="73"/>
      <c r="F284" s="73"/>
      <c r="I284" s="25"/>
      <c r="J284" s="25"/>
      <c r="K284" s="25"/>
      <c r="L284" s="25"/>
      <c r="M284" s="25"/>
      <c r="N284" s="25"/>
    </row>
    <row r="285" spans="1:14" ht="35.25" customHeight="1">
      <c r="A285" s="244" t="s">
        <v>478</v>
      </c>
      <c r="B285" s="244"/>
      <c r="C285" s="244"/>
      <c r="D285" s="244"/>
      <c r="E285" s="50"/>
      <c r="F285" s="51" t="s">
        <v>479</v>
      </c>
      <c r="I285" s="25"/>
      <c r="J285" s="25"/>
      <c r="K285" s="25"/>
      <c r="L285" s="25"/>
      <c r="M285" s="25"/>
      <c r="N285" s="25"/>
    </row>
    <row r="286" spans="1:14" ht="14.25">
      <c r="A286" s="65"/>
      <c r="B286" s="56" t="s">
        <v>223</v>
      </c>
      <c r="C286" s="40"/>
      <c r="D286" s="73"/>
      <c r="E286" s="73" t="s">
        <v>224</v>
      </c>
      <c r="F286" s="53"/>
      <c r="I286" s="25"/>
      <c r="J286" s="25"/>
      <c r="K286" s="25"/>
      <c r="L286" s="25"/>
      <c r="M286" s="25"/>
      <c r="N286" s="25"/>
    </row>
    <row r="287" spans="1:14" ht="14.25">
      <c r="A287" s="65"/>
      <c r="B287" s="56" t="s">
        <v>225</v>
      </c>
      <c r="C287" s="40"/>
      <c r="D287" s="73"/>
      <c r="E287" s="73" t="s">
        <v>226</v>
      </c>
      <c r="F287" s="53"/>
      <c r="I287" s="25"/>
      <c r="J287" s="25"/>
      <c r="K287" s="25"/>
      <c r="L287" s="25"/>
      <c r="M287" s="25"/>
      <c r="N287" s="25"/>
    </row>
    <row r="288" spans="1:14" ht="14.25">
      <c r="A288" s="65"/>
      <c r="B288" s="56" t="s">
        <v>227</v>
      </c>
      <c r="C288" s="40"/>
      <c r="D288" s="73"/>
      <c r="E288" s="73" t="s">
        <v>228</v>
      </c>
      <c r="F288" s="53"/>
      <c r="I288" s="25"/>
      <c r="J288" s="25"/>
      <c r="K288" s="25"/>
      <c r="L288" s="25"/>
      <c r="M288" s="25"/>
      <c r="N288" s="25"/>
    </row>
    <row r="289" spans="1:14" ht="14.25">
      <c r="A289" s="65"/>
      <c r="B289" s="56" t="s">
        <v>229</v>
      </c>
      <c r="C289" s="40"/>
      <c r="D289" s="73"/>
      <c r="E289" s="73" t="s">
        <v>230</v>
      </c>
      <c r="F289" s="53"/>
      <c r="I289" s="25"/>
      <c r="J289" s="25"/>
      <c r="K289" s="25"/>
      <c r="L289" s="25"/>
      <c r="M289" s="25"/>
      <c r="N289" s="25"/>
    </row>
    <row r="290" spans="1:14" ht="14.25">
      <c r="A290" s="65"/>
      <c r="B290" s="56"/>
      <c r="C290" s="40"/>
      <c r="D290" s="73"/>
      <c r="E290" s="73" t="s">
        <v>231</v>
      </c>
      <c r="F290" s="53"/>
      <c r="I290" s="25"/>
      <c r="J290" s="25"/>
      <c r="K290" s="25"/>
      <c r="L290" s="25"/>
      <c r="M290" s="25"/>
      <c r="N290" s="25"/>
    </row>
    <row r="291" spans="1:14" ht="14.25">
      <c r="A291" s="65"/>
      <c r="B291" s="56" t="s">
        <v>232</v>
      </c>
      <c r="C291" s="40"/>
      <c r="D291" s="73"/>
      <c r="E291" s="73" t="s">
        <v>233</v>
      </c>
      <c r="F291" s="53"/>
      <c r="I291" s="25"/>
      <c r="J291" s="25"/>
      <c r="K291" s="25"/>
      <c r="L291" s="25"/>
      <c r="M291" s="25"/>
      <c r="N291" s="25"/>
    </row>
    <row r="292" spans="1:14" ht="14.25">
      <c r="A292" s="65"/>
      <c r="B292" s="56" t="s">
        <v>234</v>
      </c>
      <c r="C292" s="40"/>
      <c r="D292" s="73"/>
      <c r="E292" s="73" t="s">
        <v>235</v>
      </c>
      <c r="F292" s="53"/>
      <c r="I292" s="25"/>
      <c r="J292" s="25"/>
      <c r="K292" s="25"/>
      <c r="L292" s="25"/>
      <c r="M292" s="25"/>
      <c r="N292" s="25"/>
    </row>
    <row r="293" spans="1:14" ht="14.25">
      <c r="A293" s="65"/>
      <c r="B293" s="56"/>
      <c r="C293" s="40"/>
      <c r="D293" s="73"/>
      <c r="E293" s="73" t="s">
        <v>236</v>
      </c>
      <c r="F293" s="53"/>
      <c r="I293" s="25"/>
      <c r="J293" s="25"/>
      <c r="K293" s="25"/>
      <c r="L293" s="25"/>
      <c r="M293" s="25"/>
      <c r="N293" s="25"/>
    </row>
    <row r="294" spans="1:14" ht="14.25">
      <c r="A294" s="65"/>
      <c r="B294" s="56"/>
      <c r="C294" s="40"/>
      <c r="D294" s="73"/>
      <c r="E294" s="73" t="s">
        <v>237</v>
      </c>
      <c r="F294" s="53"/>
      <c r="I294" s="25"/>
      <c r="J294" s="25"/>
      <c r="K294" s="25"/>
      <c r="L294" s="25"/>
      <c r="M294" s="25"/>
      <c r="N294" s="25"/>
    </row>
    <row r="295" spans="1:14" ht="14.25">
      <c r="A295" s="65"/>
      <c r="B295" s="56" t="s">
        <v>238</v>
      </c>
      <c r="C295" s="40"/>
      <c r="D295" s="73"/>
      <c r="E295" s="73" t="s">
        <v>239</v>
      </c>
      <c r="F295" s="53"/>
      <c r="I295" s="25"/>
      <c r="J295" s="25"/>
      <c r="K295" s="25"/>
      <c r="L295" s="25"/>
      <c r="M295" s="25"/>
      <c r="N295" s="25"/>
    </row>
    <row r="296" spans="1:14" ht="14.25">
      <c r="A296" s="65"/>
      <c r="B296" s="56" t="s">
        <v>240</v>
      </c>
      <c r="C296" s="40"/>
      <c r="D296" s="73"/>
      <c r="E296" s="73" t="s">
        <v>241</v>
      </c>
      <c r="F296" s="53"/>
      <c r="I296" s="25"/>
      <c r="J296" s="25"/>
      <c r="K296" s="25"/>
      <c r="L296" s="25"/>
      <c r="M296" s="25"/>
      <c r="N296" s="25"/>
    </row>
    <row r="297" spans="1:14" ht="19.899999999999999" customHeight="1">
      <c r="A297" s="65"/>
      <c r="B297" s="56" t="s">
        <v>242</v>
      </c>
      <c r="C297" s="40"/>
      <c r="D297" s="73"/>
      <c r="E297" s="73" t="s">
        <v>243</v>
      </c>
      <c r="F297" s="53"/>
      <c r="I297" s="25"/>
      <c r="J297" s="25"/>
      <c r="K297" s="25"/>
      <c r="L297" s="25"/>
      <c r="M297" s="25"/>
      <c r="N297" s="25"/>
    </row>
    <row r="298" spans="1:14" ht="28.5" customHeight="1">
      <c r="A298" s="243" t="s">
        <v>244</v>
      </c>
      <c r="B298" s="243"/>
      <c r="C298" s="243"/>
      <c r="D298" s="243"/>
      <c r="E298" s="243"/>
      <c r="F298" s="243"/>
      <c r="I298" s="17"/>
      <c r="J298" s="25"/>
      <c r="K298" s="25"/>
      <c r="L298" s="25"/>
      <c r="M298" s="25"/>
      <c r="N298" s="25"/>
    </row>
    <row r="299" spans="1:14" ht="19.5" customHeight="1">
      <c r="A299" s="243" t="s">
        <v>245</v>
      </c>
      <c r="B299" s="243"/>
      <c r="C299" s="243"/>
      <c r="D299" s="243"/>
      <c r="E299" s="243"/>
      <c r="F299" s="243"/>
      <c r="I299" s="17"/>
      <c r="J299" s="25"/>
      <c r="K299" s="25"/>
      <c r="L299" s="25"/>
      <c r="M299" s="25"/>
      <c r="N299" s="25"/>
    </row>
    <row r="300" spans="1:14" ht="52.5" customHeight="1">
      <c r="A300" s="243" t="s">
        <v>246</v>
      </c>
      <c r="B300" s="243"/>
      <c r="C300" s="243"/>
      <c r="D300" s="243"/>
      <c r="E300" s="243"/>
      <c r="F300" s="243"/>
      <c r="I300" s="17"/>
      <c r="J300" s="25"/>
      <c r="K300" s="25"/>
      <c r="L300" s="25"/>
      <c r="M300" s="25"/>
      <c r="N300" s="25"/>
    </row>
    <row r="301" spans="1:14" ht="48.75" customHeight="1">
      <c r="A301" s="243" t="s">
        <v>247</v>
      </c>
      <c r="B301" s="243"/>
      <c r="C301" s="243"/>
      <c r="D301" s="243"/>
      <c r="E301" s="243"/>
      <c r="F301" s="243"/>
      <c r="I301" s="17"/>
      <c r="J301" s="25"/>
      <c r="K301" s="25"/>
      <c r="L301" s="25"/>
      <c r="M301" s="25"/>
      <c r="N301" s="25"/>
    </row>
    <row r="302" spans="1:14" ht="51" customHeight="1">
      <c r="A302" s="243" t="s">
        <v>248</v>
      </c>
      <c r="B302" s="243"/>
      <c r="C302" s="243"/>
      <c r="D302" s="243"/>
      <c r="E302" s="243"/>
      <c r="F302" s="243"/>
      <c r="I302" s="17"/>
      <c r="J302" s="25"/>
      <c r="K302" s="25"/>
      <c r="L302" s="25"/>
      <c r="M302" s="25"/>
      <c r="N302" s="25"/>
    </row>
    <row r="303" spans="1:14" ht="45.75" customHeight="1">
      <c r="A303" s="243" t="s">
        <v>249</v>
      </c>
      <c r="B303" s="243"/>
      <c r="C303" s="243"/>
      <c r="D303" s="243"/>
      <c r="E303" s="243"/>
      <c r="F303" s="243"/>
      <c r="I303" s="25"/>
      <c r="J303" s="25"/>
      <c r="K303" s="25"/>
      <c r="L303" s="25"/>
      <c r="M303" s="25"/>
      <c r="N303" s="25"/>
    </row>
    <row r="304" spans="1:14" ht="22.5" customHeight="1">
      <c r="A304" s="243" t="s">
        <v>250</v>
      </c>
      <c r="B304" s="243"/>
      <c r="C304" s="243"/>
      <c r="D304" s="243"/>
      <c r="E304" s="243"/>
      <c r="F304" s="243"/>
      <c r="I304" s="25"/>
      <c r="J304" s="25"/>
      <c r="K304" s="25"/>
      <c r="L304" s="25"/>
      <c r="M304" s="25"/>
      <c r="N304" s="25"/>
    </row>
    <row r="305" spans="1:14" ht="36" customHeight="1">
      <c r="A305" s="243" t="s">
        <v>251</v>
      </c>
      <c r="B305" s="243"/>
      <c r="C305" s="243"/>
      <c r="D305" s="243"/>
      <c r="E305" s="243"/>
      <c r="F305" s="243"/>
      <c r="I305" s="25"/>
      <c r="J305" s="25"/>
      <c r="K305" s="25"/>
      <c r="L305" s="25"/>
      <c r="M305" s="25"/>
      <c r="N305" s="25"/>
    </row>
    <row r="306" spans="1:14" ht="28.5" customHeight="1">
      <c r="A306" s="243" t="s">
        <v>252</v>
      </c>
      <c r="B306" s="243"/>
      <c r="C306" s="243"/>
      <c r="D306" s="243"/>
      <c r="E306" s="243"/>
      <c r="F306" s="243"/>
      <c r="I306" s="25"/>
      <c r="J306" s="25"/>
      <c r="K306" s="25"/>
      <c r="L306" s="25"/>
      <c r="M306" s="25"/>
      <c r="N306" s="25"/>
    </row>
    <row r="307" spans="1:14" ht="30.75" customHeight="1">
      <c r="A307" s="243" t="s">
        <v>253</v>
      </c>
      <c r="B307" s="243"/>
      <c r="C307" s="243"/>
      <c r="D307" s="243"/>
      <c r="E307" s="243"/>
      <c r="F307" s="243"/>
      <c r="I307" s="25"/>
      <c r="J307" s="25"/>
      <c r="K307" s="25"/>
      <c r="L307" s="25"/>
      <c r="M307" s="25"/>
      <c r="N307" s="25"/>
    </row>
    <row r="308" spans="1:14" ht="72" customHeight="1">
      <c r="A308" s="243" t="s">
        <v>254</v>
      </c>
      <c r="B308" s="243"/>
      <c r="C308" s="243"/>
      <c r="D308" s="243"/>
      <c r="E308" s="243"/>
      <c r="F308" s="243"/>
      <c r="I308" s="25"/>
      <c r="J308" s="25"/>
      <c r="K308" s="25"/>
      <c r="L308" s="25"/>
      <c r="M308" s="25"/>
      <c r="N308" s="25"/>
    </row>
    <row r="309" spans="1:14" ht="109.5" customHeight="1">
      <c r="A309" s="243" t="s">
        <v>255</v>
      </c>
      <c r="B309" s="243"/>
      <c r="C309" s="243"/>
      <c r="D309" s="243"/>
      <c r="E309" s="243"/>
      <c r="F309" s="243"/>
      <c r="I309" s="25"/>
      <c r="J309" s="25"/>
      <c r="K309" s="25"/>
      <c r="L309" s="25"/>
      <c r="M309" s="25"/>
      <c r="N309" s="25"/>
    </row>
    <row r="310" spans="1:14" ht="40.5" customHeight="1">
      <c r="A310" s="243" t="s">
        <v>118</v>
      </c>
      <c r="B310" s="243"/>
      <c r="C310" s="243"/>
      <c r="D310" s="243"/>
      <c r="E310" s="243"/>
      <c r="F310" s="243"/>
      <c r="I310" s="25"/>
      <c r="J310" s="25"/>
      <c r="K310" s="25"/>
      <c r="L310" s="25"/>
      <c r="M310" s="25"/>
      <c r="N310" s="25"/>
    </row>
    <row r="311" spans="1:14" ht="17.25" customHeight="1">
      <c r="A311" s="74" t="s">
        <v>256</v>
      </c>
      <c r="B311" s="26"/>
      <c r="C311" s="26"/>
      <c r="D311" s="26"/>
      <c r="E311" s="26"/>
      <c r="F311" s="26"/>
      <c r="I311" s="25"/>
      <c r="J311" s="25"/>
      <c r="K311" s="25"/>
      <c r="L311" s="25"/>
      <c r="M311" s="25"/>
      <c r="N311" s="25"/>
    </row>
    <row r="312" spans="1:14" ht="27.75" customHeight="1">
      <c r="A312" s="243" t="s">
        <v>257</v>
      </c>
      <c r="B312" s="243"/>
      <c r="C312" s="243"/>
      <c r="D312" s="243"/>
      <c r="E312" s="243"/>
      <c r="F312" s="243"/>
      <c r="I312" s="25"/>
      <c r="J312" s="25"/>
      <c r="K312" s="25"/>
      <c r="L312" s="25"/>
      <c r="M312" s="25"/>
      <c r="N312" s="25"/>
    </row>
    <row r="313" spans="1:14" ht="15" customHeight="1">
      <c r="A313" s="75"/>
      <c r="B313" s="30" t="s">
        <v>258</v>
      </c>
      <c r="C313" s="50"/>
      <c r="D313" s="50"/>
      <c r="E313" s="50"/>
      <c r="F313" s="50"/>
      <c r="I313" s="25"/>
      <c r="J313" s="25"/>
      <c r="K313" s="25"/>
      <c r="L313" s="25"/>
      <c r="M313" s="25"/>
      <c r="N313" s="25"/>
    </row>
    <row r="314" spans="1:14" ht="18.75" customHeight="1">
      <c r="A314" s="75"/>
      <c r="B314" s="30" t="s">
        <v>259</v>
      </c>
      <c r="C314" s="50"/>
      <c r="D314" s="50"/>
      <c r="E314" s="50"/>
      <c r="F314" s="50"/>
      <c r="I314" s="25"/>
      <c r="J314" s="25"/>
      <c r="K314" s="25"/>
      <c r="L314" s="25"/>
      <c r="M314" s="25"/>
      <c r="N314" s="25"/>
    </row>
    <row r="315" spans="1:14" ht="41.25" customHeight="1">
      <c r="A315" s="243" t="s">
        <v>260</v>
      </c>
      <c r="B315" s="243"/>
      <c r="C315" s="243"/>
      <c r="D315" s="243"/>
      <c r="E315" s="243"/>
      <c r="F315" s="243"/>
      <c r="I315" s="25"/>
      <c r="J315" s="25"/>
      <c r="K315" s="25"/>
      <c r="L315" s="25"/>
      <c r="M315" s="25"/>
      <c r="N315" s="25"/>
    </row>
    <row r="316" spans="1:14" ht="33.75" customHeight="1">
      <c r="A316" s="243" t="s">
        <v>261</v>
      </c>
      <c r="B316" s="243"/>
      <c r="C316" s="243"/>
      <c r="D316" s="243"/>
      <c r="E316" s="243"/>
      <c r="F316" s="243"/>
      <c r="I316" s="25"/>
      <c r="J316" s="25"/>
      <c r="K316" s="25"/>
      <c r="L316" s="25"/>
      <c r="M316" s="25"/>
      <c r="N316" s="25"/>
    </row>
    <row r="317" spans="1:14" ht="48.75" customHeight="1">
      <c r="A317" s="243" t="s">
        <v>262</v>
      </c>
      <c r="B317" s="243"/>
      <c r="C317" s="243"/>
      <c r="D317" s="243"/>
      <c r="E317" s="243"/>
      <c r="F317" s="243"/>
      <c r="I317" s="25"/>
      <c r="J317" s="25"/>
      <c r="K317" s="25"/>
      <c r="L317" s="25"/>
      <c r="M317" s="25"/>
      <c r="N317" s="25"/>
    </row>
    <row r="318" spans="1:14" ht="17.25" customHeight="1">
      <c r="A318" s="243" t="s">
        <v>263</v>
      </c>
      <c r="B318" s="243"/>
      <c r="C318" s="243"/>
      <c r="D318" s="243"/>
      <c r="E318" s="243"/>
      <c r="F318" s="243"/>
      <c r="I318" s="25"/>
      <c r="J318" s="25"/>
      <c r="K318" s="25"/>
      <c r="L318" s="25"/>
      <c r="M318" s="25"/>
      <c r="N318" s="25"/>
    </row>
    <row r="319" spans="1:14" ht="16.5" customHeight="1">
      <c r="A319" s="243" t="s">
        <v>548</v>
      </c>
      <c r="B319" s="243"/>
      <c r="C319" s="243"/>
      <c r="D319" s="243"/>
      <c r="E319" s="243"/>
      <c r="F319" s="243"/>
      <c r="I319" s="25"/>
      <c r="J319" s="25"/>
      <c r="K319" s="25"/>
      <c r="L319" s="25"/>
      <c r="M319" s="25"/>
      <c r="N319" s="25"/>
    </row>
    <row r="320" spans="1:14" ht="16.5" customHeight="1">
      <c r="A320" s="243" t="s">
        <v>549</v>
      </c>
      <c r="B320" s="243"/>
      <c r="C320" s="243"/>
      <c r="D320" s="243"/>
      <c r="E320" s="243"/>
      <c r="F320" s="243"/>
      <c r="I320" s="25"/>
      <c r="J320" s="25"/>
      <c r="K320" s="25"/>
      <c r="L320" s="25"/>
      <c r="M320" s="25"/>
      <c r="N320" s="25"/>
    </row>
    <row r="321" spans="1:14" ht="15.75" customHeight="1">
      <c r="A321" s="243" t="s">
        <v>550</v>
      </c>
      <c r="B321" s="243"/>
      <c r="C321" s="243"/>
      <c r="D321" s="243"/>
      <c r="E321" s="243"/>
      <c r="F321" s="243"/>
      <c r="I321" s="25"/>
      <c r="J321" s="25"/>
      <c r="K321" s="25"/>
      <c r="L321" s="25"/>
      <c r="M321" s="25"/>
      <c r="N321" s="25"/>
    </row>
    <row r="322" spans="1:14" ht="18" customHeight="1">
      <c r="A322" s="243" t="s">
        <v>551</v>
      </c>
      <c r="B322" s="243"/>
      <c r="C322" s="243"/>
      <c r="D322" s="243"/>
      <c r="E322" s="243"/>
      <c r="F322" s="243"/>
      <c r="I322" s="25"/>
      <c r="J322" s="25"/>
      <c r="K322" s="25"/>
      <c r="L322" s="25"/>
      <c r="M322" s="25"/>
      <c r="N322" s="25"/>
    </row>
    <row r="323" spans="1:14" ht="32.25" customHeight="1">
      <c r="A323" s="243" t="s">
        <v>264</v>
      </c>
      <c r="B323" s="243"/>
      <c r="C323" s="243"/>
      <c r="D323" s="243"/>
      <c r="E323" s="243"/>
      <c r="F323" s="243"/>
      <c r="I323" s="25"/>
      <c r="J323" s="25"/>
      <c r="K323" s="25"/>
      <c r="L323" s="25"/>
      <c r="M323" s="25"/>
      <c r="N323" s="25"/>
    </row>
    <row r="324" spans="1:14" ht="40.5" customHeight="1">
      <c r="A324" s="243" t="s">
        <v>488</v>
      </c>
      <c r="B324" s="243"/>
      <c r="C324" s="243"/>
      <c r="D324" s="243"/>
      <c r="E324" s="243"/>
      <c r="F324" s="243"/>
      <c r="I324" s="25"/>
      <c r="J324" s="25"/>
      <c r="K324" s="25"/>
      <c r="L324" s="25"/>
      <c r="M324" s="25"/>
      <c r="N324" s="25"/>
    </row>
    <row r="325" spans="1:14" ht="29.25" customHeight="1">
      <c r="A325" s="243" t="s">
        <v>118</v>
      </c>
      <c r="B325" s="243"/>
      <c r="C325" s="243"/>
      <c r="D325" s="243"/>
      <c r="E325" s="243"/>
      <c r="F325" s="243"/>
      <c r="I325" s="25"/>
      <c r="J325" s="25"/>
      <c r="K325" s="25"/>
      <c r="L325" s="25"/>
      <c r="M325" s="25"/>
      <c r="N325" s="25"/>
    </row>
    <row r="326" spans="1:14" ht="16.5" customHeight="1">
      <c r="A326" s="26"/>
      <c r="B326" s="26"/>
      <c r="C326" s="26"/>
      <c r="D326" s="26"/>
      <c r="E326" s="26"/>
      <c r="F326" s="26"/>
      <c r="I326" s="25"/>
      <c r="J326" s="25"/>
      <c r="K326" s="25"/>
      <c r="L326" s="25"/>
      <c r="M326" s="25"/>
      <c r="N326" s="25"/>
    </row>
    <row r="327" spans="1:14" ht="14.25">
      <c r="A327" s="29"/>
      <c r="B327" s="44"/>
      <c r="C327" s="29"/>
      <c r="D327" s="45"/>
      <c r="E327" s="45"/>
      <c r="F327" s="45"/>
      <c r="I327" s="25"/>
      <c r="J327" s="25"/>
      <c r="K327" s="25"/>
      <c r="L327" s="25"/>
      <c r="M327" s="25"/>
      <c r="N327" s="25"/>
    </row>
    <row r="328" spans="1:14" s="32" customFormat="1">
      <c r="A328" s="19" t="s">
        <v>265</v>
      </c>
      <c r="B328" s="69"/>
      <c r="C328" s="31"/>
      <c r="D328" s="31"/>
      <c r="E328" s="70"/>
      <c r="F328" s="31"/>
    </row>
    <row r="329" spans="1:14" ht="14.25">
      <c r="A329" s="23"/>
      <c r="B329" s="23"/>
      <c r="C329" s="23"/>
      <c r="D329" s="23"/>
      <c r="E329" s="45"/>
      <c r="F329" s="23"/>
      <c r="I329" s="25"/>
      <c r="J329" s="25"/>
      <c r="K329" s="25"/>
      <c r="L329" s="25"/>
      <c r="M329" s="25"/>
      <c r="N329" s="25"/>
    </row>
    <row r="330" spans="1:14" ht="64.5" customHeight="1">
      <c r="A330" s="243" t="s">
        <v>552</v>
      </c>
      <c r="B330" s="243"/>
      <c r="C330" s="243"/>
      <c r="D330" s="243"/>
      <c r="E330" s="243"/>
      <c r="F330" s="243"/>
      <c r="G330" s="17"/>
      <c r="H330" s="17"/>
      <c r="I330" s="17"/>
      <c r="J330" s="17"/>
      <c r="K330" s="17"/>
      <c r="L330" s="17"/>
      <c r="M330" s="25"/>
      <c r="N330" s="25"/>
    </row>
    <row r="331" spans="1:14" ht="36.75" customHeight="1">
      <c r="A331" s="243" t="s">
        <v>192</v>
      </c>
      <c r="B331" s="243"/>
      <c r="C331" s="243"/>
      <c r="D331" s="243"/>
      <c r="E331" s="243"/>
      <c r="F331" s="243"/>
      <c r="G331" s="17"/>
      <c r="H331" s="17"/>
      <c r="I331" s="17"/>
      <c r="J331" s="17"/>
      <c r="K331" s="17"/>
      <c r="L331" s="17"/>
      <c r="M331" s="25"/>
      <c r="N331" s="25"/>
    </row>
    <row r="332" spans="1:14" ht="49.5" customHeight="1">
      <c r="A332" s="243" t="s">
        <v>266</v>
      </c>
      <c r="B332" s="243"/>
      <c r="C332" s="243"/>
      <c r="D332" s="243"/>
      <c r="E332" s="243"/>
      <c r="F332" s="243"/>
      <c r="I332" s="25"/>
      <c r="J332" s="25"/>
      <c r="K332" s="25"/>
      <c r="L332" s="25"/>
      <c r="M332" s="25"/>
      <c r="N332" s="25"/>
    </row>
    <row r="333" spans="1:14" ht="21" customHeight="1">
      <c r="A333" s="243" t="s">
        <v>267</v>
      </c>
      <c r="B333" s="243"/>
      <c r="C333" s="243"/>
      <c r="D333" s="243"/>
      <c r="E333" s="243"/>
      <c r="F333" s="243"/>
      <c r="I333" s="25"/>
      <c r="J333" s="25"/>
      <c r="K333" s="25"/>
      <c r="L333" s="25"/>
      <c r="M333" s="25"/>
      <c r="N333" s="25"/>
    </row>
    <row r="334" spans="1:14" ht="13.15" customHeight="1">
      <c r="A334" s="75" t="s">
        <v>88</v>
      </c>
      <c r="B334" s="52" t="s">
        <v>176</v>
      </c>
      <c r="C334" s="26"/>
      <c r="D334" s="26"/>
      <c r="E334" s="250"/>
      <c r="F334" s="250"/>
      <c r="I334" s="25"/>
      <c r="J334" s="25"/>
      <c r="K334" s="25"/>
      <c r="L334" s="25"/>
      <c r="M334" s="25"/>
      <c r="N334" s="25"/>
    </row>
    <row r="335" spans="1:14" ht="16.149999999999999" customHeight="1">
      <c r="A335" s="75" t="s">
        <v>88</v>
      </c>
      <c r="B335" s="26" t="s">
        <v>268</v>
      </c>
      <c r="C335" s="75" t="s">
        <v>269</v>
      </c>
      <c r="D335" s="26" t="s">
        <v>270</v>
      </c>
      <c r="E335" s="250" t="s">
        <v>553</v>
      </c>
      <c r="F335" s="250"/>
      <c r="I335" s="25"/>
      <c r="J335" s="25"/>
      <c r="K335" s="25"/>
      <c r="L335" s="25"/>
      <c r="M335" s="25"/>
      <c r="N335" s="25"/>
    </row>
    <row r="336" spans="1:14" ht="14.25">
      <c r="A336" s="75" t="s">
        <v>88</v>
      </c>
      <c r="B336" s="26" t="s">
        <v>271</v>
      </c>
      <c r="C336" s="75" t="s">
        <v>269</v>
      </c>
      <c r="D336" s="26" t="s">
        <v>272</v>
      </c>
      <c r="E336" s="250" t="s">
        <v>553</v>
      </c>
      <c r="F336" s="250"/>
      <c r="I336" s="25"/>
      <c r="J336" s="25"/>
      <c r="K336" s="25"/>
      <c r="L336" s="25"/>
      <c r="M336" s="25"/>
      <c r="N336" s="25"/>
    </row>
    <row r="337" spans="1:14" ht="14.25">
      <c r="A337" s="75" t="s">
        <v>88</v>
      </c>
      <c r="B337" s="26" t="s">
        <v>273</v>
      </c>
      <c r="C337" s="75" t="s">
        <v>269</v>
      </c>
      <c r="D337" s="26" t="s">
        <v>274</v>
      </c>
      <c r="E337" s="250" t="s">
        <v>553</v>
      </c>
      <c r="F337" s="250"/>
      <c r="I337" s="25"/>
      <c r="J337" s="25"/>
      <c r="K337" s="25"/>
      <c r="L337" s="25"/>
      <c r="M337" s="25"/>
      <c r="N337" s="25"/>
    </row>
    <row r="338" spans="1:14" ht="14.25">
      <c r="A338" s="75" t="s">
        <v>88</v>
      </c>
      <c r="B338" s="26" t="s">
        <v>5</v>
      </c>
      <c r="C338" s="75" t="s">
        <v>269</v>
      </c>
      <c r="D338" s="26" t="s">
        <v>275</v>
      </c>
      <c r="E338" s="250" t="s">
        <v>553</v>
      </c>
      <c r="F338" s="250"/>
      <c r="I338" s="25"/>
      <c r="J338" s="25"/>
      <c r="K338" s="25"/>
      <c r="L338" s="25"/>
      <c r="M338" s="25"/>
      <c r="N338" s="25"/>
    </row>
    <row r="339" spans="1:14" ht="14.25">
      <c r="A339" s="75" t="s">
        <v>88</v>
      </c>
      <c r="B339" s="26" t="s">
        <v>276</v>
      </c>
      <c r="C339" s="75" t="s">
        <v>269</v>
      </c>
      <c r="D339" s="26" t="s">
        <v>277</v>
      </c>
      <c r="E339" s="250" t="s">
        <v>553</v>
      </c>
      <c r="F339" s="250"/>
      <c r="I339" s="25"/>
      <c r="J339" s="25"/>
      <c r="K339" s="25"/>
      <c r="L339" s="25"/>
      <c r="M339" s="25"/>
      <c r="N339" s="25"/>
    </row>
    <row r="340" spans="1:14" ht="14.25">
      <c r="A340" s="75"/>
      <c r="B340" s="26"/>
      <c r="C340" s="75" t="s">
        <v>269</v>
      </c>
      <c r="D340" s="26" t="s">
        <v>278</v>
      </c>
      <c r="E340" s="250" t="s">
        <v>553</v>
      </c>
      <c r="F340" s="250"/>
      <c r="I340" s="25"/>
      <c r="J340" s="25"/>
      <c r="K340" s="25"/>
      <c r="L340" s="25"/>
      <c r="M340" s="25"/>
      <c r="N340" s="25"/>
    </row>
    <row r="341" spans="1:14" ht="14.25">
      <c r="A341" s="75"/>
      <c r="B341" s="26"/>
      <c r="C341" s="75" t="s">
        <v>269</v>
      </c>
      <c r="D341" s="26" t="s">
        <v>279</v>
      </c>
      <c r="E341" s="250" t="s">
        <v>553</v>
      </c>
      <c r="F341" s="250"/>
      <c r="I341" s="25"/>
      <c r="J341" s="25"/>
      <c r="K341" s="25"/>
      <c r="L341" s="25"/>
      <c r="M341" s="25"/>
      <c r="N341" s="25"/>
    </row>
    <row r="342" spans="1:14" ht="14.25">
      <c r="A342" s="75" t="s">
        <v>88</v>
      </c>
      <c r="B342" s="26" t="s">
        <v>280</v>
      </c>
      <c r="C342" s="75" t="s">
        <v>269</v>
      </c>
      <c r="D342" s="26" t="s">
        <v>281</v>
      </c>
      <c r="E342" s="250" t="s">
        <v>553</v>
      </c>
      <c r="F342" s="250"/>
      <c r="I342" s="25"/>
      <c r="J342" s="25"/>
      <c r="K342" s="25"/>
      <c r="L342" s="25"/>
      <c r="M342" s="25"/>
      <c r="N342" s="25"/>
    </row>
    <row r="343" spans="1:14" ht="14.25">
      <c r="A343" s="75" t="s">
        <v>88</v>
      </c>
      <c r="B343" s="26" t="s">
        <v>282</v>
      </c>
      <c r="C343" s="75" t="s">
        <v>269</v>
      </c>
      <c r="D343" s="26" t="s">
        <v>283</v>
      </c>
      <c r="E343" s="250" t="s">
        <v>553</v>
      </c>
      <c r="F343" s="250"/>
      <c r="I343" s="25"/>
      <c r="J343" s="25"/>
      <c r="K343" s="25"/>
      <c r="L343" s="25"/>
      <c r="M343" s="25"/>
      <c r="N343" s="25"/>
    </row>
    <row r="344" spans="1:14" ht="15.75" customHeight="1">
      <c r="A344" s="75" t="s">
        <v>88</v>
      </c>
      <c r="B344" s="26" t="s">
        <v>284</v>
      </c>
      <c r="C344" s="75" t="s">
        <v>285</v>
      </c>
      <c r="D344" s="26" t="s">
        <v>286</v>
      </c>
      <c r="E344" s="250" t="s">
        <v>553</v>
      </c>
      <c r="F344" s="250"/>
      <c r="I344" s="25"/>
      <c r="J344" s="25"/>
      <c r="K344" s="25"/>
      <c r="L344" s="25"/>
      <c r="M344" s="25"/>
      <c r="N344" s="25"/>
    </row>
    <row r="345" spans="1:14" ht="5.25" customHeight="1">
      <c r="A345" s="75"/>
      <c r="B345" s="26"/>
      <c r="C345" s="75"/>
      <c r="D345" s="26"/>
      <c r="E345" s="26"/>
      <c r="F345" s="26"/>
      <c r="I345" s="25"/>
      <c r="J345" s="25"/>
      <c r="K345" s="25"/>
      <c r="L345" s="25"/>
      <c r="M345" s="25"/>
      <c r="N345" s="25"/>
    </row>
    <row r="346" spans="1:14" ht="29.25" customHeight="1">
      <c r="A346" s="243" t="s">
        <v>287</v>
      </c>
      <c r="B346" s="243"/>
      <c r="C346" s="243"/>
      <c r="D346" s="243"/>
      <c r="E346" s="243"/>
      <c r="F346" s="243"/>
      <c r="I346" s="25"/>
      <c r="J346" s="25"/>
      <c r="K346" s="25"/>
      <c r="L346" s="25"/>
      <c r="M346" s="25"/>
      <c r="N346" s="25"/>
    </row>
    <row r="347" spans="1:14" ht="27.75" customHeight="1">
      <c r="A347" s="243" t="s">
        <v>288</v>
      </c>
      <c r="B347" s="243"/>
      <c r="C347" s="243"/>
      <c r="D347" s="243"/>
      <c r="E347" s="243"/>
      <c r="F347" s="243"/>
      <c r="I347" s="25"/>
      <c r="J347" s="25"/>
      <c r="K347" s="25"/>
      <c r="L347" s="25"/>
      <c r="M347" s="25"/>
      <c r="N347" s="25"/>
    </row>
    <row r="348" spans="1:14" ht="64.5" customHeight="1">
      <c r="A348" s="243" t="s">
        <v>289</v>
      </c>
      <c r="B348" s="243"/>
      <c r="C348" s="243"/>
      <c r="D348" s="243"/>
      <c r="E348" s="243"/>
      <c r="F348" s="243"/>
      <c r="I348" s="25"/>
      <c r="J348" s="25"/>
      <c r="K348" s="25"/>
      <c r="L348" s="25"/>
      <c r="M348" s="25"/>
      <c r="N348" s="25"/>
    </row>
    <row r="349" spans="1:14" ht="51.75" customHeight="1">
      <c r="A349" s="243" t="s">
        <v>290</v>
      </c>
      <c r="B349" s="243"/>
      <c r="C349" s="243"/>
      <c r="D349" s="243"/>
      <c r="E349" s="243"/>
      <c r="F349" s="243"/>
      <c r="I349" s="25"/>
      <c r="J349" s="25"/>
      <c r="K349" s="25"/>
      <c r="L349" s="25"/>
      <c r="M349" s="25"/>
      <c r="N349" s="25"/>
    </row>
    <row r="350" spans="1:14" ht="29.25" customHeight="1">
      <c r="A350" s="243" t="s">
        <v>291</v>
      </c>
      <c r="B350" s="243"/>
      <c r="C350" s="243"/>
      <c r="D350" s="243"/>
      <c r="E350" s="243"/>
      <c r="F350" s="243"/>
      <c r="I350" s="25"/>
      <c r="J350" s="25"/>
      <c r="K350" s="25"/>
      <c r="L350" s="25"/>
      <c r="M350" s="25"/>
      <c r="N350" s="25"/>
    </row>
    <row r="351" spans="1:14" ht="51.75" customHeight="1">
      <c r="A351" s="243" t="s">
        <v>292</v>
      </c>
      <c r="B351" s="243"/>
      <c r="C351" s="243"/>
      <c r="D351" s="243"/>
      <c r="E351" s="243"/>
      <c r="F351" s="243"/>
      <c r="I351" s="25"/>
      <c r="J351" s="25"/>
      <c r="K351" s="25"/>
      <c r="L351" s="25"/>
      <c r="M351" s="25"/>
      <c r="N351" s="25"/>
    </row>
    <row r="352" spans="1:14" ht="47.25" customHeight="1">
      <c r="A352" s="243" t="s">
        <v>293</v>
      </c>
      <c r="B352" s="243"/>
      <c r="C352" s="243"/>
      <c r="D352" s="243"/>
      <c r="E352" s="243"/>
      <c r="F352" s="243"/>
      <c r="I352" s="25"/>
      <c r="J352" s="25"/>
      <c r="K352" s="25"/>
      <c r="L352" s="25"/>
      <c r="M352" s="25"/>
      <c r="N352" s="25"/>
    </row>
    <row r="353" spans="1:14" ht="66" customHeight="1">
      <c r="A353" s="243" t="s">
        <v>294</v>
      </c>
      <c r="B353" s="243"/>
      <c r="C353" s="243"/>
      <c r="D353" s="243"/>
      <c r="E353" s="243"/>
      <c r="F353" s="243"/>
      <c r="I353" s="25"/>
      <c r="J353" s="25"/>
      <c r="K353" s="25"/>
      <c r="L353" s="25"/>
      <c r="M353" s="25"/>
      <c r="N353" s="25"/>
    </row>
    <row r="354" spans="1:14" ht="57" customHeight="1">
      <c r="A354" s="243" t="s">
        <v>295</v>
      </c>
      <c r="B354" s="243"/>
      <c r="C354" s="243"/>
      <c r="D354" s="243"/>
      <c r="E354" s="243"/>
      <c r="F354" s="243"/>
      <c r="I354" s="25"/>
      <c r="J354" s="25"/>
      <c r="K354" s="25"/>
      <c r="L354" s="25"/>
      <c r="M354" s="25"/>
      <c r="N354" s="25"/>
    </row>
    <row r="355" spans="1:14" ht="16.899999999999999" customHeight="1">
      <c r="A355" s="243" t="s">
        <v>296</v>
      </c>
      <c r="B355" s="243"/>
      <c r="C355" s="243"/>
      <c r="D355" s="243"/>
      <c r="E355" s="243"/>
      <c r="F355" s="243"/>
      <c r="I355" s="25"/>
      <c r="J355" s="25"/>
      <c r="K355" s="25"/>
      <c r="L355" s="25"/>
      <c r="M355" s="25"/>
      <c r="N355" s="25"/>
    </row>
    <row r="356" spans="1:14" ht="65.25" customHeight="1">
      <c r="A356" s="243" t="s">
        <v>671</v>
      </c>
      <c r="B356" s="243"/>
      <c r="C356" s="243"/>
      <c r="D356" s="243"/>
      <c r="E356" s="243"/>
      <c r="F356" s="243"/>
      <c r="I356" s="25"/>
      <c r="J356" s="25"/>
      <c r="K356" s="25"/>
      <c r="L356" s="25"/>
      <c r="M356" s="25"/>
      <c r="N356" s="25"/>
    </row>
    <row r="357" spans="1:14" ht="28.5" customHeight="1">
      <c r="A357" s="243" t="s">
        <v>118</v>
      </c>
      <c r="B357" s="243"/>
      <c r="C357" s="243"/>
      <c r="D357" s="243"/>
      <c r="E357" s="243"/>
      <c r="F357" s="243"/>
      <c r="I357" s="25"/>
      <c r="J357" s="25"/>
      <c r="K357" s="25"/>
      <c r="L357" s="25"/>
      <c r="M357" s="25"/>
      <c r="N357" s="25"/>
    </row>
    <row r="358" spans="1:14" ht="17.25" customHeight="1">
      <c r="A358" s="26"/>
      <c r="B358" s="26"/>
      <c r="C358" s="26"/>
      <c r="D358" s="26"/>
      <c r="E358" s="26"/>
      <c r="F358" s="26"/>
      <c r="I358" s="25"/>
      <c r="J358" s="25"/>
      <c r="K358" s="25"/>
      <c r="L358" s="25"/>
      <c r="M358" s="25"/>
      <c r="N358" s="25"/>
    </row>
    <row r="359" spans="1:14" ht="17.25" customHeight="1">
      <c r="A359" s="26"/>
      <c r="B359" s="26"/>
      <c r="C359" s="26"/>
      <c r="D359" s="26"/>
      <c r="E359" s="26"/>
      <c r="F359" s="26"/>
      <c r="I359" s="25"/>
      <c r="J359" s="25"/>
      <c r="K359" s="25"/>
      <c r="L359" s="25"/>
      <c r="M359" s="25"/>
      <c r="N359" s="25"/>
    </row>
    <row r="360" spans="1:14" s="32" customFormat="1">
      <c r="A360" s="19" t="s">
        <v>7</v>
      </c>
      <c r="B360" s="69"/>
      <c r="C360" s="48"/>
      <c r="D360" s="48"/>
      <c r="E360" s="49"/>
      <c r="F360" s="48"/>
    </row>
    <row r="361" spans="1:14" s="32" customFormat="1" ht="15">
      <c r="A361" s="77"/>
      <c r="B361" s="77"/>
      <c r="C361" s="23"/>
      <c r="D361" s="23"/>
      <c r="E361" s="45"/>
      <c r="F361" s="23"/>
    </row>
    <row r="362" spans="1:14" ht="58.15" customHeight="1">
      <c r="A362" s="243" t="s">
        <v>554</v>
      </c>
      <c r="B362" s="243"/>
      <c r="C362" s="243"/>
      <c r="D362" s="243"/>
      <c r="E362" s="243"/>
      <c r="F362" s="243"/>
      <c r="G362" s="17"/>
      <c r="H362" s="17"/>
      <c r="I362" s="17"/>
      <c r="J362" s="17"/>
      <c r="K362" s="17"/>
      <c r="L362" s="17"/>
      <c r="M362" s="25"/>
      <c r="N362" s="25"/>
    </row>
    <row r="363" spans="1:14" ht="35.25" customHeight="1">
      <c r="A363" s="243" t="s">
        <v>192</v>
      </c>
      <c r="B363" s="243"/>
      <c r="C363" s="243"/>
      <c r="D363" s="243"/>
      <c r="E363" s="243"/>
      <c r="F363" s="243"/>
      <c r="G363" s="17"/>
      <c r="H363" s="17"/>
      <c r="I363" s="17"/>
      <c r="J363" s="17"/>
      <c r="K363" s="17"/>
      <c r="L363" s="17"/>
      <c r="M363" s="25"/>
      <c r="N363" s="25"/>
    </row>
    <row r="364" spans="1:14" ht="63" customHeight="1">
      <c r="A364" s="243" t="s">
        <v>555</v>
      </c>
      <c r="B364" s="243"/>
      <c r="C364" s="243"/>
      <c r="D364" s="243"/>
      <c r="E364" s="243"/>
      <c r="F364" s="243"/>
      <c r="I364" s="25"/>
      <c r="J364" s="25"/>
      <c r="K364" s="25"/>
      <c r="L364" s="25"/>
      <c r="M364" s="25"/>
      <c r="N364" s="25"/>
    </row>
    <row r="365" spans="1:14" ht="75.75" customHeight="1">
      <c r="A365" s="243" t="s">
        <v>297</v>
      </c>
      <c r="B365" s="243"/>
      <c r="C365" s="243"/>
      <c r="D365" s="243"/>
      <c r="E365" s="243"/>
      <c r="F365" s="243"/>
      <c r="I365" s="25"/>
      <c r="J365" s="25"/>
      <c r="K365" s="25"/>
      <c r="L365" s="25"/>
      <c r="M365" s="25"/>
      <c r="N365" s="25"/>
    </row>
    <row r="366" spans="1:14" ht="43.5" customHeight="1">
      <c r="A366" s="243" t="s">
        <v>298</v>
      </c>
      <c r="B366" s="243"/>
      <c r="C366" s="243"/>
      <c r="D366" s="243"/>
      <c r="E366" s="243"/>
      <c r="F366" s="243"/>
      <c r="I366" s="25"/>
      <c r="J366" s="25"/>
      <c r="K366" s="25"/>
      <c r="L366" s="25"/>
      <c r="M366" s="25"/>
      <c r="N366" s="25"/>
    </row>
    <row r="367" spans="1:14" ht="36" customHeight="1">
      <c r="A367" s="243" t="s">
        <v>299</v>
      </c>
      <c r="B367" s="243"/>
      <c r="C367" s="243"/>
      <c r="D367" s="243"/>
      <c r="E367" s="243"/>
      <c r="F367" s="243"/>
      <c r="I367" s="25"/>
      <c r="J367" s="25"/>
      <c r="K367" s="25"/>
      <c r="L367" s="25"/>
      <c r="M367" s="25"/>
      <c r="N367" s="25"/>
    </row>
    <row r="368" spans="1:14" ht="15.75" customHeight="1">
      <c r="A368" s="251" t="s">
        <v>300</v>
      </c>
      <c r="B368" s="251"/>
      <c r="C368" s="251"/>
      <c r="D368" s="251"/>
      <c r="E368" s="251"/>
      <c r="F368" s="251"/>
      <c r="I368" s="25"/>
      <c r="J368" s="25"/>
      <c r="K368" s="25"/>
      <c r="L368" s="25"/>
      <c r="M368" s="25"/>
      <c r="N368" s="25"/>
    </row>
    <row r="369" spans="1:14" ht="47.25" customHeight="1">
      <c r="A369" s="243" t="s">
        <v>266</v>
      </c>
      <c r="B369" s="243"/>
      <c r="C369" s="243"/>
      <c r="D369" s="243"/>
      <c r="E369" s="243"/>
      <c r="F369" s="243"/>
      <c r="I369" s="25"/>
      <c r="J369" s="25"/>
      <c r="K369" s="25"/>
      <c r="L369" s="25"/>
      <c r="M369" s="25"/>
      <c r="N369" s="25"/>
    </row>
    <row r="370" spans="1:14" ht="12.75" customHeight="1">
      <c r="A370" s="243" t="s">
        <v>267</v>
      </c>
      <c r="B370" s="243"/>
      <c r="C370" s="243"/>
      <c r="D370" s="243"/>
      <c r="E370" s="243"/>
      <c r="F370" s="243"/>
      <c r="I370" s="25"/>
      <c r="J370" s="25"/>
      <c r="K370" s="25"/>
      <c r="L370" s="25"/>
      <c r="M370" s="25"/>
      <c r="N370" s="25"/>
    </row>
    <row r="371" spans="1:14" ht="12.75" customHeight="1">
      <c r="A371" s="75" t="s">
        <v>88</v>
      </c>
      <c r="B371" s="52" t="s">
        <v>176</v>
      </c>
      <c r="C371" s="26"/>
      <c r="D371" s="26"/>
      <c r="E371" s="250" t="s">
        <v>553</v>
      </c>
      <c r="F371" s="250"/>
      <c r="I371" s="25"/>
      <c r="J371" s="25"/>
      <c r="K371" s="25"/>
      <c r="L371" s="25"/>
      <c r="M371" s="25"/>
      <c r="N371" s="25"/>
    </row>
    <row r="372" spans="1:14" ht="14.25">
      <c r="A372" s="75" t="s">
        <v>88</v>
      </c>
      <c r="B372" s="26" t="s">
        <v>268</v>
      </c>
      <c r="C372" s="75" t="s">
        <v>269</v>
      </c>
      <c r="D372" s="26" t="s">
        <v>270</v>
      </c>
      <c r="E372" s="250" t="s">
        <v>553</v>
      </c>
      <c r="F372" s="250"/>
      <c r="I372" s="25"/>
      <c r="J372" s="25"/>
      <c r="K372" s="25"/>
      <c r="L372" s="25"/>
      <c r="M372" s="25"/>
      <c r="N372" s="25"/>
    </row>
    <row r="373" spans="1:14" ht="14.25">
      <c r="A373" s="75" t="s">
        <v>88</v>
      </c>
      <c r="B373" s="26" t="s">
        <v>271</v>
      </c>
      <c r="C373" s="75" t="s">
        <v>269</v>
      </c>
      <c r="D373" s="26" t="s">
        <v>272</v>
      </c>
      <c r="E373" s="250" t="s">
        <v>553</v>
      </c>
      <c r="F373" s="250"/>
      <c r="I373" s="25"/>
      <c r="J373" s="25"/>
      <c r="K373" s="25"/>
      <c r="L373" s="25"/>
      <c r="M373" s="25"/>
      <c r="N373" s="25"/>
    </row>
    <row r="374" spans="1:14" ht="14.25">
      <c r="A374" s="75" t="s">
        <v>88</v>
      </c>
      <c r="B374" s="26" t="s">
        <v>273</v>
      </c>
      <c r="C374" s="75" t="s">
        <v>269</v>
      </c>
      <c r="D374" s="26" t="s">
        <v>274</v>
      </c>
      <c r="E374" s="250" t="s">
        <v>553</v>
      </c>
      <c r="F374" s="250"/>
      <c r="I374" s="25"/>
      <c r="J374" s="25"/>
      <c r="K374" s="25"/>
      <c r="L374" s="25"/>
      <c r="M374" s="25"/>
      <c r="N374" s="25"/>
    </row>
    <row r="375" spans="1:14" ht="14.25">
      <c r="A375" s="75" t="s">
        <v>88</v>
      </c>
      <c r="B375" s="26" t="s">
        <v>5</v>
      </c>
      <c r="C375" s="75" t="s">
        <v>269</v>
      </c>
      <c r="D375" s="26" t="s">
        <v>275</v>
      </c>
      <c r="E375" s="250" t="s">
        <v>553</v>
      </c>
      <c r="F375" s="250"/>
      <c r="I375" s="25"/>
      <c r="J375" s="25"/>
      <c r="K375" s="25"/>
      <c r="L375" s="25"/>
      <c r="M375" s="25"/>
      <c r="N375" s="25"/>
    </row>
    <row r="376" spans="1:14" ht="14.25">
      <c r="A376" s="75" t="s">
        <v>88</v>
      </c>
      <c r="B376" s="26" t="s">
        <v>276</v>
      </c>
      <c r="C376" s="75" t="s">
        <v>269</v>
      </c>
      <c r="D376" s="26" t="s">
        <v>277</v>
      </c>
      <c r="E376" s="250" t="s">
        <v>553</v>
      </c>
      <c r="F376" s="250"/>
      <c r="I376" s="25"/>
      <c r="J376" s="25"/>
      <c r="K376" s="25"/>
      <c r="L376" s="25"/>
      <c r="M376" s="25"/>
      <c r="N376" s="25"/>
    </row>
    <row r="377" spans="1:14" ht="14.25">
      <c r="A377" s="75"/>
      <c r="B377" s="26"/>
      <c r="C377" s="75" t="s">
        <v>269</v>
      </c>
      <c r="D377" s="26" t="s">
        <v>278</v>
      </c>
      <c r="E377" s="250" t="s">
        <v>553</v>
      </c>
      <c r="F377" s="250"/>
      <c r="I377" s="25"/>
      <c r="J377" s="25"/>
      <c r="K377" s="25"/>
      <c r="L377" s="25"/>
      <c r="M377" s="25"/>
      <c r="N377" s="25"/>
    </row>
    <row r="378" spans="1:14" ht="14.25">
      <c r="A378" s="75"/>
      <c r="B378" s="26"/>
      <c r="C378" s="75" t="s">
        <v>269</v>
      </c>
      <c r="D378" s="26" t="s">
        <v>279</v>
      </c>
      <c r="E378" s="250" t="s">
        <v>553</v>
      </c>
      <c r="F378" s="250"/>
      <c r="I378" s="25"/>
      <c r="J378" s="25"/>
      <c r="K378" s="25"/>
      <c r="L378" s="25"/>
      <c r="M378" s="25"/>
      <c r="N378" s="25"/>
    </row>
    <row r="379" spans="1:14" ht="14.25">
      <c r="A379" s="75" t="s">
        <v>88</v>
      </c>
      <c r="B379" s="26" t="s">
        <v>280</v>
      </c>
      <c r="C379" s="75" t="s">
        <v>269</v>
      </c>
      <c r="D379" s="26" t="s">
        <v>281</v>
      </c>
      <c r="E379" s="250" t="s">
        <v>553</v>
      </c>
      <c r="F379" s="250"/>
      <c r="I379" s="25"/>
      <c r="J379" s="25"/>
      <c r="K379" s="25"/>
      <c r="L379" s="25"/>
      <c r="M379" s="25"/>
      <c r="N379" s="25"/>
    </row>
    <row r="380" spans="1:14" ht="14.25">
      <c r="A380" s="75" t="s">
        <v>88</v>
      </c>
      <c r="B380" s="26" t="s">
        <v>282</v>
      </c>
      <c r="C380" s="75" t="s">
        <v>269</v>
      </c>
      <c r="D380" s="26" t="s">
        <v>283</v>
      </c>
      <c r="E380" s="250" t="s">
        <v>553</v>
      </c>
      <c r="F380" s="250"/>
      <c r="I380" s="25"/>
      <c r="J380" s="25"/>
      <c r="K380" s="25"/>
      <c r="L380" s="25"/>
      <c r="M380" s="25"/>
      <c r="N380" s="25"/>
    </row>
    <row r="381" spans="1:14" ht="15.75" customHeight="1">
      <c r="A381" s="75" t="s">
        <v>88</v>
      </c>
      <c r="B381" s="26" t="s">
        <v>301</v>
      </c>
      <c r="C381" s="75" t="s">
        <v>285</v>
      </c>
      <c r="D381" s="26" t="s">
        <v>286</v>
      </c>
      <c r="E381" s="250" t="s">
        <v>553</v>
      </c>
      <c r="F381" s="250"/>
      <c r="I381" s="25"/>
      <c r="J381" s="25"/>
      <c r="K381" s="25"/>
      <c r="L381" s="25"/>
      <c r="M381" s="25"/>
      <c r="N381" s="25"/>
    </row>
    <row r="382" spans="1:14" ht="40.5" customHeight="1">
      <c r="A382" s="243" t="s">
        <v>287</v>
      </c>
      <c r="B382" s="243"/>
      <c r="C382" s="243"/>
      <c r="D382" s="243"/>
      <c r="E382" s="243"/>
      <c r="F382" s="243"/>
      <c r="I382" s="25"/>
      <c r="J382" s="25"/>
      <c r="K382" s="25"/>
      <c r="L382" s="25"/>
      <c r="M382" s="25"/>
      <c r="N382" s="25"/>
    </row>
    <row r="383" spans="1:14" ht="34.5" customHeight="1">
      <c r="A383" s="243" t="s">
        <v>288</v>
      </c>
      <c r="B383" s="243"/>
      <c r="C383" s="243"/>
      <c r="D383" s="243"/>
      <c r="E383" s="243"/>
      <c r="F383" s="243"/>
      <c r="I383" s="25"/>
      <c r="J383" s="25"/>
      <c r="K383" s="25"/>
      <c r="L383" s="25"/>
      <c r="M383" s="25"/>
      <c r="N383" s="25"/>
    </row>
    <row r="384" spans="1:14" ht="59.25" customHeight="1">
      <c r="A384" s="243" t="s">
        <v>289</v>
      </c>
      <c r="B384" s="243"/>
      <c r="C384" s="243"/>
      <c r="D384" s="243"/>
      <c r="E384" s="243"/>
      <c r="F384" s="243"/>
      <c r="I384" s="25"/>
      <c r="J384" s="25"/>
      <c r="K384" s="25"/>
      <c r="L384" s="25"/>
      <c r="M384" s="25"/>
      <c r="N384" s="25"/>
    </row>
    <row r="385" spans="1:14" ht="58.5" customHeight="1">
      <c r="A385" s="243" t="s">
        <v>290</v>
      </c>
      <c r="B385" s="243"/>
      <c r="C385" s="243"/>
      <c r="D385" s="243"/>
      <c r="E385" s="243"/>
      <c r="F385" s="243"/>
      <c r="I385" s="25"/>
      <c r="J385" s="25"/>
      <c r="K385" s="25"/>
      <c r="L385" s="25"/>
      <c r="M385" s="25"/>
      <c r="N385" s="25"/>
    </row>
    <row r="386" spans="1:14" ht="33" customHeight="1">
      <c r="A386" s="243" t="s">
        <v>291</v>
      </c>
      <c r="B386" s="243"/>
      <c r="C386" s="243"/>
      <c r="D386" s="243"/>
      <c r="E386" s="243"/>
      <c r="F386" s="243"/>
      <c r="I386" s="25"/>
      <c r="J386" s="25"/>
      <c r="K386" s="25"/>
      <c r="L386" s="25"/>
      <c r="M386" s="25"/>
      <c r="N386" s="25"/>
    </row>
    <row r="387" spans="1:14" ht="47.25" customHeight="1">
      <c r="A387" s="243" t="s">
        <v>292</v>
      </c>
      <c r="B387" s="243"/>
      <c r="C387" s="243"/>
      <c r="D387" s="243"/>
      <c r="E387" s="243"/>
      <c r="F387" s="243"/>
      <c r="I387" s="25"/>
      <c r="J387" s="25"/>
      <c r="K387" s="25"/>
      <c r="L387" s="25"/>
      <c r="M387" s="25"/>
      <c r="N387" s="25"/>
    </row>
    <row r="388" spans="1:14" ht="49.5" customHeight="1">
      <c r="A388" s="243" t="s">
        <v>293</v>
      </c>
      <c r="B388" s="243"/>
      <c r="C388" s="243"/>
      <c r="D388" s="243"/>
      <c r="E388" s="243"/>
      <c r="F388" s="243"/>
      <c r="I388" s="25"/>
      <c r="J388" s="25"/>
      <c r="K388" s="25"/>
      <c r="L388" s="25"/>
      <c r="M388" s="25"/>
      <c r="N388" s="25"/>
    </row>
    <row r="389" spans="1:14" ht="57.75" customHeight="1">
      <c r="A389" s="243" t="s">
        <v>294</v>
      </c>
      <c r="B389" s="243"/>
      <c r="C389" s="243"/>
      <c r="D389" s="243"/>
      <c r="E389" s="243"/>
      <c r="F389" s="243"/>
      <c r="I389" s="25"/>
      <c r="J389" s="25"/>
      <c r="K389" s="25"/>
      <c r="L389" s="25"/>
      <c r="M389" s="25"/>
      <c r="N389" s="25"/>
    </row>
    <row r="390" spans="1:14" ht="48.75" customHeight="1">
      <c r="A390" s="243" t="s">
        <v>295</v>
      </c>
      <c r="B390" s="243"/>
      <c r="C390" s="243"/>
      <c r="D390" s="243"/>
      <c r="E390" s="243"/>
      <c r="F390" s="243"/>
      <c r="I390" s="25"/>
      <c r="J390" s="25"/>
      <c r="K390" s="25"/>
      <c r="L390" s="25"/>
      <c r="M390" s="25"/>
      <c r="N390" s="25"/>
    </row>
    <row r="391" spans="1:14" ht="16.5" customHeight="1">
      <c r="A391" s="243" t="s">
        <v>296</v>
      </c>
      <c r="B391" s="243"/>
      <c r="C391" s="243"/>
      <c r="D391" s="243"/>
      <c r="E391" s="243"/>
      <c r="F391" s="243"/>
      <c r="I391" s="25"/>
      <c r="J391" s="25"/>
      <c r="K391" s="25"/>
      <c r="L391" s="25"/>
      <c r="M391" s="25"/>
      <c r="N391" s="25"/>
    </row>
    <row r="392" spans="1:14" ht="66" customHeight="1">
      <c r="A392" s="243" t="s">
        <v>671</v>
      </c>
      <c r="B392" s="243"/>
      <c r="C392" s="243"/>
      <c r="D392" s="243"/>
      <c r="E392" s="243"/>
      <c r="F392" s="243"/>
      <c r="I392" s="25"/>
      <c r="J392" s="25"/>
      <c r="K392" s="25"/>
      <c r="L392" s="25"/>
      <c r="M392" s="25"/>
      <c r="N392" s="25"/>
    </row>
    <row r="393" spans="1:14" ht="28.5" customHeight="1">
      <c r="A393" s="243" t="s">
        <v>118</v>
      </c>
      <c r="B393" s="243"/>
      <c r="C393" s="243"/>
      <c r="D393" s="243"/>
      <c r="E393" s="243"/>
      <c r="F393" s="243"/>
      <c r="I393" s="25"/>
      <c r="J393" s="25"/>
      <c r="K393" s="25"/>
      <c r="L393" s="25"/>
      <c r="M393" s="25"/>
      <c r="N393" s="25"/>
    </row>
    <row r="394" spans="1:14" ht="10.5" customHeight="1">
      <c r="A394" s="24"/>
      <c r="B394" s="24"/>
      <c r="C394" s="24"/>
      <c r="D394" s="24"/>
      <c r="E394" s="37"/>
      <c r="F394" s="37"/>
      <c r="I394" s="25"/>
      <c r="J394" s="25"/>
      <c r="K394" s="25"/>
      <c r="L394" s="25"/>
      <c r="M394" s="25"/>
      <c r="N394" s="25"/>
    </row>
    <row r="395" spans="1:14">
      <c r="A395" s="19" t="s">
        <v>83</v>
      </c>
      <c r="B395" s="19"/>
      <c r="C395" s="78"/>
      <c r="D395" s="78"/>
      <c r="E395" s="79"/>
      <c r="F395" s="79"/>
      <c r="I395" s="25"/>
      <c r="J395" s="25"/>
      <c r="K395" s="25"/>
      <c r="L395" s="25"/>
      <c r="M395" s="25"/>
      <c r="N395" s="25"/>
    </row>
    <row r="396" spans="1:14" ht="9" customHeight="1">
      <c r="A396" s="24"/>
      <c r="B396" s="24"/>
      <c r="C396" s="24"/>
      <c r="D396" s="24"/>
      <c r="E396" s="37"/>
      <c r="F396" s="37"/>
      <c r="I396" s="25"/>
      <c r="J396" s="25"/>
      <c r="K396" s="25"/>
      <c r="L396" s="25"/>
      <c r="M396" s="25"/>
      <c r="N396" s="25"/>
    </row>
    <row r="397" spans="1:14" ht="60.75" customHeight="1">
      <c r="A397" s="243" t="s">
        <v>556</v>
      </c>
      <c r="B397" s="243"/>
      <c r="C397" s="243"/>
      <c r="D397" s="243"/>
      <c r="E397" s="243"/>
      <c r="F397" s="243"/>
      <c r="G397" s="17"/>
      <c r="H397" s="17"/>
      <c r="I397" s="17"/>
      <c r="J397" s="17"/>
      <c r="K397" s="17"/>
      <c r="L397" s="17"/>
      <c r="M397" s="25"/>
      <c r="N397" s="25"/>
    </row>
    <row r="398" spans="1:14" ht="42.75" customHeight="1">
      <c r="A398" s="243" t="s">
        <v>192</v>
      </c>
      <c r="B398" s="243"/>
      <c r="C398" s="243"/>
      <c r="D398" s="243"/>
      <c r="E398" s="243"/>
      <c r="F398" s="243"/>
      <c r="G398" s="17"/>
      <c r="H398" s="17"/>
      <c r="I398" s="17"/>
      <c r="J398" s="17"/>
      <c r="K398" s="17"/>
      <c r="L398" s="17"/>
      <c r="M398" s="25"/>
      <c r="N398" s="25"/>
    </row>
    <row r="399" spans="1:14" ht="69" customHeight="1">
      <c r="A399" s="243" t="s">
        <v>302</v>
      </c>
      <c r="B399" s="243"/>
      <c r="C399" s="243"/>
      <c r="D399" s="243"/>
      <c r="E399" s="243"/>
      <c r="F399" s="243"/>
      <c r="I399" s="25"/>
      <c r="J399" s="25"/>
      <c r="K399" s="25"/>
      <c r="L399" s="25"/>
      <c r="M399" s="25"/>
      <c r="N399" s="25"/>
    </row>
    <row r="400" spans="1:14" ht="35.25" customHeight="1">
      <c r="A400" s="243" t="s">
        <v>490</v>
      </c>
      <c r="B400" s="243"/>
      <c r="C400" s="243"/>
      <c r="D400" s="243"/>
      <c r="E400" s="243"/>
      <c r="F400" s="243"/>
      <c r="I400" s="25"/>
      <c r="J400" s="25"/>
      <c r="K400" s="25"/>
      <c r="L400" s="25"/>
      <c r="M400" s="25"/>
      <c r="N400" s="25"/>
    </row>
    <row r="401" spans="1:14" ht="62.25" customHeight="1">
      <c r="A401" s="243" t="s">
        <v>672</v>
      </c>
      <c r="B401" s="243"/>
      <c r="C401" s="243"/>
      <c r="D401" s="243"/>
      <c r="E401" s="243"/>
      <c r="F401" s="243"/>
      <c r="I401" s="25"/>
      <c r="J401" s="25"/>
      <c r="K401" s="25"/>
      <c r="L401" s="25"/>
      <c r="M401" s="25"/>
      <c r="N401" s="25"/>
    </row>
    <row r="402" spans="1:14" ht="31.5" customHeight="1">
      <c r="A402" s="243" t="s">
        <v>303</v>
      </c>
      <c r="B402" s="243"/>
      <c r="C402" s="243"/>
      <c r="D402" s="243"/>
      <c r="E402" s="243"/>
      <c r="F402" s="243"/>
      <c r="I402" s="25"/>
      <c r="J402" s="25"/>
      <c r="K402" s="25"/>
      <c r="L402" s="25"/>
      <c r="M402" s="25"/>
      <c r="N402" s="25"/>
    </row>
    <row r="403" spans="1:14" ht="21" customHeight="1">
      <c r="A403" s="243" t="s">
        <v>304</v>
      </c>
      <c r="B403" s="243"/>
      <c r="C403" s="243"/>
      <c r="D403" s="243"/>
      <c r="E403" s="243"/>
      <c r="F403" s="243"/>
      <c r="I403" s="25"/>
      <c r="J403" s="25"/>
      <c r="K403" s="25"/>
      <c r="L403" s="25"/>
      <c r="M403" s="25"/>
      <c r="N403" s="25"/>
    </row>
    <row r="404" spans="1:14" ht="32.25" customHeight="1">
      <c r="A404" s="243" t="s">
        <v>305</v>
      </c>
      <c r="B404" s="243"/>
      <c r="C404" s="243"/>
      <c r="D404" s="243"/>
      <c r="E404" s="243"/>
      <c r="F404" s="243"/>
      <c r="I404" s="25"/>
      <c r="J404" s="25"/>
      <c r="K404" s="25"/>
      <c r="L404" s="25"/>
      <c r="M404" s="25"/>
      <c r="N404" s="25"/>
    </row>
    <row r="405" spans="1:14" ht="20.25" customHeight="1">
      <c r="A405" s="243" t="s">
        <v>687</v>
      </c>
      <c r="B405" s="243"/>
      <c r="C405" s="243"/>
      <c r="D405" s="243"/>
      <c r="E405" s="243"/>
      <c r="F405" s="243"/>
      <c r="I405" s="25"/>
      <c r="J405" s="25"/>
      <c r="K405" s="25"/>
      <c r="L405" s="25"/>
      <c r="M405" s="25"/>
      <c r="N405" s="25"/>
    </row>
    <row r="406" spans="1:14" ht="27" customHeight="1">
      <c r="A406" s="243" t="s">
        <v>557</v>
      </c>
      <c r="B406" s="243"/>
      <c r="C406" s="243"/>
      <c r="D406" s="243"/>
      <c r="E406" s="243"/>
      <c r="F406" s="243"/>
      <c r="I406" s="25"/>
      <c r="J406" s="25"/>
      <c r="K406" s="25"/>
      <c r="L406" s="25"/>
      <c r="M406" s="25"/>
      <c r="N406" s="25"/>
    </row>
    <row r="407" spans="1:14" ht="30" customHeight="1">
      <c r="A407" s="243" t="s">
        <v>573</v>
      </c>
      <c r="B407" s="243"/>
      <c r="C407" s="243"/>
      <c r="D407" s="243"/>
      <c r="E407" s="243"/>
      <c r="F407" s="243"/>
      <c r="I407" s="25"/>
      <c r="J407" s="25"/>
      <c r="K407" s="25"/>
      <c r="L407" s="25"/>
      <c r="M407" s="25"/>
      <c r="N407" s="25"/>
    </row>
    <row r="408" spans="1:14" ht="60" customHeight="1">
      <c r="A408" s="243" t="s">
        <v>306</v>
      </c>
      <c r="B408" s="243"/>
      <c r="C408" s="243"/>
      <c r="D408" s="243"/>
      <c r="E408" s="243"/>
      <c r="F408" s="243"/>
      <c r="I408" s="25"/>
      <c r="J408" s="25"/>
      <c r="K408" s="25"/>
      <c r="L408" s="25"/>
      <c r="M408" s="25"/>
      <c r="N408" s="25"/>
    </row>
    <row r="409" spans="1:14" ht="63" customHeight="1">
      <c r="A409" s="243" t="s">
        <v>307</v>
      </c>
      <c r="B409" s="243"/>
      <c r="C409" s="243"/>
      <c r="D409" s="243"/>
      <c r="E409" s="243"/>
      <c r="F409" s="243"/>
      <c r="I409" s="25"/>
      <c r="J409" s="25"/>
      <c r="K409" s="25"/>
      <c r="L409" s="25"/>
      <c r="M409" s="25"/>
      <c r="N409" s="25"/>
    </row>
    <row r="410" spans="1:14" ht="42" customHeight="1">
      <c r="A410" s="243" t="s">
        <v>308</v>
      </c>
      <c r="B410" s="243"/>
      <c r="C410" s="243"/>
      <c r="D410" s="243"/>
      <c r="E410" s="243"/>
      <c r="F410" s="243"/>
      <c r="I410" s="25"/>
      <c r="J410" s="25"/>
      <c r="K410" s="25"/>
      <c r="L410" s="25"/>
      <c r="M410" s="25"/>
      <c r="N410" s="25"/>
    </row>
    <row r="411" spans="1:14" ht="17.25" customHeight="1">
      <c r="A411" s="243" t="s">
        <v>309</v>
      </c>
      <c r="B411" s="243"/>
      <c r="C411" s="243"/>
      <c r="D411" s="243"/>
      <c r="E411" s="243"/>
      <c r="F411" s="243"/>
      <c r="I411" s="25"/>
      <c r="J411" s="25"/>
      <c r="K411" s="25"/>
      <c r="L411" s="25"/>
      <c r="M411" s="25"/>
      <c r="N411" s="25"/>
    </row>
    <row r="412" spans="1:14" ht="17.25" customHeight="1">
      <c r="A412" s="243" t="s">
        <v>310</v>
      </c>
      <c r="B412" s="243"/>
      <c r="C412" s="243"/>
      <c r="D412" s="243"/>
      <c r="E412" s="243"/>
      <c r="F412" s="243"/>
      <c r="I412" s="25"/>
      <c r="J412" s="25"/>
      <c r="K412" s="25"/>
      <c r="L412" s="25"/>
      <c r="M412" s="25"/>
      <c r="N412" s="25"/>
    </row>
    <row r="413" spans="1:14" ht="33.75" customHeight="1">
      <c r="A413" s="243" t="s">
        <v>311</v>
      </c>
      <c r="B413" s="243"/>
      <c r="C413" s="243"/>
      <c r="D413" s="243"/>
      <c r="E413" s="243"/>
      <c r="F413" s="243"/>
      <c r="I413" s="25"/>
      <c r="J413" s="25"/>
      <c r="K413" s="25"/>
      <c r="L413" s="25"/>
      <c r="M413" s="25"/>
      <c r="N413" s="25"/>
    </row>
    <row r="414" spans="1:14" ht="44.25" customHeight="1">
      <c r="A414" s="243" t="s">
        <v>312</v>
      </c>
      <c r="B414" s="243"/>
      <c r="C414" s="243"/>
      <c r="D414" s="243"/>
      <c r="E414" s="243"/>
      <c r="F414" s="243"/>
      <c r="I414" s="25"/>
      <c r="J414" s="25"/>
      <c r="K414" s="25"/>
      <c r="L414" s="25"/>
      <c r="M414" s="25"/>
      <c r="N414" s="25"/>
    </row>
    <row r="415" spans="1:14" ht="45" customHeight="1">
      <c r="A415" s="243" t="s">
        <v>313</v>
      </c>
      <c r="B415" s="243"/>
      <c r="C415" s="243"/>
      <c r="D415" s="243"/>
      <c r="E415" s="243"/>
      <c r="F415" s="243"/>
      <c r="I415" s="25"/>
      <c r="J415" s="25"/>
      <c r="K415" s="25"/>
      <c r="L415" s="25"/>
      <c r="M415" s="25"/>
      <c r="N415" s="25"/>
    </row>
    <row r="416" spans="1:14" ht="16.5" customHeight="1">
      <c r="A416" s="243" t="s">
        <v>314</v>
      </c>
      <c r="B416" s="243"/>
      <c r="C416" s="243"/>
      <c r="D416" s="243"/>
      <c r="E416" s="243"/>
      <c r="F416" s="243"/>
      <c r="I416" s="25"/>
      <c r="J416" s="25"/>
      <c r="K416" s="25"/>
      <c r="L416" s="25"/>
      <c r="M416" s="25"/>
      <c r="N416" s="25"/>
    </row>
    <row r="417" spans="1:14" ht="14.25" customHeight="1">
      <c r="A417" s="75" t="s">
        <v>88</v>
      </c>
      <c r="B417" s="52" t="s">
        <v>176</v>
      </c>
      <c r="C417" s="26"/>
      <c r="D417" s="26"/>
      <c r="E417" s="26"/>
      <c r="F417" s="26"/>
      <c r="I417" s="25"/>
      <c r="J417" s="25"/>
      <c r="K417" s="25"/>
      <c r="L417" s="25"/>
      <c r="M417" s="25"/>
      <c r="N417" s="25"/>
    </row>
    <row r="418" spans="1:14" ht="14.25" customHeight="1">
      <c r="A418" s="52" t="s">
        <v>315</v>
      </c>
      <c r="B418" s="26"/>
      <c r="C418" s="26"/>
      <c r="D418" s="26"/>
      <c r="E418" s="26"/>
      <c r="F418" s="26"/>
      <c r="I418" s="25"/>
      <c r="J418" s="25"/>
      <c r="K418" s="25"/>
      <c r="L418" s="25"/>
      <c r="M418" s="25"/>
      <c r="N418" s="25"/>
    </row>
    <row r="419" spans="1:14" ht="14.25" customHeight="1">
      <c r="A419" s="26"/>
      <c r="B419" s="26" t="s">
        <v>316</v>
      </c>
      <c r="C419" s="80" t="s">
        <v>317</v>
      </c>
      <c r="D419" s="81" t="s">
        <v>283</v>
      </c>
      <c r="E419" s="250" t="s">
        <v>553</v>
      </c>
      <c r="F419" s="250"/>
      <c r="I419" s="25"/>
      <c r="J419" s="25"/>
      <c r="K419" s="25"/>
      <c r="L419" s="25"/>
      <c r="M419" s="25"/>
      <c r="N419" s="25"/>
    </row>
    <row r="420" spans="1:14" ht="14.25" customHeight="1">
      <c r="A420" s="26"/>
      <c r="B420" s="26" t="s">
        <v>318</v>
      </c>
      <c r="C420" s="80" t="s">
        <v>317</v>
      </c>
      <c r="D420" s="81" t="s">
        <v>319</v>
      </c>
      <c r="E420" s="250" t="s">
        <v>553</v>
      </c>
      <c r="F420" s="250"/>
      <c r="I420" s="25"/>
      <c r="J420" s="25"/>
      <c r="K420" s="25"/>
      <c r="L420" s="25"/>
      <c r="M420" s="25"/>
      <c r="N420" s="25"/>
    </row>
    <row r="421" spans="1:14" ht="14.25" customHeight="1">
      <c r="A421" s="26"/>
      <c r="B421" s="26"/>
      <c r="C421" s="80" t="s">
        <v>317</v>
      </c>
      <c r="D421" s="81" t="s">
        <v>320</v>
      </c>
      <c r="E421" s="250" t="s">
        <v>553</v>
      </c>
      <c r="F421" s="250"/>
      <c r="I421" s="25"/>
      <c r="J421" s="25"/>
      <c r="K421" s="25"/>
      <c r="L421" s="25"/>
      <c r="M421" s="25"/>
      <c r="N421" s="25"/>
    </row>
    <row r="422" spans="1:14" ht="14.25" customHeight="1">
      <c r="A422" s="26"/>
      <c r="B422" s="26"/>
      <c r="C422" s="80" t="s">
        <v>317</v>
      </c>
      <c r="D422" s="81" t="s">
        <v>321</v>
      </c>
      <c r="E422" s="250" t="s">
        <v>553</v>
      </c>
      <c r="F422" s="250"/>
      <c r="I422" s="25"/>
      <c r="J422" s="25"/>
      <c r="K422" s="25"/>
      <c r="L422" s="25"/>
      <c r="M422" s="25"/>
      <c r="N422" s="25"/>
    </row>
    <row r="423" spans="1:14" ht="14.25" customHeight="1">
      <c r="A423" s="26"/>
      <c r="B423" s="26"/>
      <c r="C423" s="80" t="s">
        <v>317</v>
      </c>
      <c r="D423" s="81" t="s">
        <v>322</v>
      </c>
      <c r="E423" s="250" t="s">
        <v>553</v>
      </c>
      <c r="F423" s="250"/>
      <c r="I423" s="25"/>
      <c r="J423" s="25"/>
      <c r="K423" s="25"/>
      <c r="L423" s="25"/>
      <c r="M423" s="25"/>
      <c r="N423" s="25"/>
    </row>
    <row r="424" spans="1:14" ht="29.45" customHeight="1">
      <c r="A424" s="26"/>
      <c r="B424" s="26"/>
      <c r="C424" s="75" t="s">
        <v>317</v>
      </c>
      <c r="D424" s="76" t="s">
        <v>323</v>
      </c>
      <c r="E424" s="250" t="s">
        <v>553</v>
      </c>
      <c r="F424" s="250"/>
      <c r="I424" s="25"/>
      <c r="J424" s="25"/>
      <c r="K424" s="25"/>
      <c r="L424" s="25"/>
      <c r="M424" s="25"/>
      <c r="N424" s="25"/>
    </row>
    <row r="425" spans="1:14" ht="14.25" customHeight="1">
      <c r="A425" s="26"/>
      <c r="B425" s="26"/>
      <c r="C425" s="80" t="s">
        <v>317</v>
      </c>
      <c r="D425" s="81" t="s">
        <v>324</v>
      </c>
      <c r="E425" s="250" t="s">
        <v>553</v>
      </c>
      <c r="F425" s="250"/>
      <c r="I425" s="25"/>
      <c r="J425" s="25"/>
      <c r="K425" s="25"/>
      <c r="L425" s="25"/>
      <c r="M425" s="25"/>
      <c r="N425" s="25"/>
    </row>
    <row r="426" spans="1:14" ht="14.25" customHeight="1">
      <c r="A426" s="26"/>
      <c r="B426" s="26"/>
      <c r="C426" s="80" t="s">
        <v>317</v>
      </c>
      <c r="D426" s="81" t="s">
        <v>325</v>
      </c>
      <c r="E426" s="250" t="s">
        <v>553</v>
      </c>
      <c r="F426" s="250"/>
      <c r="I426" s="25"/>
      <c r="J426" s="25"/>
      <c r="K426" s="25"/>
      <c r="L426" s="25"/>
      <c r="M426" s="25"/>
      <c r="N426" s="25"/>
    </row>
    <row r="427" spans="1:14" ht="14.25" customHeight="1">
      <c r="A427" s="52" t="s">
        <v>326</v>
      </c>
      <c r="B427" s="26"/>
      <c r="C427" s="80"/>
      <c r="D427" s="81"/>
      <c r="E427" s="250" t="s">
        <v>553</v>
      </c>
      <c r="F427" s="250"/>
      <c r="I427" s="25"/>
      <c r="J427" s="25"/>
      <c r="K427" s="25"/>
      <c r="L427" s="25"/>
      <c r="M427" s="25"/>
      <c r="N427" s="25"/>
    </row>
    <row r="428" spans="1:14" ht="14.25" customHeight="1">
      <c r="A428" s="26"/>
      <c r="B428" s="26" t="s">
        <v>268</v>
      </c>
      <c r="C428" s="80" t="s">
        <v>317</v>
      </c>
      <c r="D428" s="81" t="s">
        <v>270</v>
      </c>
      <c r="E428" s="250" t="s">
        <v>553</v>
      </c>
      <c r="F428" s="250"/>
      <c r="I428" s="25"/>
      <c r="J428" s="25"/>
      <c r="K428" s="25"/>
      <c r="L428" s="25"/>
      <c r="M428" s="25"/>
      <c r="N428" s="25"/>
    </row>
    <row r="429" spans="1:14" ht="14.25" customHeight="1">
      <c r="A429" s="26"/>
      <c r="B429" s="26" t="s">
        <v>271</v>
      </c>
      <c r="C429" s="80" t="s">
        <v>317</v>
      </c>
      <c r="D429" s="81" t="s">
        <v>272</v>
      </c>
      <c r="E429" s="250" t="s">
        <v>553</v>
      </c>
      <c r="F429" s="250"/>
      <c r="I429" s="25"/>
      <c r="J429" s="25"/>
      <c r="K429" s="25"/>
      <c r="L429" s="25"/>
      <c r="M429" s="25"/>
      <c r="N429" s="25"/>
    </row>
    <row r="430" spans="1:14" ht="14.25" customHeight="1">
      <c r="A430" s="26"/>
      <c r="B430" s="26" t="s">
        <v>273</v>
      </c>
      <c r="C430" s="80" t="s">
        <v>317</v>
      </c>
      <c r="D430" s="81" t="s">
        <v>274</v>
      </c>
      <c r="E430" s="250" t="s">
        <v>553</v>
      </c>
      <c r="F430" s="250"/>
      <c r="I430" s="25"/>
      <c r="J430" s="25"/>
      <c r="K430" s="25"/>
      <c r="L430" s="25"/>
      <c r="M430" s="25"/>
      <c r="N430" s="25"/>
    </row>
    <row r="431" spans="1:14" ht="14.25" customHeight="1">
      <c r="A431" s="26"/>
      <c r="B431" s="26" t="s">
        <v>5</v>
      </c>
      <c r="C431" s="80" t="s">
        <v>317</v>
      </c>
      <c r="D431" s="81" t="s">
        <v>275</v>
      </c>
      <c r="E431" s="250" t="s">
        <v>553</v>
      </c>
      <c r="F431" s="250"/>
      <c r="I431" s="25"/>
      <c r="J431" s="25"/>
      <c r="K431" s="25"/>
      <c r="L431" s="25"/>
      <c r="M431" s="25"/>
      <c r="N431" s="25"/>
    </row>
    <row r="432" spans="1:14" ht="14.25" customHeight="1">
      <c r="A432" s="26"/>
      <c r="B432" s="26" t="s">
        <v>276</v>
      </c>
      <c r="C432" s="80" t="s">
        <v>317</v>
      </c>
      <c r="D432" s="81" t="s">
        <v>277</v>
      </c>
      <c r="E432" s="250" t="s">
        <v>553</v>
      </c>
      <c r="F432" s="250"/>
      <c r="I432" s="25"/>
      <c r="J432" s="25"/>
      <c r="K432" s="25"/>
      <c r="L432" s="25"/>
      <c r="M432" s="25"/>
      <c r="N432" s="25"/>
    </row>
    <row r="433" spans="1:14" ht="14.25" customHeight="1">
      <c r="A433" s="26"/>
      <c r="B433" s="26"/>
      <c r="C433" s="80" t="s">
        <v>317</v>
      </c>
      <c r="D433" s="81" t="s">
        <v>278</v>
      </c>
      <c r="E433" s="250" t="s">
        <v>553</v>
      </c>
      <c r="F433" s="250"/>
      <c r="I433" s="25"/>
      <c r="J433" s="25"/>
      <c r="K433" s="25"/>
      <c r="L433" s="25"/>
      <c r="M433" s="25"/>
      <c r="N433" s="25"/>
    </row>
    <row r="434" spans="1:14" ht="14.25" customHeight="1">
      <c r="A434" s="26"/>
      <c r="B434" s="26"/>
      <c r="C434" s="80" t="s">
        <v>317</v>
      </c>
      <c r="D434" s="81" t="s">
        <v>279</v>
      </c>
      <c r="E434" s="250" t="s">
        <v>553</v>
      </c>
      <c r="F434" s="250"/>
      <c r="I434" s="25"/>
      <c r="J434" s="25"/>
      <c r="K434" s="25"/>
      <c r="L434" s="25"/>
      <c r="M434" s="25"/>
      <c r="N434" s="25"/>
    </row>
    <row r="435" spans="1:14" ht="28.5" customHeight="1">
      <c r="A435" s="243" t="s">
        <v>118</v>
      </c>
      <c r="B435" s="243"/>
      <c r="C435" s="243"/>
      <c r="D435" s="243"/>
      <c r="E435" s="243"/>
      <c r="F435" s="243"/>
      <c r="I435" s="25"/>
      <c r="J435" s="25"/>
      <c r="K435" s="25"/>
      <c r="L435" s="25"/>
      <c r="M435" s="25"/>
      <c r="N435" s="25"/>
    </row>
    <row r="436" spans="1:14" ht="15" customHeight="1">
      <c r="A436" s="26"/>
      <c r="B436" s="26"/>
      <c r="C436" s="26"/>
      <c r="D436" s="26"/>
      <c r="E436" s="26"/>
      <c r="F436" s="26"/>
      <c r="I436" s="25"/>
      <c r="J436" s="25"/>
      <c r="K436" s="25"/>
      <c r="L436" s="25"/>
      <c r="M436" s="25"/>
      <c r="N436" s="25"/>
    </row>
    <row r="437" spans="1:14">
      <c r="A437" s="82" t="s">
        <v>81</v>
      </c>
      <c r="B437" s="83"/>
      <c r="C437" s="48"/>
      <c r="D437" s="48"/>
      <c r="E437" s="49"/>
      <c r="F437" s="49"/>
      <c r="I437" s="25"/>
      <c r="J437" s="25"/>
      <c r="K437" s="25"/>
      <c r="L437" s="25"/>
      <c r="M437" s="25"/>
      <c r="N437" s="25"/>
    </row>
    <row r="438" spans="1:14" ht="15">
      <c r="A438" s="84"/>
      <c r="B438" s="84"/>
      <c r="C438" s="23"/>
      <c r="D438" s="23"/>
      <c r="E438" s="45"/>
      <c r="F438" s="45"/>
      <c r="I438" s="25"/>
      <c r="J438" s="25"/>
      <c r="K438" s="25"/>
      <c r="L438" s="25"/>
      <c r="M438" s="25"/>
      <c r="N438" s="25"/>
    </row>
    <row r="439" spans="1:14" ht="63.75" customHeight="1">
      <c r="A439" s="243" t="s">
        <v>558</v>
      </c>
      <c r="B439" s="243"/>
      <c r="C439" s="243"/>
      <c r="D439" s="243"/>
      <c r="E439" s="243"/>
      <c r="F439" s="243"/>
      <c r="G439" s="17"/>
      <c r="H439" s="17"/>
      <c r="I439" s="17"/>
      <c r="J439" s="17"/>
      <c r="K439" s="17"/>
      <c r="L439" s="17"/>
      <c r="M439" s="25"/>
      <c r="N439" s="25"/>
    </row>
    <row r="440" spans="1:14" ht="39" customHeight="1">
      <c r="A440" s="243" t="s">
        <v>192</v>
      </c>
      <c r="B440" s="243"/>
      <c r="C440" s="243"/>
      <c r="D440" s="243"/>
      <c r="E440" s="243"/>
      <c r="F440" s="243"/>
      <c r="G440" s="17"/>
      <c r="H440" s="17"/>
      <c r="I440" s="17"/>
      <c r="J440" s="17"/>
      <c r="K440" s="17"/>
      <c r="L440" s="17"/>
      <c r="M440" s="25"/>
      <c r="N440" s="25"/>
    </row>
    <row r="441" spans="1:14" ht="15" customHeight="1">
      <c r="A441" s="243" t="s">
        <v>327</v>
      </c>
      <c r="B441" s="243"/>
      <c r="C441" s="243"/>
      <c r="D441" s="243"/>
      <c r="E441" s="243"/>
      <c r="F441" s="243"/>
      <c r="I441" s="25"/>
      <c r="J441" s="25"/>
      <c r="K441" s="25"/>
      <c r="L441" s="25"/>
      <c r="M441" s="25"/>
      <c r="N441" s="25"/>
    </row>
    <row r="442" spans="1:14" ht="51" customHeight="1">
      <c r="A442" s="243" t="s">
        <v>328</v>
      </c>
      <c r="B442" s="243"/>
      <c r="C442" s="243"/>
      <c r="D442" s="243"/>
      <c r="E442" s="243"/>
      <c r="F442" s="243"/>
      <c r="I442" s="25"/>
      <c r="J442" s="25"/>
      <c r="K442" s="25"/>
      <c r="L442" s="25"/>
      <c r="M442" s="25"/>
      <c r="N442" s="25"/>
    </row>
    <row r="443" spans="1:14" ht="15.75" customHeight="1">
      <c r="A443" s="243" t="s">
        <v>329</v>
      </c>
      <c r="B443" s="243"/>
      <c r="C443" s="243"/>
      <c r="D443" s="243"/>
      <c r="E443" s="243"/>
      <c r="F443" s="243"/>
      <c r="I443" s="25"/>
      <c r="J443" s="25"/>
      <c r="K443" s="25"/>
      <c r="L443" s="25"/>
      <c r="M443" s="25"/>
      <c r="N443" s="25"/>
    </row>
    <row r="444" spans="1:14" ht="29.25" customHeight="1">
      <c r="A444" s="243" t="s">
        <v>330</v>
      </c>
      <c r="B444" s="243"/>
      <c r="C444" s="243"/>
      <c r="D444" s="243"/>
      <c r="E444" s="243"/>
      <c r="F444" s="243"/>
      <c r="I444" s="25"/>
      <c r="J444" s="25"/>
      <c r="K444" s="25"/>
      <c r="L444" s="25"/>
      <c r="M444" s="25"/>
      <c r="N444" s="25"/>
    </row>
    <row r="445" spans="1:14" ht="53.25" customHeight="1">
      <c r="A445" s="243" t="s">
        <v>331</v>
      </c>
      <c r="B445" s="243"/>
      <c r="C445" s="243"/>
      <c r="D445" s="243"/>
      <c r="E445" s="243"/>
      <c r="F445" s="243"/>
      <c r="I445" s="25"/>
      <c r="J445" s="25"/>
      <c r="K445" s="25"/>
      <c r="L445" s="25"/>
      <c r="M445" s="25"/>
      <c r="N445" s="25"/>
    </row>
    <row r="446" spans="1:14" ht="43.5" customHeight="1">
      <c r="A446" s="243" t="s">
        <v>332</v>
      </c>
      <c r="B446" s="243"/>
      <c r="C446" s="243"/>
      <c r="D446" s="243"/>
      <c r="E446" s="243"/>
      <c r="F446" s="243"/>
      <c r="I446" s="25"/>
      <c r="J446" s="25"/>
      <c r="K446" s="25"/>
      <c r="L446" s="25"/>
      <c r="M446" s="25"/>
      <c r="N446" s="25"/>
    </row>
    <row r="447" spans="1:14" ht="29.25" customHeight="1">
      <c r="A447" s="243" t="s">
        <v>333</v>
      </c>
      <c r="B447" s="243"/>
      <c r="C447" s="243"/>
      <c r="D447" s="243"/>
      <c r="E447" s="243"/>
      <c r="F447" s="243"/>
      <c r="I447" s="25"/>
      <c r="J447" s="25"/>
      <c r="K447" s="25"/>
      <c r="L447" s="25"/>
      <c r="M447" s="25"/>
      <c r="N447" s="25"/>
    </row>
    <row r="448" spans="1:14" ht="16.5" customHeight="1">
      <c r="A448" s="243" t="s">
        <v>314</v>
      </c>
      <c r="B448" s="243"/>
      <c r="C448" s="243"/>
      <c r="D448" s="243"/>
      <c r="E448" s="243"/>
      <c r="F448" s="243"/>
      <c r="I448" s="25"/>
      <c r="J448" s="25"/>
      <c r="K448" s="25"/>
      <c r="L448" s="25"/>
      <c r="M448" s="25"/>
      <c r="N448" s="25"/>
    </row>
    <row r="449" spans="1:14" ht="13.5" customHeight="1">
      <c r="A449" s="26"/>
      <c r="B449" s="52" t="s">
        <v>334</v>
      </c>
      <c r="C449" s="26"/>
      <c r="D449" s="26" t="s">
        <v>335</v>
      </c>
      <c r="E449" s="250" t="s">
        <v>553</v>
      </c>
      <c r="F449" s="250"/>
      <c r="I449" s="25"/>
      <c r="J449" s="25"/>
      <c r="K449" s="25"/>
      <c r="L449" s="25"/>
      <c r="M449" s="25"/>
      <c r="N449" s="25"/>
    </row>
    <row r="450" spans="1:14" ht="14.25" customHeight="1">
      <c r="A450" s="26"/>
      <c r="B450" s="44" t="s">
        <v>336</v>
      </c>
      <c r="C450" s="26"/>
      <c r="D450" s="26" t="s">
        <v>337</v>
      </c>
      <c r="E450" s="250" t="s">
        <v>553</v>
      </c>
      <c r="F450" s="250"/>
      <c r="I450" s="25"/>
      <c r="J450" s="25"/>
      <c r="K450" s="25"/>
      <c r="L450" s="25"/>
      <c r="M450" s="25"/>
      <c r="N450" s="25"/>
    </row>
    <row r="451" spans="1:14" ht="15.75" customHeight="1">
      <c r="A451" s="26"/>
      <c r="B451" s="44" t="s">
        <v>338</v>
      </c>
      <c r="C451" s="26"/>
      <c r="D451" s="26" t="s">
        <v>339</v>
      </c>
      <c r="E451" s="250" t="s">
        <v>553</v>
      </c>
      <c r="F451" s="250"/>
      <c r="I451" s="25"/>
      <c r="J451" s="25"/>
      <c r="K451" s="25"/>
      <c r="L451" s="25"/>
      <c r="M451" s="25"/>
      <c r="N451" s="25"/>
    </row>
    <row r="452" spans="1:14" ht="15.75" customHeight="1">
      <c r="A452" s="26"/>
      <c r="B452" s="44" t="s">
        <v>340</v>
      </c>
      <c r="C452" s="26"/>
      <c r="D452" s="26" t="s">
        <v>341</v>
      </c>
      <c r="E452" s="250" t="s">
        <v>553</v>
      </c>
      <c r="F452" s="250"/>
      <c r="I452" s="25"/>
      <c r="J452" s="25"/>
      <c r="K452" s="25"/>
      <c r="L452" s="25"/>
      <c r="M452" s="25"/>
      <c r="N452" s="25"/>
    </row>
    <row r="453" spans="1:14" ht="28.5" customHeight="1">
      <c r="A453" s="243" t="s">
        <v>118</v>
      </c>
      <c r="B453" s="243"/>
      <c r="C453" s="243"/>
      <c r="D453" s="243"/>
      <c r="E453" s="243"/>
      <c r="F453" s="243"/>
      <c r="I453" s="25"/>
      <c r="J453" s="25"/>
      <c r="K453" s="25"/>
      <c r="L453" s="25"/>
      <c r="M453" s="25"/>
      <c r="N453" s="25"/>
    </row>
    <row r="454" spans="1:14" ht="14.25">
      <c r="A454" s="29"/>
      <c r="B454" s="44"/>
      <c r="C454" s="29"/>
      <c r="D454" s="45"/>
      <c r="E454" s="45"/>
      <c r="F454" s="45"/>
      <c r="I454" s="25"/>
      <c r="J454" s="25"/>
      <c r="K454" s="25"/>
      <c r="L454" s="25"/>
      <c r="M454" s="25"/>
      <c r="N454" s="25"/>
    </row>
    <row r="455" spans="1:14" ht="15">
      <c r="A455" s="85"/>
      <c r="B455" s="86"/>
      <c r="C455" s="29"/>
      <c r="D455" s="45"/>
      <c r="E455" s="45"/>
      <c r="F455" s="45"/>
      <c r="I455" s="25"/>
      <c r="J455" s="25"/>
      <c r="K455" s="25"/>
      <c r="L455" s="25"/>
      <c r="M455" s="25"/>
      <c r="N455" s="25"/>
    </row>
    <row r="456" spans="1:14" s="88" customFormat="1">
      <c r="A456" s="19" t="s">
        <v>472</v>
      </c>
      <c r="B456" s="19"/>
      <c r="C456" s="46"/>
      <c r="D456" s="47"/>
      <c r="E456" s="87"/>
      <c r="F456" s="87"/>
    </row>
    <row r="457" spans="1:14" s="88" customFormat="1">
      <c r="A457" s="84"/>
      <c r="B457" s="42"/>
      <c r="C457" s="42"/>
      <c r="D457" s="77"/>
      <c r="E457" s="89"/>
      <c r="F457" s="89"/>
    </row>
    <row r="458" spans="1:14" ht="66" customHeight="1">
      <c r="A458" s="243" t="s">
        <v>559</v>
      </c>
      <c r="B458" s="243"/>
      <c r="C458" s="243"/>
      <c r="D458" s="243"/>
      <c r="E458" s="243"/>
      <c r="F458" s="243"/>
      <c r="G458" s="17"/>
      <c r="H458" s="17"/>
      <c r="I458" s="17"/>
      <c r="J458" s="17"/>
      <c r="K458" s="17"/>
      <c r="L458" s="17"/>
      <c r="M458" s="25"/>
      <c r="N458" s="25"/>
    </row>
    <row r="459" spans="1:14" ht="40.5" customHeight="1">
      <c r="A459" s="243" t="s">
        <v>192</v>
      </c>
      <c r="B459" s="243"/>
      <c r="C459" s="243"/>
      <c r="D459" s="243"/>
      <c r="E459" s="243"/>
      <c r="F459" s="243"/>
      <c r="G459" s="17"/>
      <c r="H459" s="17"/>
      <c r="I459" s="17"/>
      <c r="J459" s="17"/>
      <c r="K459" s="17"/>
      <c r="L459" s="17"/>
      <c r="M459" s="25"/>
      <c r="N459" s="25"/>
    </row>
    <row r="460" spans="1:14" ht="17.25" customHeight="1">
      <c r="A460" s="243" t="s">
        <v>342</v>
      </c>
      <c r="B460" s="243"/>
      <c r="C460" s="243"/>
      <c r="D460" s="243"/>
      <c r="E460" s="243"/>
      <c r="F460" s="243"/>
      <c r="I460" s="25"/>
      <c r="J460" s="25"/>
      <c r="K460" s="25"/>
      <c r="L460" s="25"/>
      <c r="M460" s="25"/>
      <c r="N460" s="25"/>
    </row>
    <row r="461" spans="1:14" ht="69" customHeight="1">
      <c r="A461" s="243" t="s">
        <v>343</v>
      </c>
      <c r="B461" s="243"/>
      <c r="C461" s="243"/>
      <c r="D461" s="243"/>
      <c r="E461" s="243"/>
      <c r="F461" s="243"/>
      <c r="I461" s="25"/>
      <c r="J461" s="25"/>
      <c r="K461" s="25"/>
      <c r="L461" s="25"/>
      <c r="M461" s="25"/>
      <c r="N461" s="25"/>
    </row>
    <row r="462" spans="1:14" ht="13.5" customHeight="1">
      <c r="A462" s="243" t="s">
        <v>344</v>
      </c>
      <c r="B462" s="243"/>
      <c r="C462" s="243"/>
      <c r="D462" s="243"/>
      <c r="E462" s="243"/>
      <c r="F462" s="243"/>
      <c r="I462" s="25"/>
      <c r="J462" s="25"/>
      <c r="K462" s="25"/>
      <c r="L462" s="25"/>
      <c r="M462" s="25"/>
      <c r="N462" s="25"/>
    </row>
    <row r="463" spans="1:14" ht="14.25" customHeight="1">
      <c r="A463" s="75" t="s">
        <v>88</v>
      </c>
      <c r="B463" s="52" t="s">
        <v>221</v>
      </c>
      <c r="C463" s="26"/>
      <c r="D463" s="26"/>
      <c r="E463" s="26"/>
      <c r="F463" s="26"/>
      <c r="I463" s="25"/>
      <c r="J463" s="25"/>
      <c r="K463" s="25"/>
      <c r="L463" s="25"/>
      <c r="M463" s="25"/>
      <c r="N463" s="25"/>
    </row>
    <row r="464" spans="1:14" ht="14.25" customHeight="1">
      <c r="A464" s="75" t="s">
        <v>88</v>
      </c>
      <c r="B464" s="52" t="s">
        <v>345</v>
      </c>
      <c r="C464" s="26"/>
      <c r="D464" s="26"/>
      <c r="E464" s="26"/>
      <c r="F464" s="26"/>
      <c r="I464" s="25"/>
      <c r="J464" s="25"/>
      <c r="K464" s="25"/>
      <c r="L464" s="25"/>
      <c r="M464" s="25"/>
      <c r="N464" s="25"/>
    </row>
    <row r="465" spans="1:14" ht="14.25" customHeight="1">
      <c r="A465" s="75" t="s">
        <v>88</v>
      </c>
      <c r="B465" s="244" t="s">
        <v>560</v>
      </c>
      <c r="C465" s="244"/>
      <c r="D465" s="244"/>
      <c r="E465" s="244"/>
      <c r="F465" s="244"/>
      <c r="I465" s="25"/>
      <c r="J465" s="25"/>
      <c r="K465" s="25"/>
      <c r="L465" s="25"/>
      <c r="M465" s="25"/>
      <c r="N465" s="25"/>
    </row>
    <row r="466" spans="1:14" ht="14.25" customHeight="1">
      <c r="A466" s="75" t="s">
        <v>88</v>
      </c>
      <c r="B466" s="244" t="s">
        <v>561</v>
      </c>
      <c r="C466" s="244"/>
      <c r="D466" s="244"/>
      <c r="E466" s="244"/>
      <c r="F466" s="244"/>
      <c r="I466" s="25"/>
      <c r="J466" s="25"/>
      <c r="K466" s="25"/>
      <c r="L466" s="25"/>
      <c r="M466" s="25"/>
      <c r="N466" s="25"/>
    </row>
    <row r="467" spans="1:14" ht="19.149999999999999" customHeight="1">
      <c r="A467" s="26"/>
      <c r="B467" s="244" t="s">
        <v>562</v>
      </c>
      <c r="C467" s="244"/>
      <c r="D467" s="244"/>
      <c r="E467" s="244"/>
      <c r="F467" s="244"/>
      <c r="I467" s="25"/>
      <c r="J467" s="25"/>
      <c r="K467" s="25"/>
      <c r="L467" s="25"/>
      <c r="M467" s="25"/>
      <c r="N467" s="25"/>
    </row>
    <row r="468" spans="1:14" ht="16.149999999999999" customHeight="1">
      <c r="A468" s="52" t="s">
        <v>346</v>
      </c>
      <c r="B468" s="28"/>
      <c r="C468" s="28"/>
      <c r="D468" s="28"/>
      <c r="E468" s="28"/>
      <c r="F468" s="28"/>
      <c r="I468" s="25"/>
      <c r="J468" s="25"/>
      <c r="K468" s="25"/>
      <c r="L468" s="25"/>
      <c r="M468" s="25"/>
      <c r="N468" s="25"/>
    </row>
    <row r="469" spans="1:14" ht="59.25" customHeight="1">
      <c r="A469" s="243" t="s">
        <v>563</v>
      </c>
      <c r="B469" s="243"/>
      <c r="C469" s="243"/>
      <c r="D469" s="243"/>
      <c r="E469" s="243"/>
      <c r="F469" s="243"/>
      <c r="I469" s="25"/>
      <c r="J469" s="25"/>
      <c r="K469" s="25"/>
      <c r="L469" s="25"/>
      <c r="M469" s="25"/>
      <c r="N469" s="25"/>
    </row>
    <row r="470" spans="1:14" ht="21" customHeight="1">
      <c r="A470" s="243" t="s">
        <v>347</v>
      </c>
      <c r="B470" s="243"/>
      <c r="C470" s="243"/>
      <c r="D470" s="243"/>
      <c r="E470" s="243"/>
      <c r="F470" s="243"/>
      <c r="I470" s="25"/>
      <c r="J470" s="25"/>
      <c r="K470" s="25"/>
      <c r="L470" s="25"/>
      <c r="M470" s="25"/>
      <c r="N470" s="25"/>
    </row>
    <row r="471" spans="1:14" ht="28.5" customHeight="1">
      <c r="A471" s="243" t="s">
        <v>118</v>
      </c>
      <c r="B471" s="243"/>
      <c r="C471" s="243"/>
      <c r="D471" s="243"/>
      <c r="E471" s="243"/>
      <c r="F471" s="243"/>
      <c r="I471" s="25"/>
      <c r="J471" s="25"/>
      <c r="K471" s="25"/>
      <c r="L471" s="25"/>
      <c r="M471" s="25"/>
      <c r="N471" s="25"/>
    </row>
    <row r="472" spans="1:14" ht="12.75">
      <c r="A472" s="35"/>
      <c r="B472" s="36"/>
      <c r="C472" s="35"/>
      <c r="D472" s="37"/>
      <c r="E472" s="37"/>
      <c r="F472" s="37"/>
      <c r="I472" s="25"/>
      <c r="J472" s="25"/>
      <c r="K472" s="25"/>
      <c r="L472" s="25"/>
      <c r="M472" s="25"/>
      <c r="N472" s="25"/>
    </row>
    <row r="473" spans="1:14" ht="12.75">
      <c r="A473" s="35"/>
      <c r="B473" s="36"/>
      <c r="C473" s="35"/>
      <c r="D473" s="37"/>
      <c r="E473" s="37"/>
      <c r="F473" s="37"/>
      <c r="I473" s="25"/>
      <c r="J473" s="25"/>
      <c r="K473" s="25"/>
      <c r="L473" s="25"/>
      <c r="M473" s="25"/>
      <c r="N473" s="25"/>
    </row>
    <row r="474" spans="1:14" s="32" customFormat="1">
      <c r="A474" s="19" t="s">
        <v>6</v>
      </c>
      <c r="B474" s="69"/>
      <c r="C474" s="31"/>
      <c r="D474" s="31"/>
      <c r="E474" s="31"/>
      <c r="F474" s="31"/>
    </row>
    <row r="475" spans="1:14" s="32" customFormat="1" ht="15">
      <c r="A475" s="77"/>
      <c r="B475" s="77"/>
      <c r="C475" s="23"/>
      <c r="D475" s="23"/>
      <c r="E475" s="23"/>
      <c r="F475" s="23"/>
    </row>
    <row r="476" spans="1:14" ht="72" customHeight="1">
      <c r="A476" s="243" t="s">
        <v>571</v>
      </c>
      <c r="B476" s="243"/>
      <c r="C476" s="243"/>
      <c r="D476" s="243"/>
      <c r="E476" s="243"/>
      <c r="F476" s="243"/>
      <c r="G476" s="17"/>
      <c r="H476" s="17"/>
      <c r="I476" s="17"/>
      <c r="J476" s="17"/>
      <c r="K476" s="17"/>
      <c r="L476" s="17"/>
      <c r="M476" s="25"/>
      <c r="N476" s="25"/>
    </row>
    <row r="477" spans="1:14" ht="30" customHeight="1">
      <c r="A477" s="243" t="s">
        <v>192</v>
      </c>
      <c r="B477" s="243"/>
      <c r="C477" s="243"/>
      <c r="D477" s="243"/>
      <c r="E477" s="243"/>
      <c r="F477" s="243"/>
      <c r="G477" s="17"/>
      <c r="H477" s="17"/>
      <c r="I477" s="17"/>
      <c r="J477" s="17"/>
      <c r="K477" s="17"/>
      <c r="L477" s="17"/>
      <c r="M477" s="25"/>
      <c r="N477" s="25"/>
    </row>
    <row r="478" spans="1:14" ht="16.5" customHeight="1">
      <c r="A478" s="243" t="s">
        <v>267</v>
      </c>
      <c r="B478" s="243"/>
      <c r="C478" s="243"/>
      <c r="D478" s="243"/>
      <c r="E478" s="243"/>
      <c r="F478" s="243"/>
      <c r="G478" s="17"/>
      <c r="H478" s="17"/>
      <c r="I478" s="17"/>
      <c r="J478" s="17"/>
      <c r="K478" s="17"/>
      <c r="L478" s="17"/>
      <c r="M478" s="25"/>
      <c r="N478" s="25"/>
    </row>
    <row r="479" spans="1:14" ht="15.75" customHeight="1">
      <c r="A479" s="26"/>
      <c r="B479" s="52" t="s">
        <v>218</v>
      </c>
      <c r="C479" s="26"/>
      <c r="D479" s="26"/>
      <c r="E479" s="26"/>
      <c r="F479" s="26"/>
      <c r="G479" s="17"/>
      <c r="H479" s="17"/>
      <c r="I479" s="17"/>
      <c r="J479" s="17"/>
      <c r="K479" s="17"/>
      <c r="L479" s="17"/>
      <c r="M479" s="25"/>
      <c r="N479" s="25"/>
    </row>
    <row r="480" spans="1:14" ht="15.75" customHeight="1">
      <c r="A480" s="26"/>
      <c r="B480" s="56" t="s">
        <v>348</v>
      </c>
      <c r="C480" s="26"/>
      <c r="D480" s="81" t="s">
        <v>349</v>
      </c>
      <c r="E480" s="250" t="s">
        <v>553</v>
      </c>
      <c r="F480" s="250"/>
      <c r="G480" s="17"/>
      <c r="H480" s="17"/>
      <c r="I480" s="17"/>
      <c r="J480" s="17"/>
      <c r="K480" s="17"/>
      <c r="L480" s="17"/>
      <c r="M480" s="25"/>
      <c r="N480" s="25"/>
    </row>
    <row r="481" spans="1:14" ht="15.75" customHeight="1">
      <c r="A481" s="26"/>
      <c r="B481" s="56" t="s">
        <v>350</v>
      </c>
      <c r="C481" s="26"/>
      <c r="D481" s="81" t="s">
        <v>351</v>
      </c>
      <c r="E481" s="250" t="s">
        <v>553</v>
      </c>
      <c r="F481" s="250"/>
      <c r="G481" s="17"/>
      <c r="H481" s="17"/>
      <c r="I481" s="17"/>
      <c r="J481" s="17"/>
      <c r="K481" s="17"/>
      <c r="L481" s="17"/>
      <c r="M481" s="25"/>
      <c r="N481" s="25"/>
    </row>
    <row r="482" spans="1:14" ht="15.75" customHeight="1">
      <c r="A482" s="26"/>
      <c r="B482" s="56" t="s">
        <v>352</v>
      </c>
      <c r="C482" s="26"/>
      <c r="D482" s="81" t="s">
        <v>353</v>
      </c>
      <c r="E482" s="250" t="s">
        <v>553</v>
      </c>
      <c r="F482" s="250"/>
      <c r="G482" s="17"/>
      <c r="H482" s="17"/>
      <c r="I482" s="17"/>
      <c r="J482" s="17"/>
      <c r="K482" s="17"/>
      <c r="L482" s="17"/>
      <c r="M482" s="25"/>
      <c r="N482" s="25"/>
    </row>
    <row r="483" spans="1:14" ht="15.75" customHeight="1">
      <c r="A483" s="26"/>
      <c r="B483" s="56"/>
      <c r="C483" s="26"/>
      <c r="D483" s="81" t="s">
        <v>354</v>
      </c>
      <c r="E483" s="250" t="s">
        <v>553</v>
      </c>
      <c r="F483" s="250"/>
      <c r="G483" s="17"/>
      <c r="H483" s="17"/>
      <c r="I483" s="17"/>
      <c r="J483" s="17"/>
      <c r="K483" s="17"/>
      <c r="L483" s="17"/>
      <c r="M483" s="25"/>
      <c r="N483" s="25"/>
    </row>
    <row r="484" spans="1:14" ht="66" customHeight="1">
      <c r="A484" s="243" t="s">
        <v>355</v>
      </c>
      <c r="B484" s="243"/>
      <c r="C484" s="243"/>
      <c r="D484" s="243"/>
      <c r="E484" s="243"/>
      <c r="F484" s="243"/>
      <c r="I484" s="25"/>
      <c r="J484" s="25"/>
      <c r="K484" s="25"/>
      <c r="L484" s="25"/>
      <c r="M484" s="25"/>
      <c r="N484" s="25"/>
    </row>
    <row r="485" spans="1:14" ht="32.25" customHeight="1">
      <c r="A485" s="243" t="s">
        <v>356</v>
      </c>
      <c r="B485" s="243"/>
      <c r="C485" s="243"/>
      <c r="D485" s="243"/>
      <c r="E485" s="243"/>
      <c r="F485" s="243"/>
      <c r="I485" s="25"/>
      <c r="J485" s="25"/>
      <c r="K485" s="25"/>
      <c r="L485" s="25"/>
      <c r="M485" s="25"/>
      <c r="N485" s="25"/>
    </row>
    <row r="486" spans="1:14" ht="15" customHeight="1">
      <c r="A486" s="243" t="s">
        <v>357</v>
      </c>
      <c r="B486" s="243"/>
      <c r="C486" s="243"/>
      <c r="D486" s="243"/>
      <c r="E486" s="243"/>
      <c r="F486" s="243"/>
      <c r="I486" s="25"/>
      <c r="J486" s="25"/>
      <c r="K486" s="25"/>
      <c r="L486" s="25"/>
      <c r="M486" s="25"/>
      <c r="N486" s="25"/>
    </row>
    <row r="487" spans="1:14" ht="56.25" customHeight="1">
      <c r="A487" s="243" t="s">
        <v>673</v>
      </c>
      <c r="B487" s="243"/>
      <c r="C487" s="243"/>
      <c r="D487" s="243"/>
      <c r="E487" s="243"/>
      <c r="F487" s="243"/>
      <c r="I487" s="25"/>
      <c r="J487" s="25"/>
      <c r="K487" s="25"/>
      <c r="L487" s="25"/>
      <c r="M487" s="25"/>
      <c r="N487" s="25"/>
    </row>
    <row r="488" spans="1:14" ht="49.5" customHeight="1">
      <c r="A488" s="243" t="s">
        <v>564</v>
      </c>
      <c r="B488" s="243"/>
      <c r="C488" s="243"/>
      <c r="D488" s="243"/>
      <c r="E488" s="243"/>
      <c r="F488" s="243"/>
      <c r="I488" s="25"/>
      <c r="J488" s="25"/>
      <c r="K488" s="25"/>
      <c r="L488" s="25"/>
      <c r="M488" s="25"/>
      <c r="N488" s="25"/>
    </row>
    <row r="489" spans="1:14" ht="37.5" customHeight="1">
      <c r="A489" s="243" t="s">
        <v>358</v>
      </c>
      <c r="B489" s="243"/>
      <c r="C489" s="243"/>
      <c r="D489" s="243"/>
      <c r="E489" s="243"/>
      <c r="F489" s="243"/>
      <c r="I489" s="25"/>
      <c r="J489" s="25"/>
      <c r="K489" s="25"/>
      <c r="L489" s="25"/>
      <c r="M489" s="25"/>
      <c r="N489" s="25"/>
    </row>
    <row r="490" spans="1:14" ht="39.75" customHeight="1">
      <c r="A490" s="243" t="s">
        <v>359</v>
      </c>
      <c r="B490" s="243"/>
      <c r="C490" s="243"/>
      <c r="D490" s="243"/>
      <c r="E490" s="243"/>
      <c r="F490" s="243"/>
      <c r="I490" s="25"/>
      <c r="J490" s="25"/>
      <c r="K490" s="25"/>
      <c r="L490" s="25"/>
      <c r="M490" s="25"/>
      <c r="N490" s="25"/>
    </row>
    <row r="491" spans="1:14" ht="52.5" customHeight="1">
      <c r="A491" s="243" t="s">
        <v>360</v>
      </c>
      <c r="B491" s="243"/>
      <c r="C491" s="243"/>
      <c r="D491" s="243"/>
      <c r="E491" s="243"/>
      <c r="F491" s="243"/>
      <c r="I491" s="25"/>
      <c r="J491" s="25"/>
      <c r="K491" s="25"/>
      <c r="L491" s="25"/>
      <c r="M491" s="25"/>
      <c r="N491" s="25"/>
    </row>
    <row r="492" spans="1:14" ht="27.75" customHeight="1">
      <c r="A492" s="243" t="s">
        <v>118</v>
      </c>
      <c r="B492" s="243"/>
      <c r="C492" s="243"/>
      <c r="D492" s="243"/>
      <c r="E492" s="243"/>
      <c r="F492" s="243"/>
      <c r="I492" s="25"/>
      <c r="J492" s="25"/>
      <c r="K492" s="25"/>
      <c r="L492" s="25"/>
      <c r="M492" s="25"/>
      <c r="N492" s="25"/>
    </row>
    <row r="493" spans="1:14" ht="14.25">
      <c r="A493" s="29"/>
      <c r="B493" s="44"/>
      <c r="C493" s="29"/>
      <c r="D493" s="45"/>
      <c r="E493" s="45"/>
      <c r="F493" s="45"/>
      <c r="I493" s="25"/>
      <c r="J493" s="25"/>
      <c r="K493" s="25"/>
      <c r="L493" s="25"/>
      <c r="M493" s="25"/>
      <c r="N493" s="25"/>
    </row>
    <row r="494" spans="1:14" ht="14.25">
      <c r="A494" s="29"/>
      <c r="B494" s="44"/>
      <c r="C494" s="29"/>
      <c r="D494" s="45"/>
      <c r="E494" s="45"/>
      <c r="F494" s="45"/>
      <c r="I494" s="25"/>
      <c r="J494" s="25"/>
      <c r="K494" s="25"/>
      <c r="L494" s="25"/>
      <c r="M494" s="25"/>
      <c r="N494" s="25"/>
    </row>
    <row r="495" spans="1:14" s="32" customFormat="1" ht="19.5" customHeight="1">
      <c r="A495" s="46" t="s">
        <v>8</v>
      </c>
      <c r="B495" s="47"/>
      <c r="C495" s="48"/>
      <c r="D495" s="48"/>
      <c r="E495" s="49"/>
      <c r="F495" s="49"/>
      <c r="L495" s="90"/>
    </row>
    <row r="496" spans="1:14" ht="15">
      <c r="A496" s="77"/>
      <c r="B496" s="23"/>
      <c r="C496" s="23"/>
      <c r="D496" s="23"/>
      <c r="E496" s="45"/>
      <c r="F496" s="45"/>
      <c r="I496" s="25"/>
      <c r="J496" s="25"/>
      <c r="K496" s="25"/>
      <c r="L496" s="25"/>
      <c r="M496" s="25"/>
      <c r="N496" s="25"/>
    </row>
    <row r="497" spans="1:14" ht="64.5" customHeight="1">
      <c r="A497" s="243" t="s">
        <v>565</v>
      </c>
      <c r="B497" s="243"/>
      <c r="C497" s="243"/>
      <c r="D497" s="243"/>
      <c r="E497" s="243"/>
      <c r="F497" s="243"/>
      <c r="G497" s="17"/>
      <c r="H497" s="17"/>
      <c r="I497" s="17"/>
      <c r="J497" s="17"/>
      <c r="K497" s="17"/>
      <c r="L497" s="17"/>
      <c r="M497" s="25"/>
      <c r="N497" s="25"/>
    </row>
    <row r="498" spans="1:14" ht="42.75" customHeight="1">
      <c r="A498" s="243" t="s">
        <v>192</v>
      </c>
      <c r="B498" s="243"/>
      <c r="C498" s="243"/>
      <c r="D498" s="243"/>
      <c r="E498" s="243"/>
      <c r="F498" s="243"/>
      <c r="G498" s="17"/>
      <c r="H498" s="17"/>
      <c r="I498" s="17"/>
      <c r="J498" s="17"/>
      <c r="K498" s="17"/>
      <c r="L498" s="17"/>
      <c r="M498" s="25"/>
      <c r="N498" s="25"/>
    </row>
    <row r="499" spans="1:14" ht="70.900000000000006" customHeight="1">
      <c r="A499" s="243" t="s">
        <v>361</v>
      </c>
      <c r="B499" s="243"/>
      <c r="C499" s="243"/>
      <c r="D499" s="243"/>
      <c r="E499" s="243"/>
      <c r="F499" s="243"/>
      <c r="I499" s="25"/>
      <c r="J499" s="25"/>
      <c r="K499" s="25"/>
      <c r="L499" s="25"/>
      <c r="M499" s="25"/>
      <c r="N499" s="25"/>
    </row>
    <row r="500" spans="1:14" ht="13.5" customHeight="1">
      <c r="A500" s="243" t="s">
        <v>362</v>
      </c>
      <c r="B500" s="243"/>
      <c r="C500" s="243"/>
      <c r="D500" s="243"/>
      <c r="E500" s="243"/>
      <c r="F500" s="243"/>
      <c r="I500" s="25"/>
      <c r="J500" s="25"/>
      <c r="K500" s="25"/>
      <c r="L500" s="25"/>
      <c r="M500" s="25"/>
      <c r="N500" s="25"/>
    </row>
    <row r="501" spans="1:14" ht="15" customHeight="1">
      <c r="A501" s="243" t="s">
        <v>267</v>
      </c>
      <c r="B501" s="243"/>
      <c r="C501" s="243"/>
      <c r="D501" s="243"/>
      <c r="E501" s="243"/>
      <c r="F501" s="243"/>
      <c r="I501" s="25"/>
      <c r="J501" s="25"/>
      <c r="K501" s="25"/>
      <c r="L501" s="25"/>
      <c r="M501" s="25"/>
      <c r="N501" s="25"/>
    </row>
    <row r="502" spans="1:14" ht="15" customHeight="1">
      <c r="A502" s="26"/>
      <c r="B502" s="52" t="s">
        <v>218</v>
      </c>
      <c r="C502" s="26"/>
      <c r="D502" s="26"/>
      <c r="E502" s="26"/>
      <c r="F502" s="26"/>
      <c r="I502" s="25"/>
      <c r="J502" s="25"/>
      <c r="K502" s="25"/>
      <c r="L502" s="25"/>
      <c r="M502" s="25"/>
      <c r="N502" s="25"/>
    </row>
    <row r="503" spans="1:14" ht="15" customHeight="1">
      <c r="A503" s="26"/>
      <c r="B503" s="44" t="s">
        <v>363</v>
      </c>
      <c r="C503" s="80" t="s">
        <v>364</v>
      </c>
      <c r="D503" s="76" t="s">
        <v>365</v>
      </c>
      <c r="E503" s="250" t="s">
        <v>553</v>
      </c>
      <c r="F503" s="250"/>
      <c r="I503" s="25"/>
      <c r="J503" s="25"/>
      <c r="K503" s="25"/>
      <c r="L503" s="25"/>
      <c r="M503" s="25"/>
      <c r="N503" s="25"/>
    </row>
    <row r="504" spans="1:14" ht="15" customHeight="1">
      <c r="A504" s="26"/>
      <c r="B504" s="44"/>
      <c r="C504" s="80" t="s">
        <v>364</v>
      </c>
      <c r="D504" s="76" t="s">
        <v>366</v>
      </c>
      <c r="E504" s="250" t="s">
        <v>553</v>
      </c>
      <c r="F504" s="250"/>
      <c r="I504" s="25"/>
      <c r="J504" s="25"/>
      <c r="K504" s="25"/>
      <c r="L504" s="25"/>
      <c r="M504" s="25"/>
      <c r="N504" s="25"/>
    </row>
    <row r="505" spans="1:14" ht="15" customHeight="1">
      <c r="A505" s="26"/>
      <c r="B505" s="44"/>
      <c r="C505" s="80" t="s">
        <v>364</v>
      </c>
      <c r="D505" s="76" t="s">
        <v>367</v>
      </c>
      <c r="E505" s="250" t="s">
        <v>553</v>
      </c>
      <c r="F505" s="250"/>
      <c r="I505" s="25"/>
      <c r="J505" s="25"/>
      <c r="K505" s="25"/>
      <c r="L505" s="25"/>
      <c r="M505" s="25"/>
      <c r="N505" s="25"/>
    </row>
    <row r="506" spans="1:14" ht="15" customHeight="1">
      <c r="A506" s="26"/>
      <c r="B506" s="44" t="s">
        <v>368</v>
      </c>
      <c r="C506" s="80" t="s">
        <v>364</v>
      </c>
      <c r="D506" s="76" t="s">
        <v>369</v>
      </c>
      <c r="E506" s="250" t="s">
        <v>553</v>
      </c>
      <c r="F506" s="250"/>
      <c r="I506" s="25"/>
      <c r="J506" s="25"/>
      <c r="K506" s="25"/>
      <c r="L506" s="25"/>
      <c r="M506" s="25"/>
      <c r="N506" s="25"/>
    </row>
    <row r="507" spans="1:14" ht="15" customHeight="1">
      <c r="A507" s="26"/>
      <c r="B507" s="44" t="s">
        <v>370</v>
      </c>
      <c r="C507" s="80" t="s">
        <v>364</v>
      </c>
      <c r="D507" s="76" t="s">
        <v>371</v>
      </c>
      <c r="E507" s="250" t="s">
        <v>553</v>
      </c>
      <c r="F507" s="250"/>
      <c r="I507" s="25"/>
      <c r="J507" s="25"/>
      <c r="K507" s="25"/>
      <c r="L507" s="25"/>
      <c r="M507" s="25"/>
      <c r="N507" s="25"/>
    </row>
    <row r="508" spans="1:14" ht="15" customHeight="1">
      <c r="A508" s="26"/>
      <c r="B508" s="44" t="s">
        <v>372</v>
      </c>
      <c r="C508" s="80" t="s">
        <v>364</v>
      </c>
      <c r="D508" s="76" t="s">
        <v>373</v>
      </c>
      <c r="E508" s="250" t="s">
        <v>553</v>
      </c>
      <c r="F508" s="250"/>
      <c r="I508" s="25"/>
      <c r="J508" s="25"/>
      <c r="K508" s="25"/>
      <c r="L508" s="25"/>
      <c r="M508" s="25"/>
      <c r="N508" s="25"/>
    </row>
    <row r="509" spans="1:14" ht="15" customHeight="1">
      <c r="A509" s="26"/>
      <c r="B509" s="44"/>
      <c r="C509" s="80" t="s">
        <v>364</v>
      </c>
      <c r="D509" s="76" t="s">
        <v>374</v>
      </c>
      <c r="E509" s="250" t="s">
        <v>553</v>
      </c>
      <c r="F509" s="250"/>
      <c r="I509" s="25"/>
      <c r="J509" s="25"/>
      <c r="K509" s="25"/>
      <c r="L509" s="25"/>
      <c r="M509" s="25"/>
      <c r="N509" s="25"/>
    </row>
    <row r="510" spans="1:14" ht="15" customHeight="1">
      <c r="A510" s="26"/>
      <c r="B510" s="44"/>
      <c r="C510" s="80" t="s">
        <v>364</v>
      </c>
      <c r="D510" s="76" t="s">
        <v>375</v>
      </c>
      <c r="E510" s="250" t="s">
        <v>553</v>
      </c>
      <c r="F510" s="250"/>
      <c r="I510" s="25"/>
      <c r="J510" s="25"/>
      <c r="K510" s="25"/>
      <c r="L510" s="25"/>
      <c r="M510" s="25"/>
      <c r="N510" s="25"/>
    </row>
    <row r="511" spans="1:14" ht="15" customHeight="1">
      <c r="A511" s="26"/>
      <c r="B511" s="44" t="s">
        <v>376</v>
      </c>
      <c r="C511" s="80" t="s">
        <v>364</v>
      </c>
      <c r="D511" s="76" t="s">
        <v>377</v>
      </c>
      <c r="E511" s="250" t="s">
        <v>553</v>
      </c>
      <c r="F511" s="250"/>
      <c r="I511" s="25"/>
      <c r="J511" s="25"/>
      <c r="K511" s="25"/>
      <c r="L511" s="25"/>
      <c r="M511" s="25"/>
      <c r="N511" s="25"/>
    </row>
    <row r="512" spans="1:14" ht="15" customHeight="1">
      <c r="A512" s="26"/>
      <c r="B512" s="44" t="s">
        <v>378</v>
      </c>
      <c r="C512" s="80" t="s">
        <v>364</v>
      </c>
      <c r="D512" s="76" t="s">
        <v>379</v>
      </c>
      <c r="E512" s="250" t="s">
        <v>553</v>
      </c>
      <c r="F512" s="250"/>
      <c r="I512" s="25"/>
      <c r="J512" s="25"/>
      <c r="K512" s="25"/>
      <c r="L512" s="25"/>
      <c r="M512" s="25"/>
      <c r="N512" s="25"/>
    </row>
    <row r="513" spans="1:14" ht="15" customHeight="1">
      <c r="A513" s="26"/>
      <c r="B513" s="44" t="s">
        <v>380</v>
      </c>
      <c r="C513" s="80" t="s">
        <v>364</v>
      </c>
      <c r="D513" s="76" t="s">
        <v>381</v>
      </c>
      <c r="E513" s="250" t="s">
        <v>553</v>
      </c>
      <c r="F513" s="250"/>
      <c r="I513" s="25"/>
      <c r="J513" s="25"/>
      <c r="K513" s="25"/>
      <c r="L513" s="25"/>
      <c r="M513" s="25"/>
      <c r="N513" s="25"/>
    </row>
    <row r="514" spans="1:14" ht="15" customHeight="1">
      <c r="A514" s="26"/>
      <c r="B514" s="44" t="s">
        <v>382</v>
      </c>
      <c r="C514" s="80" t="s">
        <v>364</v>
      </c>
      <c r="D514" s="76" t="s">
        <v>383</v>
      </c>
      <c r="E514" s="250" t="s">
        <v>553</v>
      </c>
      <c r="F514" s="250"/>
      <c r="I514" s="25"/>
      <c r="J514" s="25"/>
      <c r="K514" s="25"/>
      <c r="L514" s="25"/>
      <c r="M514" s="25"/>
      <c r="N514" s="25"/>
    </row>
    <row r="515" spans="1:14" ht="15" customHeight="1">
      <c r="A515" s="26"/>
      <c r="B515" s="44" t="s">
        <v>384</v>
      </c>
      <c r="C515" s="80" t="s">
        <v>364</v>
      </c>
      <c r="D515" s="76" t="s">
        <v>385</v>
      </c>
      <c r="E515" s="250" t="s">
        <v>553</v>
      </c>
      <c r="F515" s="250"/>
      <c r="I515" s="25"/>
      <c r="J515" s="25"/>
      <c r="K515" s="25"/>
      <c r="L515" s="25"/>
      <c r="M515" s="25"/>
      <c r="N515" s="25"/>
    </row>
    <row r="516" spans="1:14" ht="15" customHeight="1">
      <c r="A516" s="26"/>
      <c r="B516" s="44" t="s">
        <v>386</v>
      </c>
      <c r="C516" s="80" t="s">
        <v>285</v>
      </c>
      <c r="D516" s="76" t="s">
        <v>387</v>
      </c>
      <c r="E516" s="250" t="s">
        <v>553</v>
      </c>
      <c r="F516" s="250"/>
      <c r="I516" s="25"/>
      <c r="J516" s="25"/>
      <c r="K516" s="25"/>
      <c r="L516" s="25"/>
      <c r="M516" s="25"/>
      <c r="N516" s="25"/>
    </row>
    <row r="517" spans="1:14" ht="34.15" customHeight="1">
      <c r="A517" s="26"/>
      <c r="B517" s="67" t="s">
        <v>388</v>
      </c>
      <c r="C517" s="75" t="s">
        <v>491</v>
      </c>
      <c r="D517" s="28" t="s">
        <v>492</v>
      </c>
      <c r="E517" s="244" t="s">
        <v>566</v>
      </c>
      <c r="F517" s="244"/>
      <c r="I517" s="25"/>
      <c r="J517" s="25"/>
      <c r="K517" s="25"/>
      <c r="L517" s="25"/>
      <c r="M517" s="25"/>
      <c r="N517" s="25"/>
    </row>
    <row r="518" spans="1:14" ht="63.75" customHeight="1">
      <c r="A518" s="243" t="s">
        <v>389</v>
      </c>
      <c r="B518" s="243"/>
      <c r="C518" s="243"/>
      <c r="D518" s="243"/>
      <c r="E518" s="243"/>
      <c r="F518" s="243"/>
      <c r="I518" s="25"/>
      <c r="J518" s="25"/>
      <c r="K518" s="25"/>
      <c r="L518" s="25"/>
      <c r="M518" s="25"/>
      <c r="N518" s="25"/>
    </row>
    <row r="519" spans="1:14" ht="32.25" customHeight="1">
      <c r="A519" s="243" t="s">
        <v>390</v>
      </c>
      <c r="B519" s="243"/>
      <c r="C519" s="243"/>
      <c r="D519" s="243"/>
      <c r="E519" s="243"/>
      <c r="F519" s="243"/>
      <c r="I519" s="25"/>
      <c r="J519" s="25"/>
      <c r="K519" s="25"/>
      <c r="L519" s="25"/>
      <c r="M519" s="25"/>
      <c r="N519" s="25"/>
    </row>
    <row r="520" spans="1:14" ht="30" customHeight="1">
      <c r="A520" s="243" t="s">
        <v>391</v>
      </c>
      <c r="B520" s="243"/>
      <c r="C520" s="243"/>
      <c r="D520" s="243"/>
      <c r="E520" s="243"/>
      <c r="F520" s="243"/>
      <c r="I520" s="25"/>
      <c r="J520" s="25"/>
      <c r="K520" s="25"/>
      <c r="L520" s="25"/>
      <c r="M520" s="25"/>
      <c r="N520" s="25"/>
    </row>
    <row r="521" spans="1:14" ht="34.5" customHeight="1">
      <c r="A521" s="243" t="s">
        <v>572</v>
      </c>
      <c r="B521" s="243"/>
      <c r="C521" s="243"/>
      <c r="D521" s="243"/>
      <c r="E521" s="243"/>
      <c r="F521" s="243"/>
      <c r="I521" s="25"/>
      <c r="J521" s="25"/>
      <c r="K521" s="25"/>
      <c r="L521" s="25"/>
      <c r="M521" s="25"/>
      <c r="N521" s="25"/>
    </row>
    <row r="522" spans="1:14" ht="54" customHeight="1">
      <c r="A522" s="243" t="s">
        <v>674</v>
      </c>
      <c r="B522" s="243"/>
      <c r="C522" s="243"/>
      <c r="D522" s="243"/>
      <c r="E522" s="243"/>
      <c r="F522" s="243"/>
      <c r="I522" s="25"/>
      <c r="J522" s="25"/>
      <c r="K522" s="25"/>
      <c r="L522" s="25"/>
      <c r="M522" s="25"/>
      <c r="N522" s="25"/>
    </row>
    <row r="523" spans="1:14" ht="20.25" customHeight="1">
      <c r="A523" s="243" t="s">
        <v>392</v>
      </c>
      <c r="B523" s="243"/>
      <c r="C523" s="243"/>
      <c r="D523" s="243"/>
      <c r="E523" s="243"/>
      <c r="F523" s="243"/>
      <c r="I523" s="25"/>
      <c r="J523" s="25"/>
      <c r="K523" s="25"/>
      <c r="L523" s="25"/>
      <c r="M523" s="25"/>
      <c r="N523" s="25"/>
    </row>
    <row r="524" spans="1:14" ht="50.25" customHeight="1">
      <c r="A524" s="243" t="s">
        <v>393</v>
      </c>
      <c r="B524" s="243"/>
      <c r="C524" s="243"/>
      <c r="D524" s="243"/>
      <c r="E524" s="243"/>
      <c r="F524" s="243"/>
      <c r="I524" s="25"/>
      <c r="J524" s="25"/>
      <c r="K524" s="25"/>
      <c r="L524" s="25"/>
      <c r="M524" s="25"/>
      <c r="N524" s="25"/>
    </row>
    <row r="525" spans="1:14" ht="99" customHeight="1">
      <c r="A525" s="243" t="s">
        <v>675</v>
      </c>
      <c r="B525" s="243"/>
      <c r="C525" s="243"/>
      <c r="D525" s="243"/>
      <c r="E525" s="243"/>
      <c r="F525" s="243"/>
      <c r="I525" s="25"/>
      <c r="J525" s="25"/>
      <c r="K525" s="25"/>
      <c r="L525" s="25"/>
      <c r="M525" s="25"/>
      <c r="N525" s="25"/>
    </row>
    <row r="526" spans="1:14" ht="43.9" customHeight="1">
      <c r="A526" s="243" t="s">
        <v>567</v>
      </c>
      <c r="B526" s="243"/>
      <c r="C526" s="243"/>
      <c r="D526" s="243"/>
      <c r="E526" s="243"/>
      <c r="F526" s="243"/>
      <c r="I526" s="25"/>
      <c r="J526" s="25"/>
      <c r="K526" s="25"/>
      <c r="L526" s="25"/>
      <c r="M526" s="25"/>
      <c r="N526" s="25"/>
    </row>
    <row r="527" spans="1:14" ht="33.75" customHeight="1">
      <c r="A527" s="243" t="s">
        <v>118</v>
      </c>
      <c r="B527" s="243"/>
      <c r="C527" s="243"/>
      <c r="D527" s="243"/>
      <c r="E527" s="243"/>
      <c r="F527" s="243"/>
      <c r="I527" s="25"/>
      <c r="J527" s="25"/>
      <c r="K527" s="25"/>
      <c r="L527" s="25"/>
      <c r="M527" s="25"/>
      <c r="N527" s="25"/>
    </row>
    <row r="528" spans="1:14" ht="21" customHeight="1">
      <c r="A528" s="26"/>
      <c r="B528" s="26"/>
      <c r="C528" s="26"/>
      <c r="D528" s="26"/>
      <c r="E528" s="26"/>
      <c r="F528" s="26"/>
      <c r="I528" s="25"/>
      <c r="J528" s="25"/>
      <c r="K528" s="25"/>
      <c r="L528" s="25"/>
      <c r="M528" s="25"/>
      <c r="N528" s="25"/>
    </row>
    <row r="529" spans="1:14" s="32" customFormat="1">
      <c r="A529" s="19" t="s">
        <v>2</v>
      </c>
      <c r="B529" s="19"/>
      <c r="C529" s="48"/>
      <c r="D529" s="48"/>
      <c r="E529" s="49"/>
      <c r="F529" s="49"/>
    </row>
    <row r="530" spans="1:14" ht="18" customHeight="1">
      <c r="A530" s="77"/>
      <c r="B530" s="23"/>
      <c r="C530" s="23"/>
      <c r="D530" s="23"/>
      <c r="E530" s="45"/>
      <c r="F530" s="45"/>
      <c r="I530" s="25"/>
      <c r="J530" s="25"/>
      <c r="K530" s="25"/>
      <c r="L530" s="25"/>
      <c r="M530" s="25"/>
      <c r="N530" s="25"/>
    </row>
    <row r="531" spans="1:14" ht="60" customHeight="1">
      <c r="A531" s="243" t="s">
        <v>568</v>
      </c>
      <c r="B531" s="243"/>
      <c r="C531" s="243"/>
      <c r="D531" s="243"/>
      <c r="E531" s="243"/>
      <c r="F531" s="243"/>
      <c r="G531" s="17"/>
      <c r="H531" s="17"/>
      <c r="I531" s="17"/>
      <c r="J531" s="17"/>
      <c r="K531" s="17"/>
      <c r="L531" s="17"/>
      <c r="M531" s="25"/>
      <c r="N531" s="25"/>
    </row>
    <row r="532" spans="1:14" ht="37.5" customHeight="1">
      <c r="A532" s="243" t="s">
        <v>192</v>
      </c>
      <c r="B532" s="243"/>
      <c r="C532" s="243"/>
      <c r="D532" s="243"/>
      <c r="E532" s="243"/>
      <c r="F532" s="243"/>
      <c r="G532" s="17"/>
      <c r="H532" s="17"/>
      <c r="I532" s="17"/>
      <c r="J532" s="17"/>
      <c r="K532" s="17"/>
      <c r="L532" s="17"/>
      <c r="M532" s="25"/>
      <c r="N532" s="25"/>
    </row>
    <row r="533" spans="1:14" ht="46.5" customHeight="1">
      <c r="A533" s="243" t="s">
        <v>394</v>
      </c>
      <c r="B533" s="243"/>
      <c r="C533" s="243"/>
      <c r="D533" s="243"/>
      <c r="E533" s="243"/>
      <c r="F533" s="243"/>
      <c r="I533" s="25"/>
      <c r="J533" s="25"/>
      <c r="K533" s="25"/>
      <c r="L533" s="25"/>
      <c r="M533" s="25"/>
      <c r="N533" s="25"/>
    </row>
    <row r="534" spans="1:14" ht="34.5" customHeight="1">
      <c r="A534" s="243" t="s">
        <v>395</v>
      </c>
      <c r="B534" s="243"/>
      <c r="C534" s="243"/>
      <c r="D534" s="243"/>
      <c r="E534" s="243"/>
      <c r="F534" s="243"/>
      <c r="I534" s="25"/>
      <c r="J534" s="25"/>
      <c r="K534" s="25"/>
      <c r="L534" s="25"/>
      <c r="M534" s="25"/>
      <c r="N534" s="25"/>
    </row>
    <row r="535" spans="1:14" ht="45" customHeight="1">
      <c r="A535" s="243" t="s">
        <v>396</v>
      </c>
      <c r="B535" s="243"/>
      <c r="C535" s="243"/>
      <c r="D535" s="243"/>
      <c r="E535" s="243"/>
      <c r="F535" s="243"/>
      <c r="I535" s="25"/>
      <c r="J535" s="25"/>
      <c r="K535" s="25"/>
      <c r="L535" s="25"/>
      <c r="M535" s="25"/>
      <c r="N535" s="25"/>
    </row>
    <row r="536" spans="1:14" ht="48.75" customHeight="1">
      <c r="A536" s="243" t="s">
        <v>397</v>
      </c>
      <c r="B536" s="243"/>
      <c r="C536" s="243"/>
      <c r="D536" s="243"/>
      <c r="E536" s="243"/>
      <c r="F536" s="243"/>
      <c r="I536" s="25"/>
      <c r="J536" s="25"/>
      <c r="K536" s="25"/>
      <c r="L536" s="25"/>
      <c r="M536" s="25"/>
      <c r="N536" s="25"/>
    </row>
    <row r="537" spans="1:14" ht="36.75" customHeight="1">
      <c r="A537" s="243" t="s">
        <v>398</v>
      </c>
      <c r="B537" s="243"/>
      <c r="C537" s="243"/>
      <c r="D537" s="243"/>
      <c r="E537" s="243"/>
      <c r="F537" s="243"/>
      <c r="I537" s="25"/>
      <c r="J537" s="25"/>
      <c r="K537" s="25"/>
      <c r="L537" s="25"/>
      <c r="M537" s="25"/>
      <c r="N537" s="25"/>
    </row>
    <row r="538" spans="1:14" ht="50.25" customHeight="1">
      <c r="A538" s="243" t="s">
        <v>399</v>
      </c>
      <c r="B538" s="243"/>
      <c r="C538" s="243"/>
      <c r="D538" s="243"/>
      <c r="E538" s="243"/>
      <c r="F538" s="243"/>
      <c r="I538" s="25"/>
      <c r="J538" s="25"/>
      <c r="K538" s="25"/>
      <c r="L538" s="25"/>
      <c r="M538" s="25"/>
      <c r="N538" s="25"/>
    </row>
    <row r="539" spans="1:14" ht="64.5" customHeight="1">
      <c r="A539" s="243" t="s">
        <v>400</v>
      </c>
      <c r="B539" s="243"/>
      <c r="C539" s="243"/>
      <c r="D539" s="243"/>
      <c r="E539" s="243"/>
      <c r="F539" s="243"/>
      <c r="I539" s="25"/>
      <c r="J539" s="25"/>
      <c r="K539" s="25"/>
      <c r="L539" s="25"/>
      <c r="M539" s="25"/>
      <c r="N539" s="25"/>
    </row>
    <row r="540" spans="1:14" ht="46.5" customHeight="1">
      <c r="A540" s="243" t="s">
        <v>401</v>
      </c>
      <c r="B540" s="243"/>
      <c r="C540" s="243"/>
      <c r="D540" s="243"/>
      <c r="E540" s="243"/>
      <c r="F540" s="243"/>
      <c r="I540" s="25"/>
      <c r="J540" s="25"/>
      <c r="K540" s="25"/>
      <c r="L540" s="25"/>
      <c r="M540" s="25"/>
      <c r="N540" s="25"/>
    </row>
    <row r="541" spans="1:14" ht="83.25" customHeight="1">
      <c r="A541" s="243" t="s">
        <v>402</v>
      </c>
      <c r="B541" s="243"/>
      <c r="C541" s="243"/>
      <c r="D541" s="243"/>
      <c r="E541" s="243"/>
      <c r="F541" s="243"/>
      <c r="I541" s="25"/>
      <c r="J541" s="25"/>
      <c r="K541" s="25"/>
      <c r="L541" s="25"/>
      <c r="M541" s="25"/>
      <c r="N541" s="25"/>
    </row>
    <row r="542" spans="1:14" ht="51.75" customHeight="1">
      <c r="A542" s="243" t="s">
        <v>403</v>
      </c>
      <c r="B542" s="243"/>
      <c r="C542" s="243"/>
      <c r="D542" s="243"/>
      <c r="E542" s="243"/>
      <c r="F542" s="243"/>
      <c r="I542" s="25"/>
      <c r="J542" s="25"/>
      <c r="K542" s="25"/>
      <c r="L542" s="25"/>
      <c r="M542" s="25"/>
      <c r="N542" s="25"/>
    </row>
    <row r="543" spans="1:14" ht="37.5" customHeight="1">
      <c r="A543" s="243" t="s">
        <v>404</v>
      </c>
      <c r="B543" s="243"/>
      <c r="C543" s="243"/>
      <c r="D543" s="243"/>
      <c r="E543" s="243"/>
      <c r="F543" s="243"/>
      <c r="I543" s="25"/>
      <c r="J543" s="25"/>
      <c r="K543" s="25"/>
      <c r="L543" s="25"/>
      <c r="M543" s="25"/>
      <c r="N543" s="25"/>
    </row>
    <row r="544" spans="1:14" ht="13.15" customHeight="1">
      <c r="A544" s="243" t="s">
        <v>405</v>
      </c>
      <c r="B544" s="243"/>
      <c r="C544" s="243"/>
      <c r="D544" s="243"/>
      <c r="E544" s="243"/>
      <c r="F544" s="243"/>
      <c r="I544" s="25"/>
      <c r="J544" s="25"/>
      <c r="K544" s="25"/>
      <c r="L544" s="25"/>
      <c r="M544" s="25"/>
      <c r="N544" s="25"/>
    </row>
    <row r="545" spans="1:14" ht="12.75">
      <c r="A545" s="243"/>
      <c r="B545" s="243"/>
      <c r="C545" s="243"/>
      <c r="D545" s="243"/>
      <c r="E545" s="243"/>
      <c r="F545" s="243"/>
      <c r="I545" s="25"/>
      <c r="J545" s="25"/>
      <c r="K545" s="25"/>
      <c r="L545" s="25"/>
      <c r="M545" s="25"/>
      <c r="N545" s="25"/>
    </row>
    <row r="546" spans="1:14" ht="18" customHeight="1">
      <c r="A546" s="243"/>
      <c r="B546" s="243"/>
      <c r="C546" s="243"/>
      <c r="D546" s="243"/>
      <c r="E546" s="243"/>
      <c r="F546" s="243"/>
      <c r="I546" s="25"/>
      <c r="J546" s="25"/>
      <c r="K546" s="25"/>
      <c r="L546" s="25"/>
      <c r="M546" s="25"/>
      <c r="N546" s="25"/>
    </row>
    <row r="547" spans="1:14" ht="18.75" customHeight="1">
      <c r="A547" s="243" t="s">
        <v>267</v>
      </c>
      <c r="B547" s="243"/>
      <c r="C547" s="243"/>
      <c r="D547" s="243"/>
      <c r="E547" s="243"/>
      <c r="F547" s="243"/>
      <c r="I547" s="25"/>
      <c r="J547" s="25"/>
      <c r="K547" s="25"/>
      <c r="L547" s="25"/>
      <c r="M547" s="25"/>
      <c r="N547" s="25"/>
    </row>
    <row r="548" spans="1:14" ht="15.6" customHeight="1">
      <c r="A548" s="56" t="s">
        <v>471</v>
      </c>
      <c r="B548" s="67"/>
      <c r="C548" s="91" t="s">
        <v>285</v>
      </c>
      <c r="D548" s="92" t="s">
        <v>406</v>
      </c>
      <c r="E548" s="250" t="s">
        <v>553</v>
      </c>
      <c r="F548" s="250"/>
      <c r="I548" s="25"/>
      <c r="J548" s="25"/>
      <c r="K548" s="25"/>
      <c r="L548" s="25"/>
      <c r="M548" s="25"/>
      <c r="N548" s="25"/>
    </row>
    <row r="549" spans="1:14" ht="13.15" customHeight="1">
      <c r="A549" s="26"/>
      <c r="B549" s="44" t="s">
        <v>407</v>
      </c>
      <c r="C549" s="91" t="s">
        <v>408</v>
      </c>
      <c r="D549" s="92" t="s">
        <v>409</v>
      </c>
      <c r="E549" s="250" t="s">
        <v>553</v>
      </c>
      <c r="F549" s="250"/>
      <c r="I549" s="25"/>
      <c r="J549" s="25"/>
      <c r="K549" s="25"/>
      <c r="L549" s="25"/>
      <c r="M549" s="25"/>
      <c r="N549" s="25"/>
    </row>
    <row r="550" spans="1:14" ht="13.15" customHeight="1">
      <c r="A550" s="26"/>
      <c r="B550" s="44" t="s">
        <v>410</v>
      </c>
      <c r="C550" s="91" t="s">
        <v>408</v>
      </c>
      <c r="D550" s="92" t="s">
        <v>411</v>
      </c>
      <c r="E550" s="250" t="s">
        <v>553</v>
      </c>
      <c r="F550" s="250"/>
      <c r="I550" s="25"/>
      <c r="J550" s="25"/>
      <c r="K550" s="25"/>
      <c r="L550" s="25"/>
      <c r="M550" s="25"/>
      <c r="N550" s="25"/>
    </row>
    <row r="551" spans="1:14" ht="13.15" customHeight="1">
      <c r="A551" s="26"/>
      <c r="B551" s="44" t="s">
        <v>412</v>
      </c>
      <c r="C551" s="91" t="s">
        <v>408</v>
      </c>
      <c r="D551" s="92" t="s">
        <v>413</v>
      </c>
      <c r="E551" s="250" t="s">
        <v>553</v>
      </c>
      <c r="F551" s="250"/>
      <c r="I551" s="25"/>
      <c r="J551" s="25"/>
      <c r="K551" s="25"/>
      <c r="L551" s="25"/>
      <c r="M551" s="25"/>
      <c r="N551" s="25"/>
    </row>
    <row r="552" spans="1:14" ht="13.15" customHeight="1">
      <c r="A552" s="26"/>
      <c r="B552" s="44" t="s">
        <v>414</v>
      </c>
      <c r="C552" s="91" t="s">
        <v>408</v>
      </c>
      <c r="D552" s="92" t="s">
        <v>415</v>
      </c>
      <c r="E552" s="250" t="s">
        <v>553</v>
      </c>
      <c r="F552" s="250"/>
      <c r="I552" s="25"/>
      <c r="J552" s="25"/>
      <c r="K552" s="25"/>
      <c r="L552" s="25"/>
      <c r="M552" s="25"/>
      <c r="N552" s="25"/>
    </row>
    <row r="553" spans="1:14" ht="13.15" customHeight="1">
      <c r="A553" s="26"/>
      <c r="B553" s="44" t="s">
        <v>416</v>
      </c>
      <c r="C553" s="91" t="s">
        <v>408</v>
      </c>
      <c r="D553" s="92" t="s">
        <v>417</v>
      </c>
      <c r="E553" s="250" t="s">
        <v>553</v>
      </c>
      <c r="F553" s="250"/>
      <c r="I553" s="25"/>
      <c r="J553" s="25"/>
      <c r="K553" s="25"/>
      <c r="L553" s="25"/>
      <c r="M553" s="25"/>
      <c r="N553" s="25"/>
    </row>
    <row r="554" spans="1:14" ht="13.15" customHeight="1">
      <c r="A554" s="26"/>
      <c r="B554" s="44" t="s">
        <v>418</v>
      </c>
      <c r="C554" s="91" t="s">
        <v>408</v>
      </c>
      <c r="D554" s="92" t="s">
        <v>419</v>
      </c>
      <c r="E554" s="250" t="s">
        <v>553</v>
      </c>
      <c r="F554" s="250"/>
      <c r="I554" s="25"/>
      <c r="J554" s="25"/>
      <c r="K554" s="25"/>
      <c r="L554" s="25"/>
      <c r="M554" s="25"/>
      <c r="N554" s="25"/>
    </row>
    <row r="555" spans="1:14" ht="13.15" customHeight="1">
      <c r="A555" s="26"/>
      <c r="B555" s="44" t="s">
        <v>420</v>
      </c>
      <c r="C555" s="91" t="s">
        <v>408</v>
      </c>
      <c r="D555" s="92" t="s">
        <v>421</v>
      </c>
      <c r="E555" s="250" t="s">
        <v>553</v>
      </c>
      <c r="F555" s="250"/>
      <c r="I555" s="25"/>
      <c r="J555" s="25"/>
      <c r="K555" s="25"/>
      <c r="L555" s="25"/>
      <c r="M555" s="25"/>
      <c r="N555" s="25"/>
    </row>
    <row r="556" spans="1:14" ht="14.25">
      <c r="A556" s="26"/>
      <c r="B556" s="56" t="s">
        <v>422</v>
      </c>
      <c r="C556" s="91" t="s">
        <v>408</v>
      </c>
      <c r="D556" s="92" t="s">
        <v>423</v>
      </c>
      <c r="E556" s="250" t="s">
        <v>553</v>
      </c>
      <c r="F556" s="250"/>
      <c r="I556" s="25"/>
      <c r="J556" s="25"/>
      <c r="K556" s="25"/>
      <c r="L556" s="25"/>
      <c r="M556" s="25"/>
      <c r="N556" s="25"/>
    </row>
    <row r="557" spans="1:14" ht="14.25">
      <c r="A557" s="29"/>
      <c r="B557" s="44" t="s">
        <v>424</v>
      </c>
      <c r="C557" s="91" t="s">
        <v>285</v>
      </c>
      <c r="D557" s="93" t="s">
        <v>406</v>
      </c>
      <c r="E557" s="250" t="s">
        <v>553</v>
      </c>
      <c r="F557" s="250"/>
      <c r="I557" s="25"/>
      <c r="J557" s="25"/>
      <c r="K557" s="25"/>
      <c r="L557" s="25"/>
      <c r="M557" s="25"/>
      <c r="N557" s="25"/>
    </row>
    <row r="558" spans="1:14" ht="37.5" customHeight="1">
      <c r="A558" s="243" t="s">
        <v>118</v>
      </c>
      <c r="B558" s="243"/>
      <c r="C558" s="243"/>
      <c r="D558" s="243"/>
      <c r="E558" s="243"/>
      <c r="F558" s="243"/>
      <c r="I558" s="25"/>
      <c r="J558" s="25"/>
      <c r="K558" s="25"/>
      <c r="L558" s="25"/>
      <c r="M558" s="25"/>
      <c r="N558" s="25"/>
    </row>
    <row r="559" spans="1:14" ht="14.25">
      <c r="A559" s="29"/>
      <c r="B559" s="44"/>
      <c r="C559" s="29"/>
      <c r="D559" s="45"/>
      <c r="E559" s="45"/>
      <c r="F559" s="45"/>
      <c r="I559" s="25"/>
      <c r="J559" s="25"/>
      <c r="K559" s="25"/>
      <c r="L559" s="25"/>
      <c r="M559" s="25"/>
      <c r="N559" s="25"/>
    </row>
    <row r="560" spans="1:14" ht="14.25">
      <c r="A560" s="29"/>
      <c r="B560" s="44"/>
      <c r="C560" s="29"/>
      <c r="D560" s="45"/>
      <c r="E560" s="45"/>
      <c r="F560" s="45"/>
      <c r="I560" s="25"/>
      <c r="J560" s="25"/>
      <c r="K560" s="25"/>
      <c r="L560" s="25"/>
      <c r="M560" s="25"/>
      <c r="N560" s="25"/>
    </row>
    <row r="561" spans="1:14" s="32" customFormat="1">
      <c r="A561" s="19" t="s">
        <v>9</v>
      </c>
      <c r="B561" s="19"/>
      <c r="C561" s="48"/>
      <c r="D561" s="48"/>
      <c r="E561" s="49"/>
      <c r="F561" s="49"/>
    </row>
    <row r="562" spans="1:14" ht="14.25">
      <c r="A562" s="23"/>
      <c r="B562" s="23"/>
      <c r="C562" s="23"/>
      <c r="D562" s="23"/>
      <c r="E562" s="45"/>
      <c r="F562" s="45"/>
      <c r="I562" s="25"/>
      <c r="J562" s="25"/>
      <c r="K562" s="25"/>
      <c r="L562" s="25"/>
      <c r="M562" s="25"/>
      <c r="N562" s="25"/>
    </row>
    <row r="563" spans="1:14" ht="73.5" customHeight="1">
      <c r="A563" s="243" t="s">
        <v>569</v>
      </c>
      <c r="B563" s="243"/>
      <c r="C563" s="243"/>
      <c r="D563" s="243"/>
      <c r="E563" s="243"/>
      <c r="F563" s="243"/>
      <c r="G563" s="17"/>
      <c r="H563" s="17"/>
      <c r="I563" s="17"/>
      <c r="J563" s="17"/>
      <c r="K563" s="17"/>
      <c r="L563" s="17"/>
      <c r="M563" s="25"/>
      <c r="N563" s="25"/>
    </row>
    <row r="564" spans="1:14" ht="35.25" customHeight="1">
      <c r="A564" s="243" t="s">
        <v>192</v>
      </c>
      <c r="B564" s="243"/>
      <c r="C564" s="243"/>
      <c r="D564" s="243"/>
      <c r="E564" s="243"/>
      <c r="F564" s="243"/>
      <c r="G564" s="17"/>
      <c r="H564" s="17"/>
      <c r="I564" s="17"/>
      <c r="J564" s="17"/>
      <c r="K564" s="17"/>
      <c r="L564" s="17"/>
      <c r="M564" s="25"/>
      <c r="N564" s="25"/>
    </row>
    <row r="565" spans="1:14" ht="15" customHeight="1">
      <c r="A565" s="243" t="s">
        <v>425</v>
      </c>
      <c r="B565" s="243"/>
      <c r="C565" s="243"/>
      <c r="D565" s="243"/>
      <c r="E565" s="243"/>
      <c r="F565" s="243"/>
      <c r="I565" s="25"/>
      <c r="J565" s="25"/>
      <c r="K565" s="25"/>
      <c r="L565" s="25"/>
      <c r="M565" s="25"/>
      <c r="N565" s="25"/>
    </row>
    <row r="566" spans="1:14" ht="48" customHeight="1">
      <c r="A566" s="243" t="s">
        <v>426</v>
      </c>
      <c r="B566" s="243"/>
      <c r="C566" s="243"/>
      <c r="D566" s="243"/>
      <c r="E566" s="243"/>
      <c r="F566" s="243"/>
      <c r="I566" s="25"/>
      <c r="J566" s="25"/>
      <c r="K566" s="25"/>
      <c r="L566" s="25"/>
      <c r="M566" s="25"/>
      <c r="N566" s="25"/>
    </row>
    <row r="567" spans="1:14" ht="81" customHeight="1">
      <c r="A567" s="243" t="s">
        <v>427</v>
      </c>
      <c r="B567" s="243"/>
      <c r="C567" s="243"/>
      <c r="D567" s="243"/>
      <c r="E567" s="243"/>
      <c r="F567" s="243"/>
      <c r="I567" s="25"/>
      <c r="J567" s="25"/>
      <c r="K567" s="25"/>
      <c r="L567" s="25"/>
      <c r="M567" s="25"/>
      <c r="N567" s="25"/>
    </row>
    <row r="568" spans="1:14" ht="17.25" customHeight="1">
      <c r="A568" s="243" t="s">
        <v>428</v>
      </c>
      <c r="B568" s="243"/>
      <c r="C568" s="243"/>
      <c r="D568" s="243"/>
      <c r="E568" s="243"/>
      <c r="F568" s="243"/>
      <c r="I568" s="25"/>
      <c r="J568" s="25"/>
      <c r="K568" s="25"/>
      <c r="L568" s="25"/>
      <c r="M568" s="25"/>
      <c r="N568" s="25"/>
    </row>
    <row r="569" spans="1:14" ht="33.75" customHeight="1">
      <c r="A569" s="243" t="s">
        <v>429</v>
      </c>
      <c r="B569" s="243"/>
      <c r="C569" s="243"/>
      <c r="D569" s="243"/>
      <c r="E569" s="243"/>
      <c r="F569" s="243"/>
      <c r="I569" s="25"/>
      <c r="J569" s="25"/>
      <c r="K569" s="25"/>
      <c r="L569" s="25"/>
      <c r="M569" s="25"/>
      <c r="N569" s="25"/>
    </row>
    <row r="570" spans="1:14" ht="15.75" customHeight="1">
      <c r="A570" s="243" t="s">
        <v>430</v>
      </c>
      <c r="B570" s="243"/>
      <c r="C570" s="243"/>
      <c r="D570" s="243"/>
      <c r="E570" s="243"/>
      <c r="F570" s="243"/>
      <c r="I570" s="25"/>
      <c r="J570" s="25"/>
      <c r="K570" s="25"/>
      <c r="L570" s="25"/>
      <c r="M570" s="25"/>
      <c r="N570" s="25"/>
    </row>
    <row r="571" spans="1:14" ht="69" customHeight="1">
      <c r="A571" s="243" t="s">
        <v>431</v>
      </c>
      <c r="B571" s="243"/>
      <c r="C571" s="243"/>
      <c r="D571" s="243"/>
      <c r="E571" s="243"/>
      <c r="F571" s="243"/>
      <c r="I571" s="25"/>
      <c r="J571" s="25"/>
      <c r="K571" s="25"/>
      <c r="L571" s="25"/>
      <c r="M571" s="25"/>
      <c r="N571" s="25"/>
    </row>
    <row r="572" spans="1:14" ht="30.75" customHeight="1">
      <c r="A572" s="243" t="s">
        <v>432</v>
      </c>
      <c r="B572" s="243"/>
      <c r="C572" s="243"/>
      <c r="D572" s="243"/>
      <c r="E572" s="243"/>
      <c r="F572" s="243"/>
      <c r="I572" s="25"/>
      <c r="J572" s="25"/>
      <c r="K572" s="25"/>
      <c r="L572" s="25"/>
      <c r="M572" s="25"/>
      <c r="N572" s="25"/>
    </row>
    <row r="573" spans="1:14" ht="55.5" customHeight="1">
      <c r="A573" s="243" t="s">
        <v>433</v>
      </c>
      <c r="B573" s="243"/>
      <c r="C573" s="243"/>
      <c r="D573" s="243"/>
      <c r="E573" s="243"/>
      <c r="F573" s="243"/>
      <c r="I573" s="25"/>
      <c r="J573" s="25"/>
      <c r="K573" s="25"/>
      <c r="L573" s="25"/>
      <c r="M573" s="25"/>
      <c r="N573" s="25"/>
    </row>
    <row r="574" spans="1:14" ht="19.149999999999999" customHeight="1">
      <c r="A574" s="243" t="s">
        <v>430</v>
      </c>
      <c r="B574" s="243"/>
      <c r="C574" s="243"/>
      <c r="D574" s="243"/>
      <c r="E574" s="243"/>
      <c r="F574" s="243"/>
      <c r="I574" s="25"/>
      <c r="J574" s="25"/>
      <c r="K574" s="25"/>
      <c r="L574" s="25"/>
      <c r="M574" s="25"/>
      <c r="N574" s="25"/>
    </row>
    <row r="575" spans="1:14" ht="13.15" customHeight="1">
      <c r="A575" s="243" t="s">
        <v>267</v>
      </c>
      <c r="B575" s="243"/>
      <c r="C575" s="243"/>
      <c r="D575" s="243"/>
      <c r="E575" s="243"/>
      <c r="F575" s="243"/>
      <c r="I575" s="25"/>
      <c r="J575" s="25"/>
      <c r="K575" s="25"/>
      <c r="L575" s="25"/>
      <c r="M575" s="25"/>
      <c r="N575" s="25"/>
    </row>
    <row r="576" spans="1:14" ht="14.25">
      <c r="A576" s="26"/>
      <c r="B576" s="52" t="s">
        <v>218</v>
      </c>
      <c r="C576" s="26"/>
      <c r="D576" s="26"/>
      <c r="E576" s="26"/>
      <c r="F576" s="26"/>
      <c r="I576" s="25"/>
      <c r="J576" s="25"/>
      <c r="K576" s="25"/>
      <c r="L576" s="25"/>
      <c r="M576" s="25"/>
      <c r="N576" s="25"/>
    </row>
    <row r="577" spans="1:14" ht="14.25">
      <c r="A577" s="26"/>
      <c r="B577" s="52" t="s">
        <v>434</v>
      </c>
      <c r="C577" s="26"/>
      <c r="D577" s="26"/>
      <c r="E577" s="26"/>
      <c r="F577" s="26"/>
      <c r="I577" s="25"/>
      <c r="J577" s="25"/>
      <c r="K577" s="25"/>
      <c r="L577" s="25"/>
      <c r="M577" s="25"/>
      <c r="N577" s="25"/>
    </row>
    <row r="578" spans="1:14" ht="14.25">
      <c r="A578" s="26"/>
      <c r="B578" s="26" t="s">
        <v>435</v>
      </c>
      <c r="C578" s="80" t="s">
        <v>269</v>
      </c>
      <c r="D578" s="76" t="s">
        <v>436</v>
      </c>
      <c r="E578" s="250" t="s">
        <v>553</v>
      </c>
      <c r="F578" s="250"/>
      <c r="I578" s="25"/>
      <c r="J578" s="25"/>
      <c r="K578" s="25"/>
      <c r="L578" s="25"/>
      <c r="M578" s="25"/>
      <c r="N578" s="25"/>
    </row>
    <row r="579" spans="1:14" ht="12.75" customHeight="1">
      <c r="A579" s="26"/>
      <c r="B579" s="26" t="s">
        <v>437</v>
      </c>
      <c r="C579" s="80" t="s">
        <v>269</v>
      </c>
      <c r="D579" s="76" t="s">
        <v>438</v>
      </c>
      <c r="E579" s="250" t="s">
        <v>553</v>
      </c>
      <c r="F579" s="250"/>
      <c r="I579" s="25"/>
      <c r="J579" s="25"/>
      <c r="K579" s="25"/>
      <c r="L579" s="25"/>
      <c r="M579" s="25"/>
      <c r="N579" s="25"/>
    </row>
    <row r="580" spans="1:14" ht="12.75" customHeight="1">
      <c r="A580" s="26"/>
      <c r="B580" s="26" t="s">
        <v>439</v>
      </c>
      <c r="C580" s="80" t="s">
        <v>269</v>
      </c>
      <c r="D580" s="76" t="s">
        <v>440</v>
      </c>
      <c r="E580" s="250" t="s">
        <v>553</v>
      </c>
      <c r="F580" s="250"/>
      <c r="I580" s="25"/>
      <c r="J580" s="25"/>
      <c r="K580" s="25"/>
      <c r="L580" s="25"/>
      <c r="M580" s="25"/>
      <c r="N580" s="25"/>
    </row>
    <row r="581" spans="1:14" ht="12.75" customHeight="1">
      <c r="A581" s="26"/>
      <c r="B581" s="26"/>
      <c r="C581" s="80" t="s">
        <v>269</v>
      </c>
      <c r="D581" s="76" t="s">
        <v>441</v>
      </c>
      <c r="E581" s="250" t="s">
        <v>553</v>
      </c>
      <c r="F581" s="250"/>
      <c r="I581" s="25"/>
      <c r="J581" s="25"/>
      <c r="K581" s="25"/>
      <c r="L581" s="25"/>
      <c r="M581" s="25"/>
      <c r="N581" s="25"/>
    </row>
    <row r="582" spans="1:14" ht="12.75" customHeight="1">
      <c r="A582" s="26"/>
      <c r="B582" s="26" t="s">
        <v>442</v>
      </c>
      <c r="C582" s="80" t="s">
        <v>269</v>
      </c>
      <c r="D582" s="76" t="s">
        <v>443</v>
      </c>
      <c r="E582" s="250" t="s">
        <v>553</v>
      </c>
      <c r="F582" s="250"/>
      <c r="I582" s="25"/>
      <c r="J582" s="25"/>
      <c r="K582" s="25"/>
      <c r="L582" s="25"/>
      <c r="M582" s="25"/>
      <c r="N582" s="25"/>
    </row>
    <row r="583" spans="1:14" ht="12.75" customHeight="1">
      <c r="A583" s="26"/>
      <c r="B583" s="26"/>
      <c r="C583" s="80" t="s">
        <v>269</v>
      </c>
      <c r="D583" s="76" t="s">
        <v>444</v>
      </c>
      <c r="E583" s="250" t="s">
        <v>553</v>
      </c>
      <c r="F583" s="250"/>
      <c r="I583" s="25"/>
      <c r="J583" s="25"/>
      <c r="K583" s="25"/>
      <c r="L583" s="25"/>
      <c r="M583" s="25"/>
      <c r="N583" s="25"/>
    </row>
    <row r="584" spans="1:14" ht="12.75" customHeight="1">
      <c r="A584" s="26"/>
      <c r="B584" s="26" t="s">
        <v>445</v>
      </c>
      <c r="C584" s="80" t="s">
        <v>269</v>
      </c>
      <c r="D584" s="76" t="s">
        <v>436</v>
      </c>
      <c r="E584" s="250" t="s">
        <v>553</v>
      </c>
      <c r="F584" s="250"/>
      <c r="I584" s="25"/>
      <c r="J584" s="25"/>
      <c r="K584" s="25"/>
      <c r="L584" s="25"/>
      <c r="M584" s="25"/>
      <c r="N584" s="25"/>
    </row>
    <row r="585" spans="1:14" ht="12.75" customHeight="1">
      <c r="A585" s="26"/>
      <c r="B585" s="26" t="s">
        <v>446</v>
      </c>
      <c r="C585" s="80" t="s">
        <v>269</v>
      </c>
      <c r="D585" s="76" t="s">
        <v>319</v>
      </c>
      <c r="E585" s="250" t="s">
        <v>553</v>
      </c>
      <c r="F585" s="250"/>
      <c r="I585" s="25"/>
      <c r="J585" s="25"/>
      <c r="K585" s="25"/>
      <c r="L585" s="25"/>
      <c r="M585" s="25"/>
      <c r="N585" s="25"/>
    </row>
    <row r="586" spans="1:14" ht="12.75" customHeight="1">
      <c r="A586" s="26"/>
      <c r="B586" s="26"/>
      <c r="C586" s="80" t="s">
        <v>269</v>
      </c>
      <c r="D586" s="76" t="s">
        <v>320</v>
      </c>
      <c r="E586" s="250" t="s">
        <v>553</v>
      </c>
      <c r="F586" s="250"/>
      <c r="I586" s="25"/>
      <c r="J586" s="25"/>
      <c r="K586" s="25"/>
      <c r="L586" s="25"/>
      <c r="M586" s="25"/>
      <c r="N586" s="25"/>
    </row>
    <row r="587" spans="1:14" ht="12.75" customHeight="1">
      <c r="A587" s="26"/>
      <c r="B587" s="26"/>
      <c r="C587" s="80" t="s">
        <v>269</v>
      </c>
      <c r="D587" s="76" t="s">
        <v>321</v>
      </c>
      <c r="E587" s="250" t="s">
        <v>553</v>
      </c>
      <c r="F587" s="250"/>
      <c r="I587" s="25"/>
      <c r="J587" s="25"/>
      <c r="K587" s="25"/>
      <c r="L587" s="25"/>
      <c r="M587" s="25"/>
      <c r="N587" s="25"/>
    </row>
    <row r="588" spans="1:14" ht="12.75" customHeight="1">
      <c r="A588" s="26"/>
      <c r="B588" s="26"/>
      <c r="C588" s="80" t="s">
        <v>269</v>
      </c>
      <c r="D588" s="76" t="s">
        <v>447</v>
      </c>
      <c r="E588" s="250" t="s">
        <v>553</v>
      </c>
      <c r="F588" s="250"/>
      <c r="I588" s="25"/>
      <c r="J588" s="25"/>
      <c r="K588" s="25"/>
      <c r="L588" s="25"/>
      <c r="M588" s="25"/>
      <c r="N588" s="25"/>
    </row>
    <row r="589" spans="1:14" ht="12.75" customHeight="1">
      <c r="A589" s="26"/>
      <c r="B589" s="26"/>
      <c r="C589" s="80" t="s">
        <v>269</v>
      </c>
      <c r="D589" s="76" t="s">
        <v>448</v>
      </c>
      <c r="E589" s="250" t="s">
        <v>553</v>
      </c>
      <c r="F589" s="250"/>
      <c r="I589" s="25"/>
      <c r="J589" s="25"/>
      <c r="K589" s="25"/>
      <c r="L589" s="25"/>
      <c r="M589" s="25"/>
      <c r="N589" s="25"/>
    </row>
    <row r="590" spans="1:14" ht="13.15" customHeight="1">
      <c r="A590" s="26"/>
      <c r="B590" s="26"/>
      <c r="C590" s="80" t="s">
        <v>269</v>
      </c>
      <c r="D590" s="76" t="s">
        <v>449</v>
      </c>
      <c r="E590" s="250" t="s">
        <v>553</v>
      </c>
      <c r="F590" s="250"/>
      <c r="I590" s="25"/>
      <c r="J590" s="25"/>
      <c r="K590" s="25"/>
      <c r="L590" s="25"/>
      <c r="M590" s="25"/>
      <c r="N590" s="25"/>
    </row>
    <row r="591" spans="1:14" ht="12.75" customHeight="1">
      <c r="A591" s="26"/>
      <c r="B591" s="26"/>
      <c r="C591" s="80" t="s">
        <v>269</v>
      </c>
      <c r="D591" s="76" t="s">
        <v>324</v>
      </c>
      <c r="E591" s="250" t="s">
        <v>553</v>
      </c>
      <c r="F591" s="250"/>
      <c r="I591" s="25"/>
      <c r="J591" s="25"/>
      <c r="K591" s="25"/>
      <c r="L591" s="25"/>
      <c r="M591" s="25"/>
      <c r="N591" s="25"/>
    </row>
    <row r="592" spans="1:14" ht="19.149999999999999" customHeight="1">
      <c r="A592" s="26"/>
      <c r="B592" s="26" t="s">
        <v>470</v>
      </c>
      <c r="C592" s="80" t="s">
        <v>285</v>
      </c>
      <c r="D592" s="76" t="s">
        <v>450</v>
      </c>
      <c r="E592" s="250" t="s">
        <v>553</v>
      </c>
      <c r="F592" s="250"/>
      <c r="I592" s="25"/>
      <c r="J592" s="25"/>
      <c r="K592" s="25"/>
      <c r="L592" s="25"/>
      <c r="M592" s="25"/>
      <c r="N592" s="25"/>
    </row>
    <row r="593" spans="1:14" ht="27" customHeight="1">
      <c r="A593" s="243" t="s">
        <v>118</v>
      </c>
      <c r="B593" s="243"/>
      <c r="C593" s="243"/>
      <c r="D593" s="243"/>
      <c r="E593" s="243"/>
      <c r="F593" s="243"/>
      <c r="I593" s="25"/>
      <c r="J593" s="25"/>
      <c r="K593" s="25"/>
      <c r="L593" s="25"/>
      <c r="M593" s="25"/>
      <c r="N593" s="25"/>
    </row>
    <row r="594" spans="1:14" ht="14.25">
      <c r="A594" s="26"/>
      <c r="B594" s="26"/>
      <c r="C594" s="26"/>
      <c r="D594" s="26"/>
      <c r="E594" s="26"/>
      <c r="F594" s="26"/>
      <c r="I594" s="25"/>
      <c r="J594" s="25"/>
      <c r="K594" s="25"/>
      <c r="L594" s="25"/>
      <c r="M594" s="25"/>
      <c r="N594" s="25"/>
    </row>
    <row r="595" spans="1:14" ht="14.25">
      <c r="A595" s="26"/>
      <c r="B595" s="26"/>
      <c r="C595" s="26"/>
      <c r="D595" s="26"/>
      <c r="E595" s="26"/>
      <c r="F595" s="26"/>
      <c r="I595" s="25"/>
      <c r="J595" s="25"/>
      <c r="K595" s="25"/>
      <c r="L595" s="25"/>
      <c r="M595" s="25"/>
      <c r="N595" s="25"/>
    </row>
    <row r="596" spans="1:14" s="32" customFormat="1">
      <c r="A596" s="19" t="s">
        <v>0</v>
      </c>
      <c r="B596" s="19"/>
      <c r="C596" s="48"/>
      <c r="D596" s="48"/>
      <c r="E596" s="49"/>
      <c r="F596" s="49"/>
    </row>
    <row r="597" spans="1:14" ht="14.25">
      <c r="A597" s="23"/>
      <c r="B597" s="23"/>
      <c r="C597" s="23"/>
      <c r="D597" s="23"/>
      <c r="E597" s="45"/>
      <c r="F597" s="45"/>
      <c r="I597" s="25"/>
      <c r="J597" s="25"/>
      <c r="K597" s="25"/>
      <c r="L597" s="25"/>
      <c r="M597" s="25"/>
      <c r="N597" s="25"/>
    </row>
    <row r="598" spans="1:14" ht="73.5" customHeight="1">
      <c r="A598" s="243" t="s">
        <v>570</v>
      </c>
      <c r="B598" s="243"/>
      <c r="C598" s="243"/>
      <c r="D598" s="243"/>
      <c r="E598" s="243"/>
      <c r="F598" s="243"/>
      <c r="G598" s="17"/>
      <c r="H598" s="17"/>
      <c r="I598" s="17"/>
      <c r="J598" s="17"/>
      <c r="K598" s="17"/>
      <c r="L598" s="17"/>
      <c r="M598" s="25"/>
      <c r="N598" s="25"/>
    </row>
    <row r="599" spans="1:14" ht="43.5" customHeight="1">
      <c r="A599" s="243" t="s">
        <v>192</v>
      </c>
      <c r="B599" s="243"/>
      <c r="C599" s="243"/>
      <c r="D599" s="243"/>
      <c r="E599" s="243"/>
      <c r="F599" s="243"/>
      <c r="G599" s="17"/>
      <c r="H599" s="17"/>
      <c r="I599" s="17"/>
      <c r="J599" s="17"/>
      <c r="K599" s="17"/>
      <c r="L599" s="17"/>
      <c r="M599" s="25"/>
      <c r="N599" s="25"/>
    </row>
    <row r="600" spans="1:14" ht="58.5" customHeight="1">
      <c r="A600" s="243" t="s">
        <v>451</v>
      </c>
      <c r="B600" s="243"/>
      <c r="C600" s="243"/>
      <c r="D600" s="243"/>
      <c r="E600" s="243"/>
      <c r="F600" s="243"/>
      <c r="G600" s="17"/>
      <c r="H600" s="17"/>
      <c r="I600" s="17"/>
      <c r="J600" s="17"/>
      <c r="K600" s="17"/>
      <c r="L600" s="17"/>
      <c r="M600" s="25"/>
      <c r="N600" s="25"/>
    </row>
    <row r="601" spans="1:14" ht="95.25" customHeight="1">
      <c r="A601" s="243" t="s">
        <v>452</v>
      </c>
      <c r="B601" s="243"/>
      <c r="C601" s="243"/>
      <c r="D601" s="243"/>
      <c r="E601" s="243"/>
      <c r="F601" s="243"/>
      <c r="G601" s="17"/>
      <c r="H601" s="17"/>
      <c r="I601" s="17"/>
      <c r="J601" s="17"/>
      <c r="K601" s="17"/>
      <c r="L601" s="17"/>
      <c r="M601" s="25"/>
      <c r="N601" s="25"/>
    </row>
    <row r="602" spans="1:14" ht="42.75" customHeight="1">
      <c r="A602" s="243" t="s">
        <v>453</v>
      </c>
      <c r="B602" s="243"/>
      <c r="C602" s="243"/>
      <c r="D602" s="243"/>
      <c r="E602" s="243"/>
      <c r="F602" s="243"/>
      <c r="G602" s="17"/>
      <c r="H602" s="17"/>
      <c r="I602" s="17"/>
      <c r="J602" s="17"/>
      <c r="K602" s="17"/>
      <c r="L602" s="17"/>
      <c r="M602" s="25"/>
      <c r="N602" s="25"/>
    </row>
    <row r="603" spans="1:14" ht="13.5" customHeight="1">
      <c r="A603" s="243" t="s">
        <v>267</v>
      </c>
      <c r="B603" s="243"/>
      <c r="C603" s="243"/>
      <c r="D603" s="243"/>
      <c r="E603" s="243"/>
      <c r="F603" s="243"/>
      <c r="G603" s="17"/>
      <c r="H603" s="17"/>
      <c r="I603" s="17"/>
      <c r="J603" s="17"/>
      <c r="K603" s="17"/>
      <c r="L603" s="17"/>
      <c r="M603" s="25"/>
      <c r="N603" s="25"/>
    </row>
    <row r="604" spans="1:14" ht="13.5" customHeight="1">
      <c r="A604" s="26"/>
      <c r="B604" s="52" t="s">
        <v>454</v>
      </c>
      <c r="C604" s="80" t="s">
        <v>285</v>
      </c>
      <c r="D604" s="26" t="s">
        <v>455</v>
      </c>
      <c r="E604" s="250" t="s">
        <v>553</v>
      </c>
      <c r="F604" s="250"/>
      <c r="G604" s="17"/>
      <c r="H604" s="17"/>
      <c r="I604" s="17"/>
      <c r="J604" s="17"/>
      <c r="K604" s="17"/>
      <c r="L604" s="17"/>
      <c r="M604" s="25"/>
      <c r="N604" s="25"/>
    </row>
    <row r="605" spans="1:14" ht="13.5" customHeight="1">
      <c r="A605" s="26"/>
      <c r="B605" s="29" t="s">
        <v>456</v>
      </c>
      <c r="C605" s="80" t="s">
        <v>408</v>
      </c>
      <c r="D605" s="26" t="s">
        <v>457</v>
      </c>
      <c r="E605" s="250" t="s">
        <v>553</v>
      </c>
      <c r="F605" s="250"/>
      <c r="G605" s="17"/>
      <c r="H605" s="17"/>
      <c r="I605" s="17"/>
      <c r="J605" s="17"/>
      <c r="K605" s="17"/>
      <c r="L605" s="17"/>
      <c r="M605" s="25"/>
      <c r="N605" s="25"/>
    </row>
    <row r="606" spans="1:14" ht="13.5" customHeight="1">
      <c r="A606" s="26"/>
      <c r="B606" s="56" t="s">
        <v>458</v>
      </c>
      <c r="C606" s="80" t="s">
        <v>459</v>
      </c>
      <c r="D606" s="26" t="s">
        <v>460</v>
      </c>
      <c r="E606" s="250" t="s">
        <v>553</v>
      </c>
      <c r="F606" s="250"/>
      <c r="G606" s="17"/>
      <c r="H606" s="17"/>
      <c r="I606" s="17"/>
      <c r="J606" s="17"/>
      <c r="K606" s="17"/>
      <c r="L606" s="17"/>
      <c r="M606" s="25"/>
      <c r="N606" s="25"/>
    </row>
    <row r="607" spans="1:14" ht="13.5" customHeight="1">
      <c r="A607" s="26"/>
      <c r="B607" s="56" t="s">
        <v>461</v>
      </c>
      <c r="C607" s="80" t="s">
        <v>408</v>
      </c>
      <c r="D607" s="26" t="s">
        <v>462</v>
      </c>
      <c r="E607" s="250" t="s">
        <v>553</v>
      </c>
      <c r="F607" s="250"/>
      <c r="G607" s="17"/>
      <c r="H607" s="17"/>
      <c r="I607" s="17"/>
      <c r="J607" s="17"/>
      <c r="K607" s="17"/>
      <c r="L607" s="17"/>
      <c r="M607" s="25"/>
      <c r="N607" s="25"/>
    </row>
    <row r="608" spans="1:14" ht="13.5" customHeight="1">
      <c r="A608" s="26"/>
      <c r="B608" s="56" t="s">
        <v>463</v>
      </c>
      <c r="C608" s="80" t="s">
        <v>459</v>
      </c>
      <c r="D608" s="26" t="s">
        <v>462</v>
      </c>
      <c r="E608" s="250" t="s">
        <v>553</v>
      </c>
      <c r="F608" s="250"/>
      <c r="G608" s="17"/>
      <c r="H608" s="17"/>
      <c r="I608" s="17"/>
      <c r="J608" s="17"/>
      <c r="K608" s="17"/>
      <c r="L608" s="17"/>
      <c r="M608" s="25"/>
      <c r="N608" s="25"/>
    </row>
    <row r="609" spans="1:15" ht="13.5" customHeight="1">
      <c r="A609" s="26"/>
      <c r="B609" s="56" t="s">
        <v>464</v>
      </c>
      <c r="C609" s="80" t="s">
        <v>459</v>
      </c>
      <c r="D609" s="26" t="s">
        <v>465</v>
      </c>
      <c r="E609" s="250" t="s">
        <v>553</v>
      </c>
      <c r="F609" s="250"/>
      <c r="G609" s="17"/>
      <c r="H609" s="17"/>
      <c r="I609" s="17"/>
      <c r="J609" s="17"/>
      <c r="K609" s="17"/>
      <c r="L609" s="17"/>
      <c r="M609" s="25"/>
      <c r="N609" s="25"/>
    </row>
    <row r="610" spans="1:15" ht="13.5" customHeight="1">
      <c r="A610" s="26"/>
      <c r="B610" s="29" t="s">
        <v>466</v>
      </c>
      <c r="C610" s="80" t="s">
        <v>459</v>
      </c>
      <c r="D610" s="26" t="s">
        <v>467</v>
      </c>
      <c r="E610" s="250" t="s">
        <v>553</v>
      </c>
      <c r="F610" s="250"/>
      <c r="G610" s="17"/>
      <c r="H610" s="17"/>
      <c r="I610" s="17"/>
      <c r="J610" s="17"/>
      <c r="K610" s="17"/>
      <c r="L610" s="17"/>
      <c r="M610" s="25"/>
      <c r="N610" s="25"/>
    </row>
    <row r="611" spans="1:15" ht="19.149999999999999" customHeight="1">
      <c r="A611" s="26"/>
      <c r="B611" s="29" t="s">
        <v>468</v>
      </c>
      <c r="C611" s="75" t="s">
        <v>459</v>
      </c>
      <c r="D611" s="26" t="s">
        <v>469</v>
      </c>
      <c r="E611" s="250" t="s">
        <v>553</v>
      </c>
      <c r="F611" s="250"/>
      <c r="G611" s="17"/>
      <c r="H611" s="17"/>
      <c r="I611" s="17"/>
      <c r="J611" s="17"/>
      <c r="K611" s="17"/>
      <c r="L611" s="17"/>
      <c r="M611" s="25"/>
      <c r="N611" s="25"/>
    </row>
    <row r="612" spans="1:15" ht="31.5" customHeight="1">
      <c r="A612" s="243" t="s">
        <v>118</v>
      </c>
      <c r="B612" s="243"/>
      <c r="C612" s="243"/>
      <c r="D612" s="243"/>
      <c r="E612" s="243"/>
      <c r="F612" s="243"/>
      <c r="I612" s="25"/>
      <c r="J612" s="25"/>
      <c r="K612" s="25"/>
      <c r="L612" s="25"/>
      <c r="M612" s="25"/>
      <c r="N612" s="25"/>
    </row>
    <row r="613" spans="1:15" ht="12.75">
      <c r="A613" s="36"/>
      <c r="B613" s="36"/>
      <c r="C613" s="36"/>
      <c r="D613" s="36"/>
      <c r="E613" s="36"/>
      <c r="F613" s="36"/>
      <c r="I613" s="25"/>
      <c r="J613" s="25"/>
      <c r="K613" s="25"/>
      <c r="L613" s="25"/>
      <c r="M613" s="25"/>
      <c r="N613" s="25"/>
    </row>
    <row r="614" spans="1:15" ht="12.75">
      <c r="A614" s="35"/>
      <c r="B614" s="36"/>
      <c r="C614" s="35"/>
      <c r="D614" s="37"/>
      <c r="E614" s="37"/>
      <c r="F614" s="37"/>
      <c r="I614" s="25"/>
      <c r="J614" s="25"/>
      <c r="K614" s="25"/>
      <c r="L614" s="25"/>
      <c r="M614" s="25"/>
      <c r="N614" s="25"/>
    </row>
    <row r="615" spans="1:15" ht="12.75">
      <c r="A615" s="35"/>
      <c r="B615" s="36"/>
      <c r="C615" s="35"/>
      <c r="D615" s="37"/>
      <c r="E615" s="37"/>
      <c r="F615" s="37"/>
      <c r="I615" s="25"/>
      <c r="J615" s="25"/>
      <c r="K615" s="25"/>
      <c r="L615" s="25"/>
      <c r="M615" s="25"/>
      <c r="N615" s="25"/>
    </row>
    <row r="616" spans="1:15" ht="12.75">
      <c r="A616" s="35"/>
      <c r="B616" s="36"/>
      <c r="C616" s="35"/>
      <c r="D616" s="37"/>
      <c r="E616" s="37"/>
      <c r="F616" s="37"/>
      <c r="I616" s="25"/>
      <c r="J616" s="25"/>
      <c r="K616" s="25"/>
      <c r="L616" s="25"/>
      <c r="M616" s="25"/>
      <c r="N616" s="25"/>
    </row>
    <row r="617" spans="1:15" ht="12.75">
      <c r="A617" s="35"/>
      <c r="B617" s="36"/>
      <c r="C617" s="35"/>
      <c r="D617" s="37"/>
      <c r="E617" s="37"/>
      <c r="F617" s="37"/>
      <c r="I617" s="25"/>
      <c r="J617" s="25"/>
      <c r="K617" s="25"/>
      <c r="L617" s="25"/>
      <c r="M617" s="25"/>
      <c r="N617" s="25"/>
    </row>
    <row r="618" spans="1:15" ht="12.75">
      <c r="A618" s="35"/>
      <c r="B618" s="36"/>
      <c r="C618" s="35"/>
      <c r="D618" s="37"/>
      <c r="E618" s="37"/>
      <c r="F618" s="37"/>
      <c r="I618" s="25"/>
      <c r="J618" s="25"/>
      <c r="K618" s="25"/>
      <c r="L618" s="25"/>
      <c r="M618" s="25"/>
      <c r="N618" s="25"/>
    </row>
    <row r="619" spans="1:15" ht="12.75">
      <c r="A619" s="35"/>
      <c r="B619" s="36"/>
      <c r="C619" s="35"/>
      <c r="D619" s="37"/>
      <c r="E619" s="37"/>
      <c r="F619" s="37"/>
      <c r="I619" s="25"/>
      <c r="J619" s="25"/>
      <c r="K619" s="25"/>
      <c r="L619" s="25"/>
      <c r="M619" s="25"/>
      <c r="N619" s="25"/>
    </row>
    <row r="620" spans="1:15" ht="12.75">
      <c r="A620" s="35"/>
      <c r="B620" s="36"/>
      <c r="C620" s="35"/>
      <c r="D620" s="37"/>
      <c r="E620" s="37"/>
      <c r="F620" s="37"/>
      <c r="I620" s="25"/>
      <c r="J620" s="25"/>
      <c r="K620" s="25"/>
      <c r="L620" s="25"/>
      <c r="M620" s="25"/>
      <c r="N620" s="25"/>
    </row>
    <row r="621" spans="1:15" s="17" customFormat="1">
      <c r="A621" s="12"/>
      <c r="B621" s="13"/>
      <c r="C621" s="14"/>
      <c r="D621" s="15"/>
      <c r="E621" s="16"/>
      <c r="F621" s="16"/>
      <c r="I621" s="18"/>
      <c r="J621" s="12"/>
      <c r="K621" s="12"/>
      <c r="L621" s="13"/>
      <c r="M621" s="14"/>
      <c r="N621" s="15"/>
      <c r="O621" s="94"/>
    </row>
    <row r="622" spans="1:15" s="17" customFormat="1">
      <c r="A622" s="12"/>
      <c r="B622" s="13"/>
      <c r="C622" s="14"/>
      <c r="D622" s="15"/>
      <c r="E622" s="16"/>
      <c r="F622" s="16"/>
      <c r="I622" s="18"/>
      <c r="J622" s="12"/>
      <c r="K622" s="12"/>
      <c r="L622" s="13"/>
      <c r="M622" s="14"/>
      <c r="N622" s="15"/>
      <c r="O622" s="94"/>
    </row>
    <row r="623" spans="1:15" s="17" customFormat="1">
      <c r="A623" s="12"/>
      <c r="B623" s="13"/>
      <c r="C623" s="14"/>
      <c r="D623" s="15"/>
      <c r="E623" s="16"/>
      <c r="F623" s="16"/>
      <c r="I623" s="18"/>
      <c r="J623" s="12"/>
      <c r="K623" s="12"/>
      <c r="L623" s="13"/>
      <c r="M623" s="14"/>
      <c r="N623" s="15"/>
      <c r="O623" s="94"/>
    </row>
    <row r="624" spans="1:15" s="17" customFormat="1">
      <c r="A624" s="12"/>
      <c r="B624" s="13"/>
      <c r="C624" s="14"/>
      <c r="D624" s="15"/>
      <c r="E624" s="16"/>
      <c r="F624" s="16"/>
      <c r="I624" s="18"/>
      <c r="J624" s="12"/>
      <c r="K624" s="12"/>
      <c r="L624" s="13"/>
      <c r="M624" s="14"/>
      <c r="N624" s="15"/>
      <c r="O624" s="94"/>
    </row>
    <row r="625" spans="1:15" s="17" customFormat="1">
      <c r="A625" s="12"/>
      <c r="B625" s="13"/>
      <c r="C625" s="14"/>
      <c r="D625" s="15"/>
      <c r="E625" s="16"/>
      <c r="F625" s="16"/>
      <c r="I625" s="18"/>
      <c r="J625" s="12"/>
      <c r="K625" s="12"/>
      <c r="L625" s="13"/>
      <c r="M625" s="14"/>
      <c r="N625" s="15"/>
      <c r="O625" s="94"/>
    </row>
    <row r="626" spans="1:15" s="17" customFormat="1">
      <c r="A626" s="12"/>
      <c r="B626" s="13"/>
      <c r="C626" s="14"/>
      <c r="D626" s="15"/>
      <c r="E626" s="16"/>
      <c r="F626" s="16"/>
      <c r="I626" s="18"/>
      <c r="J626" s="12"/>
      <c r="K626" s="12"/>
      <c r="L626" s="13"/>
      <c r="M626" s="14"/>
      <c r="N626" s="15"/>
      <c r="O626" s="94"/>
    </row>
    <row r="627" spans="1:15" s="17" customFormat="1">
      <c r="A627" s="12"/>
      <c r="B627" s="13"/>
      <c r="C627" s="14"/>
      <c r="D627" s="15"/>
      <c r="E627" s="16"/>
      <c r="F627" s="16"/>
      <c r="I627" s="18"/>
      <c r="J627" s="12"/>
      <c r="K627" s="12"/>
      <c r="L627" s="13"/>
      <c r="M627" s="14"/>
      <c r="N627" s="15"/>
      <c r="O627" s="94"/>
    </row>
    <row r="628" spans="1:15" s="17" customFormat="1">
      <c r="A628" s="12"/>
      <c r="B628" s="13"/>
      <c r="C628" s="14"/>
      <c r="D628" s="15"/>
      <c r="E628" s="16"/>
      <c r="F628" s="16"/>
      <c r="I628" s="18"/>
      <c r="J628" s="12"/>
      <c r="K628" s="12"/>
      <c r="L628" s="13"/>
      <c r="M628" s="14"/>
      <c r="N628" s="15"/>
      <c r="O628" s="94"/>
    </row>
    <row r="629" spans="1:15" s="17" customFormat="1">
      <c r="A629" s="12"/>
      <c r="B629" s="13"/>
      <c r="C629" s="14"/>
      <c r="D629" s="15"/>
      <c r="E629" s="16"/>
      <c r="F629" s="16"/>
      <c r="I629" s="18"/>
      <c r="J629" s="12"/>
      <c r="K629" s="12"/>
      <c r="L629" s="13"/>
      <c r="M629" s="14"/>
      <c r="N629" s="15"/>
      <c r="O629" s="94"/>
    </row>
    <row r="630" spans="1:15" s="17" customFormat="1">
      <c r="A630" s="12"/>
      <c r="B630" s="13"/>
      <c r="C630" s="14"/>
      <c r="D630" s="15"/>
      <c r="E630" s="16"/>
      <c r="F630" s="16"/>
      <c r="I630" s="18"/>
      <c r="J630" s="12"/>
      <c r="K630" s="12"/>
      <c r="L630" s="13"/>
      <c r="M630" s="14"/>
      <c r="N630" s="15"/>
      <c r="O630" s="94"/>
    </row>
    <row r="631" spans="1:15" s="17" customFormat="1">
      <c r="A631" s="12"/>
      <c r="B631" s="13"/>
      <c r="C631" s="14"/>
      <c r="D631" s="15"/>
      <c r="E631" s="16"/>
      <c r="F631" s="16"/>
      <c r="I631" s="18"/>
      <c r="J631" s="12"/>
      <c r="K631" s="12"/>
      <c r="L631" s="13"/>
      <c r="M631" s="14"/>
      <c r="N631" s="15"/>
      <c r="O631" s="94"/>
    </row>
    <row r="632" spans="1:15" s="17" customFormat="1">
      <c r="A632" s="12"/>
      <c r="B632" s="13"/>
      <c r="C632" s="14"/>
      <c r="D632" s="15"/>
      <c r="E632" s="16"/>
      <c r="F632" s="16"/>
      <c r="I632" s="18"/>
      <c r="J632" s="12"/>
      <c r="K632" s="12"/>
      <c r="L632" s="13"/>
      <c r="M632" s="14"/>
      <c r="N632" s="15"/>
      <c r="O632" s="94"/>
    </row>
    <row r="633" spans="1:15" s="17" customFormat="1">
      <c r="A633" s="12"/>
      <c r="B633" s="13"/>
      <c r="C633" s="14"/>
      <c r="D633" s="15"/>
      <c r="E633" s="16"/>
      <c r="F633" s="16"/>
      <c r="I633" s="18"/>
      <c r="J633" s="12"/>
      <c r="K633" s="12"/>
      <c r="L633" s="13"/>
      <c r="M633" s="14"/>
      <c r="N633" s="15"/>
      <c r="O633" s="94"/>
    </row>
    <row r="634" spans="1:15" s="17" customFormat="1">
      <c r="A634" s="12"/>
      <c r="B634" s="13"/>
      <c r="C634" s="14"/>
      <c r="D634" s="15"/>
      <c r="E634" s="16"/>
      <c r="F634" s="16"/>
      <c r="I634" s="18"/>
      <c r="J634" s="12"/>
      <c r="K634" s="12"/>
      <c r="L634" s="13"/>
      <c r="M634" s="14"/>
      <c r="N634" s="15"/>
      <c r="O634" s="94"/>
    </row>
    <row r="635" spans="1:15" s="17" customFormat="1">
      <c r="A635" s="12"/>
      <c r="B635" s="13"/>
      <c r="C635" s="14"/>
      <c r="D635" s="15"/>
      <c r="E635" s="16"/>
      <c r="F635" s="16"/>
      <c r="I635" s="18"/>
      <c r="J635" s="12"/>
      <c r="K635" s="12"/>
      <c r="L635" s="13"/>
      <c r="M635" s="14"/>
      <c r="N635" s="15"/>
    </row>
    <row r="636" spans="1:15" s="17" customFormat="1">
      <c r="A636" s="12"/>
      <c r="B636" s="13"/>
      <c r="C636" s="14"/>
      <c r="D636" s="15"/>
      <c r="E636" s="16"/>
      <c r="F636" s="16"/>
      <c r="I636" s="18"/>
      <c r="J636" s="12"/>
      <c r="K636" s="12"/>
      <c r="L636" s="13"/>
      <c r="M636" s="14"/>
      <c r="N636" s="15"/>
    </row>
    <row r="637" spans="1:15" s="17" customFormat="1">
      <c r="A637" s="12"/>
      <c r="B637" s="13"/>
      <c r="C637" s="14"/>
      <c r="D637" s="15"/>
      <c r="E637" s="16"/>
      <c r="F637" s="16"/>
      <c r="I637" s="18"/>
      <c r="J637" s="12"/>
      <c r="K637" s="12"/>
      <c r="L637" s="13"/>
      <c r="M637" s="14"/>
      <c r="N637" s="15"/>
    </row>
    <row r="638" spans="1:15" s="17" customFormat="1">
      <c r="A638" s="12"/>
      <c r="B638" s="13"/>
      <c r="C638" s="14"/>
      <c r="D638" s="15"/>
      <c r="E638" s="16"/>
      <c r="F638" s="16"/>
      <c r="I638" s="18"/>
      <c r="J638" s="12"/>
      <c r="K638" s="12"/>
      <c r="L638" s="13"/>
      <c r="M638" s="14"/>
      <c r="N638" s="15"/>
    </row>
    <row r="639" spans="1:15" s="17" customFormat="1">
      <c r="A639" s="12"/>
      <c r="B639" s="13"/>
      <c r="C639" s="14"/>
      <c r="D639" s="15"/>
      <c r="E639" s="16"/>
      <c r="F639" s="16"/>
      <c r="I639" s="18"/>
      <c r="J639" s="12"/>
      <c r="K639" s="12"/>
      <c r="L639" s="13"/>
      <c r="M639" s="14"/>
      <c r="N639" s="15"/>
    </row>
    <row r="640" spans="1:15" s="17" customFormat="1">
      <c r="A640" s="12"/>
      <c r="B640" s="13"/>
      <c r="C640" s="14"/>
      <c r="D640" s="15"/>
      <c r="E640" s="16"/>
      <c r="F640" s="16"/>
      <c r="I640" s="18"/>
      <c r="J640" s="12"/>
      <c r="K640" s="12"/>
      <c r="L640" s="13"/>
      <c r="M640" s="14"/>
      <c r="N640" s="15"/>
    </row>
    <row r="641" spans="1:14" s="17" customFormat="1">
      <c r="A641" s="12"/>
      <c r="B641" s="13"/>
      <c r="C641" s="14"/>
      <c r="D641" s="15"/>
      <c r="E641" s="16"/>
      <c r="F641" s="16"/>
      <c r="I641" s="18"/>
      <c r="J641" s="12"/>
      <c r="K641" s="12"/>
      <c r="L641" s="13"/>
      <c r="M641" s="14"/>
      <c r="N641" s="15"/>
    </row>
    <row r="642" spans="1:14" s="17" customFormat="1">
      <c r="A642" s="12"/>
      <c r="B642" s="13"/>
      <c r="C642" s="14"/>
      <c r="D642" s="15"/>
      <c r="E642" s="16"/>
      <c r="F642" s="16"/>
      <c r="I642" s="18"/>
      <c r="J642" s="12"/>
      <c r="K642" s="12"/>
      <c r="L642" s="13"/>
      <c r="M642" s="14"/>
      <c r="N642" s="15"/>
    </row>
    <row r="643" spans="1:14" s="17" customFormat="1">
      <c r="A643" s="12"/>
      <c r="B643" s="13"/>
      <c r="C643" s="14"/>
      <c r="D643" s="15"/>
      <c r="E643" s="16"/>
      <c r="F643" s="16"/>
      <c r="I643" s="18"/>
      <c r="J643" s="12"/>
      <c r="K643" s="12"/>
      <c r="L643" s="13"/>
      <c r="M643" s="14"/>
      <c r="N643" s="15"/>
    </row>
    <row r="644" spans="1:14" s="17" customFormat="1">
      <c r="A644" s="12"/>
      <c r="B644" s="13"/>
      <c r="C644" s="14"/>
      <c r="D644" s="15"/>
      <c r="E644" s="16"/>
      <c r="F644" s="16"/>
      <c r="I644" s="18"/>
      <c r="J644" s="12"/>
      <c r="K644" s="12"/>
      <c r="L644" s="13"/>
      <c r="M644" s="14"/>
      <c r="N644" s="15"/>
    </row>
    <row r="645" spans="1:14" s="17" customFormat="1">
      <c r="A645" s="12"/>
      <c r="B645" s="13"/>
      <c r="C645" s="14"/>
      <c r="D645" s="15"/>
      <c r="E645" s="16"/>
      <c r="F645" s="16"/>
      <c r="I645" s="18"/>
      <c r="J645" s="12"/>
      <c r="K645" s="12"/>
      <c r="L645" s="13"/>
      <c r="M645" s="14"/>
      <c r="N645" s="15"/>
    </row>
    <row r="646" spans="1:14" s="17" customFormat="1">
      <c r="A646" s="12"/>
      <c r="B646" s="13"/>
      <c r="C646" s="14"/>
      <c r="D646" s="15"/>
      <c r="E646" s="16"/>
      <c r="F646" s="16"/>
      <c r="I646" s="18"/>
      <c r="J646" s="12"/>
      <c r="K646" s="12"/>
      <c r="L646" s="13"/>
      <c r="M646" s="14"/>
      <c r="N646" s="15"/>
    </row>
    <row r="647" spans="1:14" s="17" customFormat="1">
      <c r="A647" s="12"/>
      <c r="B647" s="13"/>
      <c r="C647" s="14"/>
      <c r="D647" s="15"/>
      <c r="E647" s="16"/>
      <c r="F647" s="16"/>
      <c r="I647" s="18"/>
      <c r="J647" s="12"/>
      <c r="K647" s="12"/>
      <c r="L647" s="13"/>
      <c r="M647" s="14"/>
      <c r="N647" s="15"/>
    </row>
    <row r="648" spans="1:14" s="17" customFormat="1">
      <c r="A648" s="12"/>
      <c r="B648" s="13"/>
      <c r="C648" s="14"/>
      <c r="D648" s="15"/>
      <c r="E648" s="16"/>
      <c r="F648" s="16"/>
      <c r="I648" s="18"/>
      <c r="J648" s="12"/>
      <c r="K648" s="12"/>
      <c r="L648" s="13"/>
      <c r="M648" s="14"/>
      <c r="N648" s="15"/>
    </row>
    <row r="649" spans="1:14" s="17" customFormat="1">
      <c r="A649" s="12"/>
      <c r="B649" s="13"/>
      <c r="C649" s="14"/>
      <c r="D649" s="15"/>
      <c r="E649" s="16"/>
      <c r="F649" s="16"/>
      <c r="I649" s="18"/>
      <c r="J649" s="12"/>
      <c r="K649" s="12"/>
      <c r="L649" s="13"/>
      <c r="M649" s="14"/>
      <c r="N649" s="15"/>
    </row>
    <row r="650" spans="1:14" s="17" customFormat="1">
      <c r="A650" s="12"/>
      <c r="B650" s="13"/>
      <c r="C650" s="14"/>
      <c r="D650" s="15"/>
      <c r="E650" s="16"/>
      <c r="F650" s="16"/>
      <c r="I650" s="18"/>
      <c r="J650" s="12"/>
      <c r="K650" s="12"/>
      <c r="L650" s="13"/>
      <c r="M650" s="14"/>
      <c r="N650" s="15"/>
    </row>
    <row r="651" spans="1:14" s="17" customFormat="1">
      <c r="A651" s="12"/>
      <c r="B651" s="13"/>
      <c r="C651" s="14"/>
      <c r="D651" s="15"/>
      <c r="E651" s="16"/>
      <c r="F651" s="16"/>
      <c r="I651" s="18"/>
      <c r="J651" s="12"/>
      <c r="K651" s="12"/>
      <c r="L651" s="13"/>
      <c r="M651" s="14"/>
      <c r="N651" s="15"/>
    </row>
    <row r="652" spans="1:14" s="17" customFormat="1">
      <c r="A652" s="12"/>
      <c r="B652" s="13"/>
      <c r="C652" s="14"/>
      <c r="D652" s="15"/>
      <c r="E652" s="16"/>
      <c r="F652" s="16"/>
      <c r="I652" s="18"/>
      <c r="J652" s="12"/>
      <c r="K652" s="12"/>
      <c r="L652" s="13"/>
      <c r="M652" s="14"/>
      <c r="N652" s="15"/>
    </row>
    <row r="653" spans="1:14" s="17" customFormat="1">
      <c r="A653" s="12"/>
      <c r="B653" s="13"/>
      <c r="C653" s="14"/>
      <c r="D653" s="15"/>
      <c r="E653" s="16"/>
      <c r="F653" s="16"/>
      <c r="I653" s="18"/>
      <c r="J653" s="12"/>
      <c r="K653" s="12"/>
      <c r="L653" s="13"/>
      <c r="M653" s="14"/>
      <c r="N653" s="15"/>
    </row>
    <row r="654" spans="1:14" s="17" customFormat="1">
      <c r="A654" s="12"/>
      <c r="B654" s="13"/>
      <c r="C654" s="14"/>
      <c r="D654" s="15"/>
      <c r="E654" s="16"/>
      <c r="F654" s="16"/>
      <c r="I654" s="18"/>
      <c r="J654" s="12"/>
      <c r="K654" s="12"/>
      <c r="L654" s="13"/>
      <c r="M654" s="14"/>
      <c r="N654" s="15"/>
    </row>
    <row r="655" spans="1:14" s="17" customFormat="1">
      <c r="A655" s="12"/>
      <c r="B655" s="13"/>
      <c r="C655" s="14"/>
      <c r="D655" s="15"/>
      <c r="E655" s="16"/>
      <c r="F655" s="16"/>
      <c r="I655" s="18"/>
      <c r="J655" s="12"/>
      <c r="K655" s="12"/>
      <c r="L655" s="13"/>
      <c r="M655" s="14"/>
      <c r="N655" s="15"/>
    </row>
    <row r="656" spans="1:14" s="17" customFormat="1">
      <c r="A656" s="12"/>
      <c r="B656" s="13"/>
      <c r="C656" s="14"/>
      <c r="D656" s="15"/>
      <c r="E656" s="16"/>
      <c r="F656" s="16"/>
      <c r="I656" s="18"/>
      <c r="J656" s="12"/>
      <c r="K656" s="12"/>
      <c r="L656" s="13"/>
      <c r="M656" s="14"/>
      <c r="N656" s="15"/>
    </row>
    <row r="657" spans="1:14" s="17" customFormat="1">
      <c r="A657" s="12"/>
      <c r="B657" s="13"/>
      <c r="C657" s="14"/>
      <c r="D657" s="15"/>
      <c r="E657" s="16"/>
      <c r="F657" s="16"/>
      <c r="I657" s="18"/>
      <c r="J657" s="12"/>
      <c r="K657" s="12"/>
      <c r="L657" s="13"/>
      <c r="M657" s="14"/>
      <c r="N657" s="15"/>
    </row>
    <row r="658" spans="1:14" s="17" customFormat="1">
      <c r="A658" s="12"/>
      <c r="B658" s="13"/>
      <c r="C658" s="14"/>
      <c r="D658" s="15"/>
      <c r="E658" s="16"/>
      <c r="F658" s="16"/>
      <c r="I658" s="18"/>
      <c r="J658" s="12"/>
      <c r="K658" s="12"/>
      <c r="L658" s="13"/>
      <c r="M658" s="14"/>
      <c r="N658" s="15"/>
    </row>
    <row r="659" spans="1:14" s="17" customFormat="1">
      <c r="A659" s="12"/>
      <c r="B659" s="13"/>
      <c r="C659" s="14"/>
      <c r="D659" s="15"/>
      <c r="E659" s="16"/>
      <c r="F659" s="16"/>
      <c r="I659" s="18"/>
      <c r="J659" s="12"/>
      <c r="K659" s="12"/>
      <c r="L659" s="13"/>
      <c r="M659" s="14"/>
      <c r="N659" s="15"/>
    </row>
    <row r="660" spans="1:14" s="17" customFormat="1">
      <c r="A660" s="12"/>
      <c r="B660" s="13"/>
      <c r="C660" s="14"/>
      <c r="D660" s="15"/>
      <c r="E660" s="16"/>
      <c r="F660" s="16"/>
      <c r="I660" s="18"/>
      <c r="J660" s="12"/>
      <c r="K660" s="12"/>
      <c r="L660" s="13"/>
      <c r="M660" s="14"/>
      <c r="N660" s="15"/>
    </row>
    <row r="661" spans="1:14" s="17" customFormat="1">
      <c r="A661" s="12"/>
      <c r="B661" s="13"/>
      <c r="C661" s="14"/>
      <c r="D661" s="15"/>
      <c r="E661" s="16"/>
      <c r="F661" s="16"/>
      <c r="I661" s="18"/>
      <c r="J661" s="12"/>
      <c r="K661" s="12"/>
      <c r="L661" s="13"/>
      <c r="M661" s="14"/>
      <c r="N661" s="15"/>
    </row>
    <row r="662" spans="1:14" s="17" customFormat="1">
      <c r="A662" s="12"/>
      <c r="B662" s="13"/>
      <c r="C662" s="14"/>
      <c r="D662" s="15"/>
      <c r="E662" s="16"/>
      <c r="F662" s="16"/>
      <c r="I662" s="18"/>
      <c r="J662" s="12"/>
      <c r="K662" s="12"/>
      <c r="L662" s="13"/>
      <c r="M662" s="14"/>
      <c r="N662" s="15"/>
    </row>
    <row r="663" spans="1:14" s="17" customFormat="1">
      <c r="A663" s="12"/>
      <c r="B663" s="13"/>
      <c r="C663" s="14"/>
      <c r="D663" s="15"/>
      <c r="E663" s="16"/>
      <c r="F663" s="16"/>
      <c r="I663" s="18"/>
      <c r="J663" s="12"/>
      <c r="K663" s="12"/>
      <c r="L663" s="13"/>
      <c r="M663" s="14"/>
      <c r="N663" s="15"/>
    </row>
    <row r="664" spans="1:14" s="17" customFormat="1">
      <c r="A664" s="12"/>
      <c r="B664" s="13"/>
      <c r="C664" s="14"/>
      <c r="D664" s="15"/>
      <c r="E664" s="16"/>
      <c r="F664" s="16"/>
      <c r="I664" s="18"/>
      <c r="J664" s="12"/>
      <c r="K664" s="12"/>
      <c r="L664" s="13"/>
      <c r="M664" s="14"/>
      <c r="N664" s="15"/>
    </row>
    <row r="665" spans="1:14" s="17" customFormat="1">
      <c r="A665" s="12"/>
      <c r="B665" s="13"/>
      <c r="C665" s="14"/>
      <c r="D665" s="15"/>
      <c r="E665" s="16"/>
      <c r="F665" s="16"/>
      <c r="I665" s="18"/>
      <c r="J665" s="12"/>
      <c r="K665" s="12"/>
      <c r="L665" s="13"/>
      <c r="M665" s="14"/>
      <c r="N665" s="15"/>
    </row>
    <row r="666" spans="1:14" s="17" customFormat="1">
      <c r="A666" s="12"/>
      <c r="B666" s="13"/>
      <c r="C666" s="14"/>
      <c r="D666" s="15"/>
      <c r="E666" s="16"/>
      <c r="F666" s="16"/>
      <c r="I666" s="18"/>
      <c r="J666" s="12"/>
      <c r="K666" s="12"/>
      <c r="L666" s="13"/>
      <c r="M666" s="14"/>
      <c r="N666" s="15"/>
    </row>
    <row r="667" spans="1:14" s="17" customFormat="1">
      <c r="A667" s="12"/>
      <c r="B667" s="13"/>
      <c r="C667" s="14"/>
      <c r="D667" s="15"/>
      <c r="E667" s="16"/>
      <c r="F667" s="16"/>
      <c r="I667" s="18"/>
      <c r="J667" s="12"/>
      <c r="K667" s="12"/>
      <c r="L667" s="13"/>
      <c r="M667" s="14"/>
      <c r="N667" s="15"/>
    </row>
    <row r="668" spans="1:14" s="17" customFormat="1">
      <c r="A668" s="12"/>
      <c r="B668" s="13"/>
      <c r="C668" s="14"/>
      <c r="D668" s="15"/>
      <c r="E668" s="16"/>
      <c r="F668" s="16"/>
      <c r="I668" s="18"/>
      <c r="J668" s="12"/>
      <c r="K668" s="12"/>
      <c r="L668" s="13"/>
      <c r="M668" s="14"/>
      <c r="N668" s="15"/>
    </row>
    <row r="669" spans="1:14" s="17" customFormat="1">
      <c r="A669" s="12"/>
      <c r="B669" s="13"/>
      <c r="C669" s="14"/>
      <c r="D669" s="15"/>
      <c r="E669" s="16"/>
      <c r="F669" s="16"/>
      <c r="I669" s="18"/>
      <c r="J669" s="12"/>
      <c r="K669" s="12"/>
      <c r="L669" s="13"/>
      <c r="M669" s="14"/>
      <c r="N669" s="15"/>
    </row>
    <row r="670" spans="1:14" s="17" customFormat="1">
      <c r="A670" s="12"/>
      <c r="B670" s="13"/>
      <c r="C670" s="14"/>
      <c r="D670" s="15"/>
      <c r="E670" s="16"/>
      <c r="F670" s="16"/>
      <c r="I670" s="18"/>
      <c r="J670" s="12"/>
      <c r="K670" s="12"/>
      <c r="L670" s="13"/>
      <c r="M670" s="14"/>
      <c r="N670" s="15"/>
    </row>
    <row r="671" spans="1:14" s="17" customFormat="1">
      <c r="A671" s="12"/>
      <c r="B671" s="13"/>
      <c r="C671" s="14"/>
      <c r="D671" s="15"/>
      <c r="E671" s="16"/>
      <c r="F671" s="16"/>
      <c r="I671" s="18"/>
      <c r="J671" s="12"/>
      <c r="K671" s="12"/>
      <c r="L671" s="13"/>
      <c r="M671" s="14"/>
      <c r="N671" s="15"/>
    </row>
    <row r="672" spans="1:14" s="17" customFormat="1">
      <c r="A672" s="12"/>
      <c r="B672" s="13"/>
      <c r="C672" s="14"/>
      <c r="D672" s="15"/>
      <c r="E672" s="16"/>
      <c r="F672" s="16"/>
      <c r="I672" s="18"/>
      <c r="J672" s="12"/>
      <c r="K672" s="12"/>
      <c r="L672" s="13"/>
      <c r="M672" s="14"/>
      <c r="N672" s="15"/>
    </row>
    <row r="673" spans="1:14" s="17" customFormat="1">
      <c r="A673" s="12"/>
      <c r="B673" s="13"/>
      <c r="C673" s="14"/>
      <c r="D673" s="15"/>
      <c r="E673" s="16"/>
      <c r="F673" s="16"/>
      <c r="I673" s="18"/>
      <c r="J673" s="12"/>
      <c r="K673" s="12"/>
      <c r="L673" s="13"/>
      <c r="M673" s="14"/>
      <c r="N673" s="15"/>
    </row>
    <row r="674" spans="1:14" s="17" customFormat="1">
      <c r="A674" s="12"/>
      <c r="B674" s="13"/>
      <c r="C674" s="14"/>
      <c r="D674" s="15"/>
      <c r="E674" s="16"/>
      <c r="F674" s="16"/>
      <c r="I674" s="18"/>
      <c r="J674" s="12"/>
      <c r="K674" s="12"/>
      <c r="L674" s="13"/>
      <c r="M674" s="14"/>
      <c r="N674" s="15"/>
    </row>
    <row r="675" spans="1:14" s="17" customFormat="1">
      <c r="A675" s="12"/>
      <c r="B675" s="13"/>
      <c r="C675" s="14"/>
      <c r="D675" s="15"/>
      <c r="E675" s="16"/>
      <c r="F675" s="16"/>
      <c r="I675" s="18"/>
      <c r="J675" s="12"/>
      <c r="K675" s="12"/>
      <c r="L675" s="13"/>
      <c r="M675" s="14"/>
      <c r="N675" s="15"/>
    </row>
    <row r="676" spans="1:14" s="17" customFormat="1">
      <c r="A676" s="12"/>
      <c r="B676" s="13"/>
      <c r="C676" s="14"/>
      <c r="D676" s="15"/>
      <c r="E676" s="16"/>
      <c r="F676" s="16"/>
      <c r="I676" s="18"/>
      <c r="J676" s="12"/>
      <c r="K676" s="12"/>
      <c r="L676" s="13"/>
      <c r="M676" s="14"/>
      <c r="N676" s="15"/>
    </row>
    <row r="677" spans="1:14" s="17" customFormat="1">
      <c r="A677" s="12"/>
      <c r="B677" s="13"/>
      <c r="C677" s="14"/>
      <c r="D677" s="15"/>
      <c r="E677" s="16"/>
      <c r="F677" s="16"/>
      <c r="I677" s="18"/>
      <c r="J677" s="12"/>
      <c r="K677" s="12"/>
      <c r="L677" s="13"/>
      <c r="M677" s="14"/>
      <c r="N677" s="15"/>
    </row>
    <row r="678" spans="1:14" s="17" customFormat="1">
      <c r="A678" s="12"/>
      <c r="B678" s="13"/>
      <c r="C678" s="14"/>
      <c r="D678" s="15"/>
      <c r="E678" s="16"/>
      <c r="F678" s="16"/>
      <c r="I678" s="18"/>
      <c r="J678" s="12"/>
      <c r="K678" s="12"/>
      <c r="L678" s="13"/>
      <c r="M678" s="14"/>
      <c r="N678" s="15"/>
    </row>
    <row r="679" spans="1:14" s="17" customFormat="1">
      <c r="A679" s="12"/>
      <c r="B679" s="13"/>
      <c r="C679" s="14"/>
      <c r="D679" s="15"/>
      <c r="E679" s="16"/>
      <c r="F679" s="16"/>
      <c r="I679" s="18"/>
      <c r="J679" s="12"/>
      <c r="K679" s="12"/>
      <c r="L679" s="13"/>
      <c r="M679" s="14"/>
      <c r="N679" s="15"/>
    </row>
    <row r="680" spans="1:14" s="17" customFormat="1">
      <c r="A680" s="12"/>
      <c r="B680" s="13"/>
      <c r="C680" s="14"/>
      <c r="D680" s="15"/>
      <c r="E680" s="16"/>
      <c r="F680" s="16"/>
      <c r="I680" s="18"/>
      <c r="J680" s="12"/>
      <c r="K680" s="12"/>
      <c r="L680" s="13"/>
      <c r="M680" s="14"/>
      <c r="N680" s="15"/>
    </row>
    <row r="681" spans="1:14" s="17" customFormat="1">
      <c r="A681" s="12"/>
      <c r="B681" s="13"/>
      <c r="C681" s="14"/>
      <c r="D681" s="15"/>
      <c r="E681" s="16"/>
      <c r="F681" s="16"/>
      <c r="I681" s="18"/>
      <c r="J681" s="12"/>
      <c r="K681" s="12"/>
      <c r="L681" s="13"/>
      <c r="M681" s="14"/>
      <c r="N681" s="15"/>
    </row>
    <row r="682" spans="1:14" s="17" customFormat="1">
      <c r="A682" s="12"/>
      <c r="B682" s="13"/>
      <c r="C682" s="14"/>
      <c r="D682" s="15"/>
      <c r="E682" s="16"/>
      <c r="F682" s="16"/>
      <c r="I682" s="18"/>
      <c r="J682" s="12"/>
      <c r="K682" s="12"/>
      <c r="L682" s="13"/>
      <c r="M682" s="14"/>
      <c r="N682" s="15"/>
    </row>
    <row r="683" spans="1:14" s="17" customFormat="1">
      <c r="A683" s="12"/>
      <c r="B683" s="13"/>
      <c r="C683" s="14"/>
      <c r="D683" s="15"/>
      <c r="E683" s="16"/>
      <c r="F683" s="16"/>
      <c r="I683" s="18"/>
      <c r="J683" s="12"/>
      <c r="K683" s="12"/>
      <c r="L683" s="13"/>
      <c r="M683" s="14"/>
      <c r="N683" s="15"/>
    </row>
    <row r="684" spans="1:14" s="17" customFormat="1">
      <c r="A684" s="12"/>
      <c r="B684" s="13"/>
      <c r="C684" s="14"/>
      <c r="D684" s="15"/>
      <c r="E684" s="16"/>
      <c r="F684" s="16"/>
      <c r="I684" s="18"/>
      <c r="J684" s="12"/>
      <c r="K684" s="12"/>
      <c r="L684" s="13"/>
      <c r="M684" s="14"/>
      <c r="N684" s="15"/>
    </row>
    <row r="685" spans="1:14" s="17" customFormat="1">
      <c r="A685" s="12"/>
      <c r="B685" s="13"/>
      <c r="C685" s="14"/>
      <c r="D685" s="15"/>
      <c r="E685" s="16"/>
      <c r="F685" s="16"/>
      <c r="I685" s="18"/>
      <c r="J685" s="12"/>
      <c r="K685" s="12"/>
      <c r="L685" s="13"/>
      <c r="M685" s="14"/>
      <c r="N685" s="15"/>
    </row>
    <row r="686" spans="1:14" s="17" customFormat="1">
      <c r="A686" s="12"/>
      <c r="B686" s="13"/>
      <c r="C686" s="14"/>
      <c r="D686" s="15"/>
      <c r="E686" s="16"/>
      <c r="F686" s="16"/>
      <c r="I686" s="18"/>
      <c r="J686" s="12"/>
      <c r="K686" s="12"/>
      <c r="L686" s="13"/>
      <c r="M686" s="14"/>
      <c r="N686" s="15"/>
    </row>
    <row r="687" spans="1:14" s="17" customFormat="1">
      <c r="A687" s="12"/>
      <c r="B687" s="13"/>
      <c r="C687" s="14"/>
      <c r="D687" s="15"/>
      <c r="E687" s="16"/>
      <c r="F687" s="16"/>
      <c r="I687" s="18"/>
      <c r="J687" s="12"/>
      <c r="K687" s="12"/>
      <c r="L687" s="13"/>
      <c r="M687" s="14"/>
      <c r="N687" s="15"/>
    </row>
    <row r="688" spans="1:14" s="17" customFormat="1">
      <c r="A688" s="12"/>
      <c r="B688" s="13"/>
      <c r="C688" s="14"/>
      <c r="D688" s="15"/>
      <c r="E688" s="16"/>
      <c r="F688" s="16"/>
      <c r="I688" s="18"/>
      <c r="J688" s="12"/>
      <c r="K688" s="12"/>
      <c r="L688" s="13"/>
      <c r="M688" s="14"/>
      <c r="N688" s="15"/>
    </row>
    <row r="689" spans="1:14" s="17" customFormat="1">
      <c r="A689" s="12"/>
      <c r="B689" s="13"/>
      <c r="C689" s="14"/>
      <c r="D689" s="15"/>
      <c r="E689" s="16"/>
      <c r="F689" s="16"/>
      <c r="I689" s="18"/>
      <c r="J689" s="12"/>
      <c r="K689" s="12"/>
      <c r="L689" s="13"/>
      <c r="M689" s="14"/>
      <c r="N689" s="15"/>
    </row>
    <row r="690" spans="1:14" s="17" customFormat="1">
      <c r="A690" s="12"/>
      <c r="B690" s="13"/>
      <c r="C690" s="14"/>
      <c r="D690" s="15"/>
      <c r="E690" s="16"/>
      <c r="F690" s="16"/>
      <c r="I690" s="18"/>
      <c r="J690" s="12"/>
      <c r="K690" s="12"/>
      <c r="L690" s="13"/>
      <c r="M690" s="14"/>
      <c r="N690" s="15"/>
    </row>
    <row r="691" spans="1:14" s="17" customFormat="1">
      <c r="A691" s="12"/>
      <c r="B691" s="13"/>
      <c r="C691" s="14"/>
      <c r="D691" s="15"/>
      <c r="E691" s="16"/>
      <c r="F691" s="16"/>
      <c r="I691" s="18"/>
      <c r="J691" s="12"/>
      <c r="K691" s="12"/>
      <c r="L691" s="13"/>
      <c r="M691" s="14"/>
      <c r="N691" s="15"/>
    </row>
    <row r="692" spans="1:14" s="17" customFormat="1">
      <c r="A692" s="12"/>
      <c r="B692" s="13"/>
      <c r="C692" s="14"/>
      <c r="D692" s="15"/>
      <c r="E692" s="16"/>
      <c r="F692" s="16"/>
      <c r="I692" s="18"/>
      <c r="J692" s="12"/>
      <c r="K692" s="12"/>
      <c r="L692" s="13"/>
      <c r="M692" s="14"/>
      <c r="N692" s="15"/>
    </row>
    <row r="693" spans="1:14" s="17" customFormat="1">
      <c r="A693" s="12"/>
      <c r="B693" s="13"/>
      <c r="C693" s="14"/>
      <c r="D693" s="15"/>
      <c r="E693" s="16"/>
      <c r="F693" s="16"/>
      <c r="I693" s="18"/>
      <c r="J693" s="12"/>
      <c r="K693" s="12"/>
      <c r="L693" s="13"/>
      <c r="M693" s="14"/>
      <c r="N693" s="15"/>
    </row>
    <row r="694" spans="1:14" s="17" customFormat="1">
      <c r="A694" s="12"/>
      <c r="B694" s="13"/>
      <c r="C694" s="14"/>
      <c r="D694" s="15"/>
      <c r="E694" s="16"/>
      <c r="F694" s="16"/>
      <c r="I694" s="18"/>
      <c r="J694" s="12"/>
      <c r="K694" s="12"/>
      <c r="L694" s="13"/>
      <c r="M694" s="14"/>
      <c r="N694" s="15"/>
    </row>
    <row r="695" spans="1:14" s="17" customFormat="1">
      <c r="A695" s="12"/>
      <c r="B695" s="13"/>
      <c r="C695" s="14"/>
      <c r="D695" s="15"/>
      <c r="E695" s="16"/>
      <c r="F695" s="16"/>
      <c r="I695" s="18"/>
      <c r="J695" s="12"/>
      <c r="K695" s="12"/>
      <c r="L695" s="13"/>
      <c r="M695" s="14"/>
      <c r="N695" s="15"/>
    </row>
    <row r="696" spans="1:14" s="17" customFormat="1">
      <c r="A696" s="12"/>
      <c r="B696" s="13"/>
      <c r="C696" s="14"/>
      <c r="D696" s="15"/>
      <c r="E696" s="16"/>
      <c r="F696" s="16"/>
      <c r="I696" s="18"/>
      <c r="J696" s="12"/>
      <c r="K696" s="12"/>
      <c r="L696" s="13"/>
      <c r="M696" s="14"/>
      <c r="N696" s="15"/>
    </row>
    <row r="697" spans="1:14" s="17" customFormat="1">
      <c r="A697" s="12"/>
      <c r="B697" s="13"/>
      <c r="C697" s="14"/>
      <c r="D697" s="15"/>
      <c r="E697" s="16"/>
      <c r="F697" s="16"/>
      <c r="I697" s="18"/>
      <c r="J697" s="12"/>
      <c r="K697" s="12"/>
      <c r="L697" s="13"/>
      <c r="M697" s="14"/>
      <c r="N697" s="15"/>
    </row>
    <row r="698" spans="1:14" s="17" customFormat="1">
      <c r="A698" s="12"/>
      <c r="B698" s="13"/>
      <c r="C698" s="14"/>
      <c r="D698" s="15"/>
      <c r="E698" s="16"/>
      <c r="F698" s="16"/>
      <c r="I698" s="18"/>
      <c r="J698" s="12"/>
      <c r="K698" s="12"/>
      <c r="L698" s="13"/>
      <c r="M698" s="14"/>
      <c r="N698" s="15"/>
    </row>
    <row r="699" spans="1:14" s="17" customFormat="1">
      <c r="A699" s="12"/>
      <c r="B699" s="13"/>
      <c r="C699" s="14"/>
      <c r="D699" s="15"/>
      <c r="E699" s="16"/>
      <c r="F699" s="16"/>
      <c r="I699" s="18"/>
      <c r="J699" s="12"/>
      <c r="K699" s="12"/>
      <c r="L699" s="13"/>
      <c r="M699" s="14"/>
      <c r="N699" s="15"/>
    </row>
    <row r="700" spans="1:14" s="17" customFormat="1">
      <c r="A700" s="12"/>
      <c r="B700" s="13"/>
      <c r="C700" s="14"/>
      <c r="D700" s="15"/>
      <c r="E700" s="16"/>
      <c r="F700" s="16"/>
      <c r="I700" s="18"/>
      <c r="J700" s="12"/>
      <c r="K700" s="12"/>
      <c r="L700" s="13"/>
      <c r="M700" s="14"/>
      <c r="N700" s="15"/>
    </row>
    <row r="701" spans="1:14" s="17" customFormat="1">
      <c r="A701" s="12"/>
      <c r="B701" s="13"/>
      <c r="C701" s="14"/>
      <c r="D701" s="15"/>
      <c r="E701" s="16"/>
      <c r="F701" s="16"/>
      <c r="I701" s="18"/>
      <c r="J701" s="12"/>
      <c r="K701" s="12"/>
      <c r="L701" s="13"/>
      <c r="M701" s="14"/>
      <c r="N701" s="15"/>
    </row>
    <row r="702" spans="1:14" s="17" customFormat="1">
      <c r="A702" s="12"/>
      <c r="B702" s="13"/>
      <c r="C702" s="14"/>
      <c r="D702" s="15"/>
      <c r="E702" s="16"/>
      <c r="F702" s="16"/>
      <c r="I702" s="18"/>
      <c r="J702" s="12"/>
      <c r="K702" s="12"/>
      <c r="L702" s="13"/>
      <c r="M702" s="14"/>
      <c r="N702" s="15"/>
    </row>
    <row r="703" spans="1:14" s="17" customFormat="1">
      <c r="A703" s="12"/>
      <c r="B703" s="13"/>
      <c r="C703" s="14"/>
      <c r="D703" s="15"/>
      <c r="E703" s="16"/>
      <c r="F703" s="16"/>
      <c r="I703" s="18"/>
      <c r="J703" s="12"/>
      <c r="K703" s="12"/>
      <c r="L703" s="13"/>
      <c r="M703" s="14"/>
      <c r="N703" s="15"/>
    </row>
    <row r="704" spans="1:14" s="17" customFormat="1">
      <c r="A704" s="12"/>
      <c r="B704" s="13"/>
      <c r="C704" s="14"/>
      <c r="D704" s="15"/>
      <c r="E704" s="16"/>
      <c r="F704" s="16"/>
      <c r="I704" s="18"/>
      <c r="J704" s="12"/>
      <c r="K704" s="12"/>
      <c r="L704" s="13"/>
      <c r="M704" s="14"/>
      <c r="N704" s="15"/>
    </row>
    <row r="705" spans="1:14" s="17" customFormat="1">
      <c r="A705" s="12"/>
      <c r="B705" s="13"/>
      <c r="C705" s="14"/>
      <c r="D705" s="15"/>
      <c r="E705" s="16"/>
      <c r="F705" s="16"/>
      <c r="I705" s="18"/>
      <c r="J705" s="12"/>
      <c r="K705" s="12"/>
      <c r="L705" s="13"/>
      <c r="M705" s="14"/>
      <c r="N705" s="15"/>
    </row>
    <row r="706" spans="1:14" s="17" customFormat="1">
      <c r="A706" s="12"/>
      <c r="B706" s="13"/>
      <c r="C706" s="14"/>
      <c r="D706" s="15"/>
      <c r="E706" s="16"/>
      <c r="F706" s="16"/>
      <c r="I706" s="18"/>
      <c r="J706" s="12"/>
      <c r="K706" s="12"/>
      <c r="L706" s="13"/>
      <c r="M706" s="14"/>
      <c r="N706" s="15"/>
    </row>
    <row r="707" spans="1:14" s="17" customFormat="1">
      <c r="A707" s="12"/>
      <c r="B707" s="13"/>
      <c r="C707" s="14"/>
      <c r="D707" s="15"/>
      <c r="E707" s="16"/>
      <c r="F707" s="16"/>
      <c r="I707" s="18"/>
      <c r="J707" s="12"/>
      <c r="K707" s="12"/>
      <c r="L707" s="13"/>
      <c r="M707" s="14"/>
      <c r="N707" s="15"/>
    </row>
    <row r="708" spans="1:14" s="17" customFormat="1">
      <c r="A708" s="12"/>
      <c r="B708" s="13"/>
      <c r="C708" s="14"/>
      <c r="D708" s="15"/>
      <c r="E708" s="16"/>
      <c r="F708" s="16"/>
      <c r="I708" s="18"/>
      <c r="J708" s="12"/>
      <c r="K708" s="12"/>
      <c r="L708" s="13"/>
      <c r="M708" s="14"/>
      <c r="N708" s="15"/>
    </row>
    <row r="709" spans="1:14" s="17" customFormat="1">
      <c r="A709" s="12"/>
      <c r="B709" s="13"/>
      <c r="C709" s="14"/>
      <c r="D709" s="15"/>
      <c r="E709" s="16"/>
      <c r="F709" s="16"/>
      <c r="I709" s="18"/>
      <c r="J709" s="12"/>
      <c r="K709" s="12"/>
      <c r="L709" s="13"/>
      <c r="M709" s="14"/>
      <c r="N709" s="15"/>
    </row>
    <row r="710" spans="1:14" s="17" customFormat="1">
      <c r="A710" s="12"/>
      <c r="B710" s="13"/>
      <c r="C710" s="14"/>
      <c r="D710" s="15"/>
      <c r="E710" s="16"/>
      <c r="F710" s="16"/>
      <c r="I710" s="18"/>
      <c r="J710" s="12"/>
      <c r="K710" s="12"/>
      <c r="L710" s="13"/>
      <c r="M710" s="14"/>
      <c r="N710" s="15"/>
    </row>
    <row r="711" spans="1:14" s="17" customFormat="1">
      <c r="A711" s="12"/>
      <c r="B711" s="13"/>
      <c r="C711" s="14"/>
      <c r="D711" s="15"/>
      <c r="E711" s="16"/>
      <c r="F711" s="16"/>
      <c r="I711" s="18"/>
      <c r="J711" s="12"/>
      <c r="K711" s="12"/>
      <c r="L711" s="13"/>
      <c r="M711" s="14"/>
      <c r="N711" s="15"/>
    </row>
    <row r="712" spans="1:14" s="17" customFormat="1">
      <c r="A712" s="12"/>
      <c r="B712" s="13"/>
      <c r="C712" s="14"/>
      <c r="D712" s="15"/>
      <c r="E712" s="16"/>
      <c r="F712" s="16"/>
      <c r="I712" s="18"/>
      <c r="J712" s="12"/>
      <c r="K712" s="12"/>
      <c r="L712" s="13"/>
      <c r="M712" s="14"/>
      <c r="N712" s="15"/>
    </row>
    <row r="713" spans="1:14" s="17" customFormat="1">
      <c r="A713" s="12"/>
      <c r="B713" s="13"/>
      <c r="C713" s="14"/>
      <c r="D713" s="15"/>
      <c r="E713" s="16"/>
      <c r="F713" s="16"/>
      <c r="I713" s="18"/>
      <c r="J713" s="12"/>
      <c r="K713" s="12"/>
      <c r="L713" s="13"/>
      <c r="M713" s="14"/>
      <c r="N713" s="15"/>
    </row>
    <row r="714" spans="1:14" s="17" customFormat="1">
      <c r="A714" s="12"/>
      <c r="B714" s="13"/>
      <c r="C714" s="14"/>
      <c r="D714" s="15"/>
      <c r="E714" s="16"/>
      <c r="F714" s="16"/>
      <c r="I714" s="18"/>
      <c r="J714" s="12"/>
      <c r="K714" s="12"/>
      <c r="L714" s="13"/>
      <c r="M714" s="14"/>
      <c r="N714" s="15"/>
    </row>
    <row r="715" spans="1:14" s="17" customFormat="1">
      <c r="A715" s="12"/>
      <c r="B715" s="13"/>
      <c r="C715" s="14"/>
      <c r="D715" s="15"/>
      <c r="E715" s="16"/>
      <c r="F715" s="16"/>
      <c r="I715" s="18"/>
      <c r="J715" s="12"/>
      <c r="K715" s="12"/>
      <c r="L715" s="13"/>
      <c r="M715" s="14"/>
      <c r="N715" s="15"/>
    </row>
    <row r="716" spans="1:14" s="17" customFormat="1">
      <c r="A716" s="12"/>
      <c r="B716" s="13"/>
      <c r="C716" s="14"/>
      <c r="D716" s="15"/>
      <c r="E716" s="16"/>
      <c r="F716" s="16"/>
      <c r="I716" s="18"/>
      <c r="J716" s="12"/>
      <c r="K716" s="12"/>
      <c r="L716" s="13"/>
      <c r="M716" s="14"/>
      <c r="N716" s="15"/>
    </row>
    <row r="717" spans="1:14" s="17" customFormat="1">
      <c r="A717" s="12"/>
      <c r="B717" s="13"/>
      <c r="C717" s="14"/>
      <c r="D717" s="15"/>
      <c r="E717" s="16"/>
      <c r="F717" s="16"/>
      <c r="I717" s="18"/>
      <c r="J717" s="12"/>
      <c r="K717" s="12"/>
      <c r="L717" s="13"/>
      <c r="M717" s="14"/>
      <c r="N717" s="15"/>
    </row>
    <row r="718" spans="1:14" s="17" customFormat="1">
      <c r="A718" s="12"/>
      <c r="B718" s="13"/>
      <c r="C718" s="14"/>
      <c r="D718" s="15"/>
      <c r="E718" s="16"/>
      <c r="F718" s="16"/>
      <c r="I718" s="18"/>
      <c r="J718" s="12"/>
      <c r="K718" s="12"/>
      <c r="L718" s="13"/>
      <c r="M718" s="14"/>
      <c r="N718" s="15"/>
    </row>
    <row r="719" spans="1:14" s="17" customFormat="1">
      <c r="A719" s="12"/>
      <c r="B719" s="13"/>
      <c r="C719" s="14"/>
      <c r="D719" s="15"/>
      <c r="E719" s="16"/>
      <c r="F719" s="16"/>
      <c r="I719" s="18"/>
      <c r="J719" s="12"/>
      <c r="K719" s="12"/>
      <c r="L719" s="13"/>
      <c r="M719" s="14"/>
      <c r="N719" s="15"/>
    </row>
    <row r="720" spans="1:14" s="17" customFormat="1">
      <c r="A720" s="12"/>
      <c r="B720" s="13"/>
      <c r="C720" s="14"/>
      <c r="D720" s="15"/>
      <c r="E720" s="16"/>
      <c r="F720" s="16"/>
      <c r="I720" s="18"/>
      <c r="J720" s="12"/>
      <c r="K720" s="12"/>
      <c r="L720" s="13"/>
      <c r="M720" s="14"/>
      <c r="N720" s="15"/>
    </row>
    <row r="721" spans="1:14" s="17" customFormat="1">
      <c r="A721" s="12"/>
      <c r="B721" s="13"/>
      <c r="C721" s="14"/>
      <c r="D721" s="15"/>
      <c r="E721" s="16"/>
      <c r="F721" s="16"/>
      <c r="I721" s="18"/>
      <c r="J721" s="12"/>
      <c r="K721" s="12"/>
      <c r="L721" s="13"/>
      <c r="M721" s="14"/>
      <c r="N721" s="15"/>
    </row>
    <row r="722" spans="1:14" s="17" customFormat="1">
      <c r="A722" s="12"/>
      <c r="B722" s="13"/>
      <c r="C722" s="14"/>
      <c r="D722" s="15"/>
      <c r="E722" s="16"/>
      <c r="F722" s="16"/>
      <c r="I722" s="18"/>
      <c r="J722" s="12"/>
      <c r="K722" s="12"/>
      <c r="L722" s="13"/>
      <c r="M722" s="14"/>
      <c r="N722" s="15"/>
    </row>
    <row r="723" spans="1:14" s="17" customFormat="1">
      <c r="A723" s="12"/>
      <c r="B723" s="13"/>
      <c r="C723" s="14"/>
      <c r="D723" s="15"/>
      <c r="E723" s="16"/>
      <c r="F723" s="16"/>
      <c r="I723" s="18"/>
      <c r="J723" s="12"/>
      <c r="K723" s="12"/>
      <c r="L723" s="13"/>
      <c r="M723" s="14"/>
      <c r="N723" s="15"/>
    </row>
    <row r="724" spans="1:14" s="17" customFormat="1">
      <c r="A724" s="12"/>
      <c r="B724" s="13"/>
      <c r="C724" s="14"/>
      <c r="D724" s="15"/>
      <c r="E724" s="16"/>
      <c r="F724" s="16"/>
      <c r="I724" s="18"/>
      <c r="J724" s="12"/>
      <c r="K724" s="12"/>
      <c r="L724" s="13"/>
      <c r="M724" s="14"/>
      <c r="N724" s="15"/>
    </row>
    <row r="725" spans="1:14" s="17" customFormat="1">
      <c r="A725" s="12"/>
      <c r="B725" s="13"/>
      <c r="C725" s="14"/>
      <c r="D725" s="15"/>
      <c r="E725" s="16"/>
      <c r="F725" s="16"/>
      <c r="I725" s="18"/>
      <c r="J725" s="12"/>
      <c r="K725" s="12"/>
      <c r="L725" s="13"/>
      <c r="M725" s="14"/>
      <c r="N725" s="15"/>
    </row>
    <row r="726" spans="1:14" s="17" customFormat="1">
      <c r="A726" s="12"/>
      <c r="B726" s="13"/>
      <c r="C726" s="14"/>
      <c r="D726" s="15"/>
      <c r="E726" s="16"/>
      <c r="F726" s="16"/>
      <c r="I726" s="18"/>
      <c r="J726" s="12"/>
      <c r="K726" s="12"/>
      <c r="L726" s="13"/>
      <c r="M726" s="14"/>
      <c r="N726" s="15"/>
    </row>
    <row r="727" spans="1:14" s="17" customFormat="1">
      <c r="A727" s="12"/>
      <c r="B727" s="13"/>
      <c r="C727" s="14"/>
      <c r="D727" s="15"/>
      <c r="E727" s="16"/>
      <c r="F727" s="16"/>
      <c r="I727" s="18"/>
      <c r="J727" s="12"/>
      <c r="K727" s="12"/>
      <c r="L727" s="13"/>
      <c r="M727" s="14"/>
      <c r="N727" s="15"/>
    </row>
    <row r="728" spans="1:14" s="17" customFormat="1">
      <c r="A728" s="12"/>
      <c r="B728" s="13"/>
      <c r="C728" s="14"/>
      <c r="D728" s="15"/>
      <c r="E728" s="16"/>
      <c r="F728" s="16"/>
      <c r="I728" s="18"/>
      <c r="J728" s="12"/>
      <c r="K728" s="12"/>
      <c r="L728" s="13"/>
      <c r="M728" s="14"/>
      <c r="N728" s="15"/>
    </row>
    <row r="729" spans="1:14" s="17" customFormat="1">
      <c r="A729" s="12"/>
      <c r="B729" s="13"/>
      <c r="C729" s="14"/>
      <c r="D729" s="15"/>
      <c r="E729" s="16"/>
      <c r="F729" s="16"/>
      <c r="I729" s="18"/>
      <c r="J729" s="12"/>
      <c r="K729" s="12"/>
      <c r="L729" s="13"/>
      <c r="M729" s="14"/>
      <c r="N729" s="15"/>
    </row>
    <row r="730" spans="1:14" s="17" customFormat="1">
      <c r="A730" s="12"/>
      <c r="B730" s="13"/>
      <c r="C730" s="14"/>
      <c r="D730" s="15"/>
      <c r="E730" s="16"/>
      <c r="F730" s="16"/>
      <c r="I730" s="18"/>
      <c r="J730" s="12"/>
      <c r="K730" s="12"/>
      <c r="L730" s="13"/>
      <c r="M730" s="14"/>
      <c r="N730" s="15"/>
    </row>
    <row r="731" spans="1:14" s="17" customFormat="1">
      <c r="A731" s="12"/>
      <c r="B731" s="13"/>
      <c r="C731" s="14"/>
      <c r="D731" s="15"/>
      <c r="E731" s="16"/>
      <c r="F731" s="16"/>
      <c r="I731" s="18"/>
      <c r="J731" s="12"/>
      <c r="K731" s="12"/>
      <c r="L731" s="13"/>
      <c r="M731" s="14"/>
      <c r="N731" s="15"/>
    </row>
    <row r="732" spans="1:14" s="17" customFormat="1">
      <c r="A732" s="12"/>
      <c r="B732" s="13"/>
      <c r="C732" s="14"/>
      <c r="D732" s="15"/>
      <c r="E732" s="16"/>
      <c r="F732" s="16"/>
      <c r="I732" s="18"/>
      <c r="J732" s="12"/>
      <c r="K732" s="12"/>
      <c r="L732" s="13"/>
      <c r="M732" s="14"/>
      <c r="N732" s="15"/>
    </row>
    <row r="733" spans="1:14" s="17" customFormat="1">
      <c r="A733" s="12"/>
      <c r="B733" s="13"/>
      <c r="C733" s="14"/>
      <c r="D733" s="15"/>
      <c r="E733" s="16"/>
      <c r="F733" s="16"/>
      <c r="I733" s="18"/>
      <c r="J733" s="12"/>
      <c r="K733" s="12"/>
      <c r="L733" s="13"/>
      <c r="M733" s="14"/>
      <c r="N733" s="15"/>
    </row>
    <row r="734" spans="1:14" s="17" customFormat="1">
      <c r="A734" s="12"/>
      <c r="B734" s="13"/>
      <c r="C734" s="14"/>
      <c r="D734" s="15"/>
      <c r="E734" s="16"/>
      <c r="F734" s="16"/>
      <c r="I734" s="18"/>
      <c r="J734" s="12"/>
      <c r="K734" s="12"/>
      <c r="L734" s="13"/>
      <c r="M734" s="14"/>
      <c r="N734" s="15"/>
    </row>
    <row r="735" spans="1:14" s="17" customFormat="1">
      <c r="A735" s="12"/>
      <c r="B735" s="13"/>
      <c r="C735" s="14"/>
      <c r="D735" s="15"/>
      <c r="E735" s="16"/>
      <c r="F735" s="16"/>
      <c r="I735" s="18"/>
      <c r="J735" s="12"/>
      <c r="K735" s="12"/>
      <c r="L735" s="13"/>
      <c r="M735" s="14"/>
      <c r="N735" s="15"/>
    </row>
    <row r="736" spans="1:14" s="17" customFormat="1">
      <c r="A736" s="12"/>
      <c r="B736" s="13"/>
      <c r="C736" s="14"/>
      <c r="D736" s="15"/>
      <c r="E736" s="16"/>
      <c r="F736" s="16"/>
      <c r="I736" s="18"/>
      <c r="J736" s="12"/>
      <c r="K736" s="12"/>
      <c r="L736" s="13"/>
      <c r="M736" s="14"/>
      <c r="N736" s="15"/>
    </row>
    <row r="737" spans="1:14" s="17" customFormat="1">
      <c r="A737" s="12"/>
      <c r="B737" s="13"/>
      <c r="C737" s="14"/>
      <c r="D737" s="15"/>
      <c r="E737" s="16"/>
      <c r="F737" s="16"/>
      <c r="I737" s="18"/>
      <c r="J737" s="12"/>
      <c r="K737" s="12"/>
      <c r="L737" s="13"/>
      <c r="M737" s="14"/>
      <c r="N737" s="15"/>
    </row>
    <row r="738" spans="1:14" s="17" customFormat="1">
      <c r="A738" s="12"/>
      <c r="B738" s="13"/>
      <c r="C738" s="14"/>
      <c r="D738" s="15"/>
      <c r="E738" s="16"/>
      <c r="F738" s="16"/>
      <c r="I738" s="18"/>
      <c r="J738" s="12"/>
      <c r="K738" s="12"/>
      <c r="L738" s="13"/>
      <c r="M738" s="14"/>
      <c r="N738" s="15"/>
    </row>
    <row r="739" spans="1:14" s="17" customFormat="1">
      <c r="A739" s="12"/>
      <c r="B739" s="13"/>
      <c r="C739" s="14"/>
      <c r="D739" s="15"/>
      <c r="E739" s="16"/>
      <c r="F739" s="16"/>
      <c r="I739" s="18"/>
      <c r="J739" s="12"/>
      <c r="K739" s="12"/>
      <c r="L739" s="13"/>
      <c r="M739" s="14"/>
      <c r="N739" s="15"/>
    </row>
    <row r="740" spans="1:14" s="17" customFormat="1">
      <c r="A740" s="12"/>
      <c r="B740" s="13"/>
      <c r="C740" s="14"/>
      <c r="D740" s="15"/>
      <c r="E740" s="16"/>
      <c r="F740" s="16"/>
      <c r="I740" s="18"/>
      <c r="J740" s="12"/>
      <c r="K740" s="12"/>
      <c r="L740" s="13"/>
      <c r="M740" s="14"/>
      <c r="N740" s="15"/>
    </row>
    <row r="741" spans="1:14" s="17" customFormat="1">
      <c r="A741" s="12"/>
      <c r="B741" s="13"/>
      <c r="C741" s="14"/>
      <c r="D741" s="15"/>
      <c r="E741" s="16"/>
      <c r="F741" s="16"/>
      <c r="I741" s="18"/>
      <c r="J741" s="12"/>
      <c r="K741" s="12"/>
      <c r="L741" s="13"/>
      <c r="M741" s="14"/>
      <c r="N741" s="15"/>
    </row>
    <row r="742" spans="1:14" s="17" customFormat="1">
      <c r="A742" s="12"/>
      <c r="B742" s="13"/>
      <c r="C742" s="14"/>
      <c r="D742" s="15"/>
      <c r="E742" s="16"/>
      <c r="F742" s="16"/>
      <c r="I742" s="18"/>
      <c r="J742" s="12"/>
      <c r="K742" s="12"/>
      <c r="L742" s="13"/>
      <c r="M742" s="14"/>
      <c r="N742" s="15"/>
    </row>
    <row r="743" spans="1:14" s="17" customFormat="1">
      <c r="A743" s="12"/>
      <c r="B743" s="13"/>
      <c r="C743" s="14"/>
      <c r="D743" s="15"/>
      <c r="E743" s="16"/>
      <c r="F743" s="16"/>
      <c r="I743" s="18"/>
      <c r="J743" s="12"/>
      <c r="K743" s="12"/>
      <c r="L743" s="13"/>
      <c r="M743" s="14"/>
      <c r="N743" s="15"/>
    </row>
    <row r="744" spans="1:14" s="17" customFormat="1">
      <c r="A744" s="12"/>
      <c r="B744" s="13"/>
      <c r="C744" s="14"/>
      <c r="D744" s="15"/>
      <c r="E744" s="16"/>
      <c r="F744" s="16"/>
      <c r="I744" s="18"/>
      <c r="J744" s="12"/>
      <c r="K744" s="12"/>
      <c r="L744" s="13"/>
      <c r="M744" s="14"/>
      <c r="N744" s="15"/>
    </row>
    <row r="745" spans="1:14" s="17" customFormat="1">
      <c r="A745" s="12"/>
      <c r="B745" s="13"/>
      <c r="C745" s="14"/>
      <c r="D745" s="15"/>
      <c r="E745" s="16"/>
      <c r="F745" s="16"/>
      <c r="I745" s="18"/>
      <c r="J745" s="12"/>
      <c r="K745" s="12"/>
      <c r="L745" s="13"/>
      <c r="M745" s="14"/>
      <c r="N745" s="15"/>
    </row>
    <row r="746" spans="1:14" s="17" customFormat="1">
      <c r="A746" s="12"/>
      <c r="B746" s="13"/>
      <c r="C746" s="14"/>
      <c r="D746" s="15"/>
      <c r="E746" s="16"/>
      <c r="F746" s="16"/>
      <c r="I746" s="18"/>
      <c r="J746" s="12"/>
      <c r="K746" s="12"/>
      <c r="L746" s="13"/>
      <c r="M746" s="14"/>
      <c r="N746" s="15"/>
    </row>
    <row r="747" spans="1:14" s="17" customFormat="1">
      <c r="A747" s="12"/>
      <c r="B747" s="13"/>
      <c r="C747" s="14"/>
      <c r="D747" s="15"/>
      <c r="E747" s="16"/>
      <c r="F747" s="16"/>
      <c r="I747" s="18"/>
      <c r="J747" s="12"/>
      <c r="K747" s="12"/>
      <c r="L747" s="13"/>
      <c r="M747" s="14"/>
      <c r="N747" s="15"/>
    </row>
    <row r="748" spans="1:14" s="17" customFormat="1">
      <c r="A748" s="12"/>
      <c r="B748" s="13"/>
      <c r="C748" s="14"/>
      <c r="D748" s="15"/>
      <c r="E748" s="16"/>
      <c r="F748" s="16"/>
      <c r="I748" s="18"/>
      <c r="J748" s="12"/>
      <c r="K748" s="12"/>
      <c r="L748" s="13"/>
      <c r="M748" s="14"/>
      <c r="N748" s="15"/>
    </row>
    <row r="749" spans="1:14" s="17" customFormat="1">
      <c r="A749" s="12"/>
      <c r="B749" s="13"/>
      <c r="C749" s="14"/>
      <c r="D749" s="15"/>
      <c r="E749" s="16"/>
      <c r="F749" s="16"/>
      <c r="I749" s="18"/>
      <c r="J749" s="12"/>
      <c r="K749" s="12"/>
      <c r="L749" s="13"/>
      <c r="M749" s="14"/>
      <c r="N749" s="15"/>
    </row>
    <row r="750" spans="1:14" s="17" customFormat="1">
      <c r="A750" s="12"/>
      <c r="B750" s="13"/>
      <c r="C750" s="14"/>
      <c r="D750" s="15"/>
      <c r="E750" s="16"/>
      <c r="F750" s="16"/>
      <c r="I750" s="18"/>
      <c r="J750" s="12"/>
      <c r="K750" s="12"/>
      <c r="L750" s="13"/>
      <c r="M750" s="14"/>
      <c r="N750" s="15"/>
    </row>
    <row r="751" spans="1:14" s="17" customFormat="1">
      <c r="A751" s="12"/>
      <c r="B751" s="13"/>
      <c r="C751" s="14"/>
      <c r="D751" s="15"/>
      <c r="E751" s="16"/>
      <c r="F751" s="16"/>
      <c r="I751" s="18"/>
      <c r="J751" s="12"/>
      <c r="K751" s="12"/>
      <c r="L751" s="13"/>
      <c r="M751" s="14"/>
      <c r="N751" s="15"/>
    </row>
    <row r="752" spans="1:14" s="17" customFormat="1">
      <c r="A752" s="12"/>
      <c r="B752" s="13"/>
      <c r="C752" s="14"/>
      <c r="D752" s="15"/>
      <c r="E752" s="16"/>
      <c r="F752" s="16"/>
      <c r="I752" s="18"/>
      <c r="J752" s="12"/>
      <c r="K752" s="12"/>
      <c r="L752" s="13"/>
      <c r="M752" s="14"/>
      <c r="N752" s="15"/>
    </row>
    <row r="753" spans="1:14" s="17" customFormat="1">
      <c r="A753" s="12"/>
      <c r="B753" s="13"/>
      <c r="C753" s="14"/>
      <c r="D753" s="15"/>
      <c r="E753" s="16"/>
      <c r="F753" s="16"/>
      <c r="I753" s="18"/>
      <c r="J753" s="12"/>
      <c r="K753" s="12"/>
      <c r="L753" s="13"/>
      <c r="M753" s="14"/>
      <c r="N753" s="15"/>
    </row>
    <row r="754" spans="1:14" s="17" customFormat="1">
      <c r="A754" s="12"/>
      <c r="B754" s="13"/>
      <c r="C754" s="14"/>
      <c r="D754" s="15"/>
      <c r="E754" s="16"/>
      <c r="F754" s="16"/>
      <c r="I754" s="18"/>
      <c r="J754" s="12"/>
      <c r="K754" s="12"/>
      <c r="L754" s="13"/>
      <c r="M754" s="14"/>
      <c r="N754" s="15"/>
    </row>
    <row r="755" spans="1:14" s="17" customFormat="1">
      <c r="A755" s="12"/>
      <c r="B755" s="13"/>
      <c r="C755" s="14"/>
      <c r="D755" s="15"/>
      <c r="E755" s="16"/>
      <c r="F755" s="16"/>
      <c r="I755" s="18"/>
      <c r="J755" s="12"/>
      <c r="K755" s="12"/>
      <c r="L755" s="13"/>
      <c r="M755" s="14"/>
      <c r="N755" s="15"/>
    </row>
    <row r="756" spans="1:14" s="17" customFormat="1">
      <c r="A756" s="12"/>
      <c r="B756" s="13"/>
      <c r="C756" s="14"/>
      <c r="D756" s="15"/>
      <c r="E756" s="16"/>
      <c r="F756" s="16"/>
      <c r="I756" s="18"/>
      <c r="J756" s="12"/>
      <c r="K756" s="12"/>
      <c r="L756" s="13"/>
      <c r="M756" s="14"/>
      <c r="N756" s="15"/>
    </row>
    <row r="757" spans="1:14" s="17" customFormat="1">
      <c r="A757" s="12"/>
      <c r="B757" s="13"/>
      <c r="C757" s="14"/>
      <c r="D757" s="15"/>
      <c r="E757" s="16"/>
      <c r="F757" s="16"/>
      <c r="I757" s="18"/>
      <c r="J757" s="12"/>
      <c r="K757" s="12"/>
      <c r="L757" s="13"/>
      <c r="M757" s="14"/>
      <c r="N757" s="15"/>
    </row>
    <row r="758" spans="1:14" s="17" customFormat="1">
      <c r="A758" s="12"/>
      <c r="B758" s="13"/>
      <c r="C758" s="14"/>
      <c r="D758" s="15"/>
      <c r="E758" s="16"/>
      <c r="F758" s="16"/>
      <c r="I758" s="18"/>
      <c r="J758" s="12"/>
      <c r="K758" s="12"/>
      <c r="L758" s="13"/>
      <c r="M758" s="14"/>
      <c r="N758" s="15"/>
    </row>
    <row r="759" spans="1:14" s="17" customFormat="1">
      <c r="A759" s="12"/>
      <c r="B759" s="13"/>
      <c r="C759" s="14"/>
      <c r="D759" s="15"/>
      <c r="E759" s="16"/>
      <c r="F759" s="16"/>
      <c r="I759" s="18"/>
      <c r="J759" s="12"/>
      <c r="K759" s="12"/>
      <c r="L759" s="13"/>
      <c r="M759" s="14"/>
      <c r="N759" s="15"/>
    </row>
    <row r="760" spans="1:14" s="17" customFormat="1">
      <c r="A760" s="12"/>
      <c r="B760" s="13"/>
      <c r="C760" s="14"/>
      <c r="D760" s="15"/>
      <c r="E760" s="16"/>
      <c r="F760" s="16"/>
      <c r="I760" s="18"/>
      <c r="J760" s="12"/>
      <c r="K760" s="12"/>
      <c r="L760" s="13"/>
      <c r="M760" s="14"/>
      <c r="N760" s="15"/>
    </row>
    <row r="761" spans="1:14" s="17" customFormat="1">
      <c r="A761" s="12"/>
      <c r="B761" s="13"/>
      <c r="C761" s="14"/>
      <c r="D761" s="15"/>
      <c r="E761" s="16"/>
      <c r="F761" s="16"/>
      <c r="I761" s="18"/>
      <c r="J761" s="12"/>
      <c r="K761" s="12"/>
      <c r="L761" s="13"/>
      <c r="M761" s="14"/>
      <c r="N761" s="15"/>
    </row>
    <row r="762" spans="1:14" s="17" customFormat="1">
      <c r="A762" s="12"/>
      <c r="B762" s="13"/>
      <c r="C762" s="14"/>
      <c r="D762" s="15"/>
      <c r="E762" s="16"/>
      <c r="F762" s="16"/>
      <c r="I762" s="18"/>
      <c r="J762" s="12"/>
      <c r="K762" s="12"/>
      <c r="L762" s="13"/>
      <c r="M762" s="14"/>
      <c r="N762" s="15"/>
    </row>
    <row r="763" spans="1:14" s="17" customFormat="1">
      <c r="A763" s="12"/>
      <c r="B763" s="13"/>
      <c r="C763" s="14"/>
      <c r="D763" s="15"/>
      <c r="E763" s="16"/>
      <c r="F763" s="16"/>
      <c r="I763" s="18"/>
      <c r="J763" s="12"/>
      <c r="K763" s="12"/>
      <c r="L763" s="13"/>
      <c r="M763" s="14"/>
      <c r="N763" s="15"/>
    </row>
    <row r="764" spans="1:14" s="17" customFormat="1">
      <c r="A764" s="12"/>
      <c r="B764" s="13"/>
      <c r="C764" s="14"/>
      <c r="D764" s="15"/>
      <c r="E764" s="16"/>
      <c r="F764" s="16"/>
      <c r="I764" s="18"/>
      <c r="J764" s="12"/>
      <c r="K764" s="12"/>
      <c r="L764" s="13"/>
      <c r="M764" s="14"/>
      <c r="N764" s="15"/>
    </row>
    <row r="765" spans="1:14" s="17" customFormat="1">
      <c r="A765" s="12"/>
      <c r="B765" s="13"/>
      <c r="C765" s="14"/>
      <c r="D765" s="15"/>
      <c r="E765" s="16"/>
      <c r="F765" s="16"/>
      <c r="I765" s="18"/>
      <c r="J765" s="12"/>
      <c r="K765" s="12"/>
      <c r="L765" s="13"/>
      <c r="M765" s="14"/>
      <c r="N765" s="15"/>
    </row>
    <row r="766" spans="1:14" s="17" customFormat="1">
      <c r="A766" s="12"/>
      <c r="B766" s="13"/>
      <c r="C766" s="14"/>
      <c r="D766" s="15"/>
      <c r="E766" s="16"/>
      <c r="F766" s="16"/>
      <c r="I766" s="18"/>
      <c r="J766" s="12"/>
      <c r="K766" s="12"/>
      <c r="L766" s="13"/>
      <c r="M766" s="14"/>
      <c r="N766" s="15"/>
    </row>
    <row r="767" spans="1:14" s="17" customFormat="1">
      <c r="A767" s="12"/>
      <c r="B767" s="13"/>
      <c r="C767" s="14"/>
      <c r="D767" s="15"/>
      <c r="E767" s="16"/>
      <c r="F767" s="16"/>
      <c r="I767" s="18"/>
      <c r="J767" s="12"/>
      <c r="K767" s="12"/>
      <c r="L767" s="13"/>
      <c r="M767" s="14"/>
      <c r="N767" s="15"/>
    </row>
    <row r="768" spans="1:14" s="17" customFormat="1">
      <c r="A768" s="12"/>
      <c r="B768" s="13"/>
      <c r="C768" s="14"/>
      <c r="D768" s="15"/>
      <c r="E768" s="16"/>
      <c r="F768" s="16"/>
      <c r="I768" s="18"/>
      <c r="J768" s="12"/>
      <c r="K768" s="12"/>
      <c r="L768" s="13"/>
      <c r="M768" s="14"/>
      <c r="N768" s="15"/>
    </row>
    <row r="769" spans="1:14" s="17" customFormat="1">
      <c r="A769" s="12"/>
      <c r="B769" s="13"/>
      <c r="C769" s="14"/>
      <c r="D769" s="15"/>
      <c r="E769" s="16"/>
      <c r="F769" s="16"/>
      <c r="I769" s="18"/>
      <c r="J769" s="12"/>
      <c r="K769" s="12"/>
      <c r="L769" s="13"/>
      <c r="M769" s="14"/>
      <c r="N769" s="15"/>
    </row>
    <row r="770" spans="1:14" s="17" customFormat="1">
      <c r="A770" s="12"/>
      <c r="B770" s="13"/>
      <c r="C770" s="14"/>
      <c r="D770" s="15"/>
      <c r="E770" s="16"/>
      <c r="F770" s="16"/>
      <c r="I770" s="18"/>
      <c r="J770" s="12"/>
      <c r="K770" s="12"/>
      <c r="L770" s="13"/>
      <c r="M770" s="14"/>
      <c r="N770" s="15"/>
    </row>
    <row r="771" spans="1:14" s="17" customFormat="1">
      <c r="A771" s="12"/>
      <c r="B771" s="13"/>
      <c r="C771" s="14"/>
      <c r="D771" s="15"/>
      <c r="E771" s="16"/>
      <c r="F771" s="16"/>
      <c r="I771" s="18"/>
      <c r="J771" s="12"/>
      <c r="K771" s="12"/>
      <c r="L771" s="13"/>
      <c r="M771" s="14"/>
      <c r="N771" s="15"/>
    </row>
    <row r="772" spans="1:14" s="17" customFormat="1">
      <c r="A772" s="12"/>
      <c r="B772" s="13"/>
      <c r="C772" s="14"/>
      <c r="D772" s="15"/>
      <c r="E772" s="16"/>
      <c r="F772" s="16"/>
      <c r="I772" s="18"/>
      <c r="J772" s="12"/>
      <c r="K772" s="12"/>
      <c r="L772" s="13"/>
      <c r="M772" s="14"/>
      <c r="N772" s="15"/>
    </row>
    <row r="773" spans="1:14" s="17" customFormat="1">
      <c r="A773" s="12"/>
      <c r="B773" s="13"/>
      <c r="C773" s="14"/>
      <c r="D773" s="15"/>
      <c r="E773" s="16"/>
      <c r="F773" s="16"/>
      <c r="I773" s="18"/>
      <c r="J773" s="12"/>
      <c r="K773" s="12"/>
      <c r="L773" s="13"/>
      <c r="M773" s="14"/>
      <c r="N773" s="15"/>
    </row>
    <row r="774" spans="1:14" s="17" customFormat="1">
      <c r="A774" s="12"/>
      <c r="B774" s="13"/>
      <c r="C774" s="14"/>
      <c r="D774" s="15"/>
      <c r="E774" s="16"/>
      <c r="F774" s="16"/>
      <c r="I774" s="18"/>
      <c r="J774" s="12"/>
      <c r="K774" s="12"/>
      <c r="L774" s="13"/>
      <c r="M774" s="14"/>
      <c r="N774" s="15"/>
    </row>
    <row r="775" spans="1:14" s="17" customFormat="1">
      <c r="A775" s="12"/>
      <c r="B775" s="13"/>
      <c r="C775" s="14"/>
      <c r="D775" s="15"/>
      <c r="E775" s="16"/>
      <c r="F775" s="16"/>
      <c r="I775" s="18"/>
      <c r="J775" s="12"/>
      <c r="K775" s="12"/>
      <c r="L775" s="13"/>
      <c r="M775" s="14"/>
      <c r="N775" s="15"/>
    </row>
    <row r="776" spans="1:14" s="17" customFormat="1">
      <c r="A776" s="12"/>
      <c r="B776" s="13"/>
      <c r="C776" s="14"/>
      <c r="D776" s="15"/>
      <c r="E776" s="16"/>
      <c r="F776" s="16"/>
      <c r="I776" s="18"/>
      <c r="J776" s="12"/>
      <c r="K776" s="12"/>
      <c r="L776" s="13"/>
      <c r="M776" s="14"/>
      <c r="N776" s="15"/>
    </row>
    <row r="777" spans="1:14" s="17" customFormat="1">
      <c r="A777" s="12"/>
      <c r="B777" s="13"/>
      <c r="C777" s="14"/>
      <c r="D777" s="15"/>
      <c r="E777" s="16"/>
      <c r="F777" s="16"/>
      <c r="I777" s="18"/>
      <c r="J777" s="12"/>
      <c r="K777" s="12"/>
      <c r="L777" s="13"/>
      <c r="M777" s="14"/>
      <c r="N777" s="15"/>
    </row>
    <row r="778" spans="1:14" s="17" customFormat="1">
      <c r="A778" s="12"/>
      <c r="B778" s="13"/>
      <c r="C778" s="14"/>
      <c r="D778" s="15"/>
      <c r="E778" s="16"/>
      <c r="F778" s="16"/>
      <c r="I778" s="18"/>
      <c r="J778" s="12"/>
      <c r="K778" s="12"/>
      <c r="L778" s="13"/>
      <c r="M778" s="14"/>
      <c r="N778" s="15"/>
    </row>
    <row r="779" spans="1:14" s="17" customFormat="1">
      <c r="A779" s="12"/>
      <c r="B779" s="13"/>
      <c r="C779" s="14"/>
      <c r="D779" s="15"/>
      <c r="E779" s="16"/>
      <c r="F779" s="16"/>
      <c r="I779" s="18"/>
      <c r="J779" s="12"/>
      <c r="K779" s="12"/>
      <c r="L779" s="13"/>
      <c r="M779" s="14"/>
      <c r="N779" s="15"/>
    </row>
    <row r="780" spans="1:14" s="17" customFormat="1">
      <c r="A780" s="12"/>
      <c r="B780" s="13"/>
      <c r="C780" s="14"/>
      <c r="D780" s="15"/>
      <c r="E780" s="16"/>
      <c r="F780" s="16"/>
      <c r="I780" s="18"/>
      <c r="J780" s="12"/>
      <c r="K780" s="12"/>
      <c r="L780" s="13"/>
      <c r="M780" s="14"/>
      <c r="N780" s="15"/>
    </row>
    <row r="781" spans="1:14" s="17" customFormat="1">
      <c r="A781" s="12"/>
      <c r="B781" s="13"/>
      <c r="C781" s="14"/>
      <c r="D781" s="15"/>
      <c r="E781" s="16"/>
      <c r="F781" s="16"/>
      <c r="I781" s="18"/>
      <c r="J781" s="12"/>
      <c r="K781" s="12"/>
      <c r="L781" s="13"/>
      <c r="M781" s="14"/>
      <c r="N781" s="15"/>
    </row>
    <row r="782" spans="1:14" s="17" customFormat="1">
      <c r="A782" s="12"/>
      <c r="B782" s="13"/>
      <c r="C782" s="14"/>
      <c r="D782" s="15"/>
      <c r="E782" s="16"/>
      <c r="F782" s="16"/>
      <c r="I782" s="18"/>
      <c r="J782" s="12"/>
      <c r="K782" s="12"/>
      <c r="L782" s="13"/>
      <c r="M782" s="14"/>
      <c r="N782" s="15"/>
    </row>
    <row r="783" spans="1:14" s="17" customFormat="1">
      <c r="A783" s="12"/>
      <c r="B783" s="13"/>
      <c r="C783" s="14"/>
      <c r="D783" s="15"/>
      <c r="E783" s="16"/>
      <c r="F783" s="16"/>
      <c r="I783" s="18"/>
      <c r="J783" s="12"/>
      <c r="K783" s="12"/>
      <c r="L783" s="13"/>
      <c r="M783" s="14"/>
      <c r="N783" s="15"/>
    </row>
    <row r="784" spans="1:14" s="17" customFormat="1">
      <c r="A784" s="12"/>
      <c r="B784" s="13"/>
      <c r="C784" s="14"/>
      <c r="D784" s="15"/>
      <c r="E784" s="16"/>
      <c r="F784" s="16"/>
      <c r="I784" s="18"/>
      <c r="J784" s="12"/>
      <c r="K784" s="12"/>
      <c r="L784" s="13"/>
      <c r="M784" s="14"/>
      <c r="N784" s="15"/>
    </row>
    <row r="785" spans="1:14" s="17" customFormat="1">
      <c r="A785" s="12"/>
      <c r="B785" s="13"/>
      <c r="C785" s="14"/>
      <c r="D785" s="15"/>
      <c r="E785" s="16"/>
      <c r="F785" s="16"/>
      <c r="I785" s="18"/>
      <c r="J785" s="12"/>
      <c r="K785" s="12"/>
      <c r="L785" s="13"/>
      <c r="M785" s="14"/>
      <c r="N785" s="15"/>
    </row>
    <row r="786" spans="1:14" s="17" customFormat="1">
      <c r="A786" s="12"/>
      <c r="B786" s="13"/>
      <c r="C786" s="14"/>
      <c r="D786" s="15"/>
      <c r="E786" s="16"/>
      <c r="F786" s="16"/>
      <c r="I786" s="18"/>
      <c r="J786" s="12"/>
      <c r="K786" s="12"/>
      <c r="L786" s="13"/>
      <c r="M786" s="14"/>
      <c r="N786" s="15"/>
    </row>
    <row r="787" spans="1:14" s="17" customFormat="1">
      <c r="A787" s="12"/>
      <c r="B787" s="13"/>
      <c r="C787" s="14"/>
      <c r="D787" s="15"/>
      <c r="E787" s="16"/>
      <c r="F787" s="16"/>
      <c r="I787" s="18"/>
      <c r="J787" s="12"/>
      <c r="K787" s="12"/>
      <c r="L787" s="13"/>
      <c r="M787" s="14"/>
      <c r="N787" s="15"/>
    </row>
    <row r="788" spans="1:14" s="17" customFormat="1">
      <c r="A788" s="12"/>
      <c r="B788" s="13"/>
      <c r="C788" s="14"/>
      <c r="D788" s="15"/>
      <c r="E788" s="16"/>
      <c r="F788" s="16"/>
      <c r="I788" s="18"/>
      <c r="J788" s="12"/>
      <c r="K788" s="12"/>
      <c r="L788" s="13"/>
      <c r="M788" s="14"/>
      <c r="N788" s="15"/>
    </row>
    <row r="789" spans="1:14" s="17" customFormat="1">
      <c r="A789" s="12"/>
      <c r="B789" s="13"/>
      <c r="C789" s="14"/>
      <c r="D789" s="15"/>
      <c r="E789" s="16"/>
      <c r="F789" s="16"/>
      <c r="I789" s="18"/>
      <c r="J789" s="12"/>
      <c r="K789" s="12"/>
      <c r="L789" s="13"/>
      <c r="M789" s="14"/>
      <c r="N789" s="15"/>
    </row>
    <row r="790" spans="1:14" s="17" customFormat="1">
      <c r="A790" s="12"/>
      <c r="B790" s="13"/>
      <c r="C790" s="14"/>
      <c r="D790" s="15"/>
      <c r="E790" s="16"/>
      <c r="F790" s="16"/>
      <c r="I790" s="18"/>
      <c r="J790" s="12"/>
      <c r="K790" s="12"/>
      <c r="L790" s="13"/>
      <c r="M790" s="14"/>
      <c r="N790" s="15"/>
    </row>
    <row r="791" spans="1:14" s="17" customFormat="1">
      <c r="A791" s="12"/>
      <c r="B791" s="13"/>
      <c r="C791" s="14"/>
      <c r="D791" s="15"/>
      <c r="E791" s="16"/>
      <c r="F791" s="16"/>
      <c r="I791" s="18"/>
      <c r="J791" s="12"/>
      <c r="K791" s="12"/>
      <c r="L791" s="13"/>
      <c r="M791" s="14"/>
      <c r="N791" s="15"/>
    </row>
    <row r="792" spans="1:14" s="17" customFormat="1">
      <c r="A792" s="12"/>
      <c r="B792" s="13"/>
      <c r="C792" s="14"/>
      <c r="D792" s="15"/>
      <c r="E792" s="16"/>
      <c r="F792" s="16"/>
      <c r="I792" s="18"/>
      <c r="J792" s="12"/>
      <c r="K792" s="12"/>
      <c r="L792" s="13"/>
      <c r="M792" s="14"/>
      <c r="N792" s="15"/>
    </row>
    <row r="793" spans="1:14" s="17" customFormat="1">
      <c r="A793" s="12"/>
      <c r="B793" s="13"/>
      <c r="C793" s="14"/>
      <c r="D793" s="15"/>
      <c r="E793" s="16"/>
      <c r="F793" s="16"/>
      <c r="I793" s="18"/>
      <c r="J793" s="12"/>
      <c r="K793" s="12"/>
      <c r="L793" s="13"/>
      <c r="M793" s="14"/>
      <c r="N793" s="15"/>
    </row>
    <row r="794" spans="1:14" s="17" customFormat="1">
      <c r="A794" s="12"/>
      <c r="B794" s="13"/>
      <c r="C794" s="14"/>
      <c r="D794" s="15"/>
      <c r="E794" s="16"/>
      <c r="F794" s="16"/>
      <c r="I794" s="18"/>
      <c r="J794" s="12"/>
      <c r="K794" s="12"/>
      <c r="L794" s="13"/>
      <c r="M794" s="14"/>
      <c r="N794" s="15"/>
    </row>
    <row r="795" spans="1:14" s="17" customFormat="1">
      <c r="A795" s="12"/>
      <c r="B795" s="13"/>
      <c r="C795" s="14"/>
      <c r="D795" s="15"/>
      <c r="E795" s="16"/>
      <c r="F795" s="16"/>
      <c r="I795" s="18"/>
      <c r="J795" s="12"/>
      <c r="K795" s="12"/>
      <c r="L795" s="13"/>
      <c r="M795" s="14"/>
      <c r="N795" s="15"/>
    </row>
    <row r="796" spans="1:14" s="17" customFormat="1">
      <c r="A796" s="12"/>
      <c r="B796" s="13"/>
      <c r="C796" s="14"/>
      <c r="D796" s="15"/>
      <c r="E796" s="16"/>
      <c r="F796" s="16"/>
      <c r="I796" s="18"/>
      <c r="J796" s="12"/>
      <c r="K796" s="12"/>
      <c r="L796" s="13"/>
      <c r="M796" s="14"/>
      <c r="N796" s="15"/>
    </row>
    <row r="797" spans="1:14" s="17" customFormat="1">
      <c r="A797" s="12"/>
      <c r="B797" s="13"/>
      <c r="C797" s="14"/>
      <c r="D797" s="15"/>
      <c r="E797" s="16"/>
      <c r="F797" s="16"/>
      <c r="I797" s="18"/>
      <c r="J797" s="12"/>
      <c r="K797" s="12"/>
      <c r="L797" s="13"/>
      <c r="M797" s="14"/>
      <c r="N797" s="15"/>
    </row>
    <row r="798" spans="1:14" s="17" customFormat="1">
      <c r="A798" s="12"/>
      <c r="B798" s="13"/>
      <c r="C798" s="14"/>
      <c r="D798" s="15"/>
      <c r="E798" s="16"/>
      <c r="F798" s="16"/>
      <c r="I798" s="18"/>
      <c r="J798" s="12"/>
      <c r="K798" s="12"/>
      <c r="L798" s="13"/>
      <c r="M798" s="14"/>
      <c r="N798" s="15"/>
    </row>
    <row r="799" spans="1:14" s="17" customFormat="1">
      <c r="A799" s="12"/>
      <c r="B799" s="13"/>
      <c r="C799" s="14"/>
      <c r="D799" s="15"/>
      <c r="E799" s="16"/>
      <c r="F799" s="16"/>
      <c r="I799" s="18"/>
      <c r="J799" s="12"/>
      <c r="K799" s="12"/>
      <c r="L799" s="13"/>
      <c r="M799" s="14"/>
      <c r="N799" s="15"/>
    </row>
    <row r="800" spans="1:14" s="17" customFormat="1">
      <c r="A800" s="12"/>
      <c r="B800" s="13"/>
      <c r="C800" s="14"/>
      <c r="D800" s="15"/>
      <c r="E800" s="16"/>
      <c r="F800" s="16"/>
      <c r="I800" s="18"/>
      <c r="J800" s="12"/>
      <c r="K800" s="12"/>
      <c r="L800" s="13"/>
      <c r="M800" s="14"/>
      <c r="N800" s="15"/>
    </row>
    <row r="801" spans="1:14" s="17" customFormat="1">
      <c r="A801" s="12"/>
      <c r="B801" s="13"/>
      <c r="C801" s="14"/>
      <c r="D801" s="15"/>
      <c r="E801" s="16"/>
      <c r="F801" s="16"/>
      <c r="I801" s="18"/>
      <c r="J801" s="12"/>
      <c r="K801" s="12"/>
      <c r="L801" s="13"/>
      <c r="M801" s="14"/>
      <c r="N801" s="15"/>
    </row>
    <row r="802" spans="1:14" s="17" customFormat="1">
      <c r="A802" s="12"/>
      <c r="B802" s="13"/>
      <c r="C802" s="14"/>
      <c r="D802" s="15"/>
      <c r="E802" s="16"/>
      <c r="F802" s="16"/>
      <c r="I802" s="18"/>
      <c r="J802" s="12"/>
      <c r="K802" s="12"/>
      <c r="L802" s="13"/>
      <c r="M802" s="14"/>
      <c r="N802" s="15"/>
    </row>
    <row r="803" spans="1:14" s="17" customFormat="1">
      <c r="A803" s="12"/>
      <c r="B803" s="13"/>
      <c r="C803" s="14"/>
      <c r="D803" s="15"/>
      <c r="E803" s="16"/>
      <c r="F803" s="16"/>
      <c r="I803" s="18"/>
      <c r="J803" s="12"/>
      <c r="K803" s="12"/>
      <c r="L803" s="13"/>
      <c r="M803" s="14"/>
      <c r="N803" s="15"/>
    </row>
    <row r="804" spans="1:14" s="17" customFormat="1">
      <c r="A804" s="12"/>
      <c r="B804" s="13"/>
      <c r="C804" s="14"/>
      <c r="D804" s="15"/>
      <c r="E804" s="16"/>
      <c r="F804" s="16"/>
      <c r="I804" s="18"/>
      <c r="J804" s="12"/>
      <c r="K804" s="12"/>
      <c r="L804" s="13"/>
      <c r="M804" s="14"/>
      <c r="N804" s="15"/>
    </row>
    <row r="805" spans="1:14" s="17" customFormat="1">
      <c r="A805" s="12"/>
      <c r="B805" s="13"/>
      <c r="C805" s="14"/>
      <c r="D805" s="15"/>
      <c r="E805" s="16"/>
      <c r="F805" s="16"/>
      <c r="I805" s="18"/>
      <c r="J805" s="12"/>
      <c r="K805" s="12"/>
      <c r="L805" s="13"/>
      <c r="M805" s="14"/>
      <c r="N805" s="15"/>
    </row>
    <row r="806" spans="1:14" s="17" customFormat="1">
      <c r="A806" s="12"/>
      <c r="B806" s="13"/>
      <c r="C806" s="14"/>
      <c r="D806" s="15"/>
      <c r="E806" s="16"/>
      <c r="F806" s="16"/>
      <c r="I806" s="18"/>
      <c r="J806" s="12"/>
      <c r="K806" s="12"/>
      <c r="L806" s="13"/>
      <c r="M806" s="14"/>
      <c r="N806" s="15"/>
    </row>
    <row r="807" spans="1:14" s="17" customFormat="1">
      <c r="A807" s="12"/>
      <c r="B807" s="13"/>
      <c r="C807" s="14"/>
      <c r="D807" s="15"/>
      <c r="E807" s="16"/>
      <c r="F807" s="16"/>
      <c r="I807" s="18"/>
      <c r="J807" s="12"/>
      <c r="K807" s="12"/>
      <c r="L807" s="13"/>
      <c r="M807" s="14"/>
      <c r="N807" s="15"/>
    </row>
    <row r="808" spans="1:14" s="17" customFormat="1">
      <c r="A808" s="12"/>
      <c r="B808" s="13"/>
      <c r="C808" s="14"/>
      <c r="D808" s="15"/>
      <c r="E808" s="16"/>
      <c r="F808" s="16"/>
      <c r="I808" s="18"/>
      <c r="J808" s="12"/>
      <c r="K808" s="12"/>
      <c r="L808" s="13"/>
      <c r="M808" s="14"/>
      <c r="N808" s="15"/>
    </row>
    <row r="809" spans="1:14" s="17" customFormat="1">
      <c r="A809" s="12"/>
      <c r="B809" s="13"/>
      <c r="C809" s="14"/>
      <c r="D809" s="15"/>
      <c r="E809" s="16"/>
      <c r="F809" s="16"/>
      <c r="I809" s="18"/>
      <c r="J809" s="12"/>
      <c r="K809" s="12"/>
      <c r="L809" s="13"/>
      <c r="M809" s="14"/>
      <c r="N809" s="15"/>
    </row>
    <row r="810" spans="1:14" s="17" customFormat="1">
      <c r="A810" s="12"/>
      <c r="B810" s="13"/>
      <c r="C810" s="14"/>
      <c r="D810" s="15"/>
      <c r="E810" s="16"/>
      <c r="F810" s="16"/>
      <c r="I810" s="18"/>
      <c r="J810" s="12"/>
      <c r="K810" s="12"/>
      <c r="L810" s="13"/>
      <c r="M810" s="14"/>
      <c r="N810" s="15"/>
    </row>
    <row r="811" spans="1:14" s="17" customFormat="1">
      <c r="A811" s="12"/>
      <c r="B811" s="13"/>
      <c r="C811" s="14"/>
      <c r="D811" s="15"/>
      <c r="E811" s="16"/>
      <c r="F811" s="16"/>
      <c r="I811" s="18"/>
      <c r="J811" s="12"/>
      <c r="K811" s="12"/>
      <c r="L811" s="13"/>
      <c r="M811" s="14"/>
      <c r="N811" s="15"/>
    </row>
    <row r="812" spans="1:14" s="17" customFormat="1">
      <c r="A812" s="12"/>
      <c r="B812" s="13"/>
      <c r="C812" s="14"/>
      <c r="D812" s="15"/>
      <c r="E812" s="16"/>
      <c r="F812" s="16"/>
      <c r="I812" s="18"/>
      <c r="J812" s="12"/>
      <c r="K812" s="12"/>
      <c r="L812" s="13"/>
      <c r="M812" s="14"/>
      <c r="N812" s="15"/>
    </row>
    <row r="813" spans="1:14" s="17" customFormat="1">
      <c r="A813" s="12"/>
      <c r="B813" s="13"/>
      <c r="C813" s="14"/>
      <c r="D813" s="15"/>
      <c r="E813" s="16"/>
      <c r="F813" s="16"/>
      <c r="I813" s="18"/>
      <c r="J813" s="12"/>
      <c r="K813" s="12"/>
      <c r="L813" s="13"/>
      <c r="M813" s="14"/>
      <c r="N813" s="15"/>
    </row>
    <row r="814" spans="1:14" s="17" customFormat="1">
      <c r="A814" s="12"/>
      <c r="B814" s="13"/>
      <c r="C814" s="14"/>
      <c r="D814" s="15"/>
      <c r="E814" s="16"/>
      <c r="F814" s="16"/>
      <c r="I814" s="18"/>
      <c r="J814" s="12"/>
      <c r="K814" s="12"/>
      <c r="L814" s="13"/>
      <c r="M814" s="14"/>
      <c r="N814" s="15"/>
    </row>
    <row r="815" spans="1:14" s="17" customFormat="1">
      <c r="A815" s="12"/>
      <c r="B815" s="13"/>
      <c r="C815" s="14"/>
      <c r="D815" s="15"/>
      <c r="E815" s="16"/>
      <c r="F815" s="16"/>
      <c r="I815" s="18"/>
      <c r="J815" s="12"/>
      <c r="K815" s="12"/>
      <c r="L815" s="13"/>
      <c r="M815" s="14"/>
      <c r="N815" s="15"/>
    </row>
    <row r="816" spans="1:14" s="17" customFormat="1">
      <c r="A816" s="12"/>
      <c r="B816" s="13"/>
      <c r="C816" s="14"/>
      <c r="D816" s="15"/>
      <c r="E816" s="16"/>
      <c r="F816" s="16"/>
      <c r="I816" s="18"/>
      <c r="J816" s="12"/>
      <c r="K816" s="12"/>
      <c r="L816" s="13"/>
      <c r="M816" s="14"/>
      <c r="N816" s="15"/>
    </row>
    <row r="817" spans="1:14" s="17" customFormat="1">
      <c r="A817" s="12"/>
      <c r="B817" s="13"/>
      <c r="C817" s="14"/>
      <c r="D817" s="15"/>
      <c r="E817" s="16"/>
      <c r="F817" s="16"/>
      <c r="I817" s="18"/>
      <c r="J817" s="12"/>
      <c r="K817" s="12"/>
      <c r="L817" s="13"/>
      <c r="M817" s="14"/>
      <c r="N817" s="15"/>
    </row>
    <row r="818" spans="1:14" s="17" customFormat="1">
      <c r="A818" s="12"/>
      <c r="B818" s="13"/>
      <c r="C818" s="14"/>
      <c r="D818" s="15"/>
      <c r="E818" s="16"/>
      <c r="F818" s="16"/>
      <c r="I818" s="18"/>
      <c r="J818" s="12"/>
      <c r="K818" s="12"/>
      <c r="L818" s="13"/>
      <c r="M818" s="14"/>
      <c r="N818" s="15"/>
    </row>
    <row r="819" spans="1:14" s="17" customFormat="1">
      <c r="A819" s="12"/>
      <c r="B819" s="13"/>
      <c r="C819" s="14"/>
      <c r="D819" s="15"/>
      <c r="E819" s="16"/>
      <c r="F819" s="16"/>
      <c r="I819" s="18"/>
      <c r="J819" s="12"/>
      <c r="K819" s="12"/>
      <c r="L819" s="13"/>
      <c r="M819" s="14"/>
      <c r="N819" s="15"/>
    </row>
    <row r="820" spans="1:14" s="17" customFormat="1">
      <c r="A820" s="12"/>
      <c r="B820" s="13"/>
      <c r="C820" s="14"/>
      <c r="D820" s="15"/>
      <c r="E820" s="16"/>
      <c r="F820" s="16"/>
      <c r="I820" s="18"/>
      <c r="J820" s="12"/>
      <c r="K820" s="12"/>
      <c r="L820" s="13"/>
      <c r="M820" s="14"/>
      <c r="N820" s="15"/>
    </row>
    <row r="821" spans="1:14" s="17" customFormat="1">
      <c r="A821" s="12"/>
      <c r="B821" s="13"/>
      <c r="C821" s="14"/>
      <c r="D821" s="15"/>
      <c r="E821" s="16"/>
      <c r="F821" s="16"/>
      <c r="I821" s="18"/>
      <c r="J821" s="12"/>
      <c r="K821" s="12"/>
      <c r="L821" s="13"/>
      <c r="M821" s="14"/>
      <c r="N821" s="15"/>
    </row>
    <row r="822" spans="1:14" s="17" customFormat="1">
      <c r="A822" s="12"/>
      <c r="B822" s="13"/>
      <c r="C822" s="14"/>
      <c r="D822" s="15"/>
      <c r="E822" s="16"/>
      <c r="F822" s="16"/>
      <c r="I822" s="18"/>
      <c r="J822" s="12"/>
      <c r="K822" s="12"/>
      <c r="L822" s="13"/>
      <c r="M822" s="14"/>
      <c r="N822" s="15"/>
    </row>
    <row r="823" spans="1:14" s="17" customFormat="1">
      <c r="A823" s="12"/>
      <c r="B823" s="13"/>
      <c r="C823" s="14"/>
      <c r="D823" s="15"/>
      <c r="E823" s="16"/>
      <c r="F823" s="16"/>
      <c r="I823" s="18"/>
      <c r="J823" s="12"/>
      <c r="K823" s="12"/>
      <c r="L823" s="13"/>
      <c r="M823" s="14"/>
      <c r="N823" s="15"/>
    </row>
    <row r="824" spans="1:14" s="17" customFormat="1">
      <c r="A824" s="12"/>
      <c r="B824" s="13"/>
      <c r="C824" s="14"/>
      <c r="D824" s="15"/>
      <c r="E824" s="16"/>
      <c r="F824" s="16"/>
      <c r="I824" s="18"/>
      <c r="J824" s="12"/>
      <c r="K824" s="12"/>
      <c r="L824" s="13"/>
      <c r="M824" s="14"/>
      <c r="N824" s="15"/>
    </row>
    <row r="825" spans="1:14" s="17" customFormat="1">
      <c r="A825" s="12"/>
      <c r="B825" s="13"/>
      <c r="C825" s="14"/>
      <c r="D825" s="15"/>
      <c r="E825" s="16"/>
      <c r="F825" s="16"/>
      <c r="I825" s="18"/>
      <c r="J825" s="12"/>
      <c r="K825" s="12"/>
      <c r="L825" s="13"/>
      <c r="M825" s="14"/>
      <c r="N825" s="15"/>
    </row>
    <row r="826" spans="1:14" s="17" customFormat="1">
      <c r="A826" s="12"/>
      <c r="B826" s="13"/>
      <c r="C826" s="14"/>
      <c r="D826" s="15"/>
      <c r="E826" s="16"/>
      <c r="F826" s="16"/>
      <c r="I826" s="18"/>
      <c r="J826" s="12"/>
      <c r="K826" s="12"/>
      <c r="L826" s="13"/>
      <c r="M826" s="14"/>
      <c r="N826" s="15"/>
    </row>
    <row r="827" spans="1:14" s="17" customFormat="1">
      <c r="A827" s="12"/>
      <c r="B827" s="13"/>
      <c r="C827" s="14"/>
      <c r="D827" s="15"/>
      <c r="E827" s="16"/>
      <c r="F827" s="16"/>
      <c r="I827" s="18"/>
      <c r="J827" s="12"/>
      <c r="K827" s="12"/>
      <c r="L827" s="13"/>
      <c r="M827" s="14"/>
      <c r="N827" s="15"/>
    </row>
    <row r="828" spans="1:14" s="17" customFormat="1">
      <c r="A828" s="12"/>
      <c r="B828" s="13"/>
      <c r="C828" s="14"/>
      <c r="D828" s="15"/>
      <c r="E828" s="16"/>
      <c r="F828" s="16"/>
      <c r="I828" s="18"/>
      <c r="J828" s="12"/>
      <c r="K828" s="12"/>
      <c r="L828" s="13"/>
      <c r="M828" s="14"/>
      <c r="N828" s="15"/>
    </row>
    <row r="829" spans="1:14" s="17" customFormat="1">
      <c r="A829" s="12"/>
      <c r="B829" s="13"/>
      <c r="C829" s="14"/>
      <c r="D829" s="15"/>
      <c r="E829" s="16"/>
      <c r="F829" s="16"/>
      <c r="I829" s="18"/>
      <c r="J829" s="12"/>
      <c r="K829" s="12"/>
      <c r="L829" s="13"/>
      <c r="M829" s="14"/>
      <c r="N829" s="15"/>
    </row>
    <row r="830" spans="1:14" s="17" customFormat="1">
      <c r="A830" s="12"/>
      <c r="B830" s="13"/>
      <c r="C830" s="14"/>
      <c r="D830" s="15"/>
      <c r="E830" s="16"/>
      <c r="F830" s="16"/>
      <c r="I830" s="18"/>
      <c r="J830" s="12"/>
      <c r="K830" s="12"/>
      <c r="L830" s="13"/>
      <c r="M830" s="14"/>
      <c r="N830" s="15"/>
    </row>
    <row r="831" spans="1:14" s="17" customFormat="1">
      <c r="A831" s="12"/>
      <c r="B831" s="13"/>
      <c r="C831" s="14"/>
      <c r="D831" s="15"/>
      <c r="E831" s="16"/>
      <c r="F831" s="16"/>
      <c r="I831" s="18"/>
      <c r="J831" s="12"/>
      <c r="K831" s="12"/>
      <c r="L831" s="13"/>
      <c r="M831" s="14"/>
      <c r="N831" s="15"/>
    </row>
    <row r="832" spans="1:14" s="17" customFormat="1">
      <c r="A832" s="12"/>
      <c r="B832" s="13"/>
      <c r="C832" s="14"/>
      <c r="D832" s="15"/>
      <c r="E832" s="16"/>
      <c r="F832" s="16"/>
      <c r="I832" s="18"/>
      <c r="J832" s="12"/>
      <c r="K832" s="12"/>
      <c r="L832" s="13"/>
      <c r="M832" s="14"/>
      <c r="N832" s="15"/>
    </row>
    <row r="833" spans="1:14" s="17" customFormat="1">
      <c r="A833" s="12"/>
      <c r="B833" s="13"/>
      <c r="C833" s="14"/>
      <c r="D833" s="15"/>
      <c r="E833" s="16"/>
      <c r="F833" s="16"/>
      <c r="I833" s="18"/>
      <c r="J833" s="12"/>
      <c r="K833" s="12"/>
      <c r="L833" s="13"/>
      <c r="M833" s="14"/>
      <c r="N833" s="15"/>
    </row>
    <row r="834" spans="1:14" s="17" customFormat="1">
      <c r="A834" s="12"/>
      <c r="B834" s="13"/>
      <c r="C834" s="14"/>
      <c r="D834" s="15"/>
      <c r="E834" s="16"/>
      <c r="F834" s="16"/>
      <c r="I834" s="18"/>
      <c r="J834" s="12"/>
      <c r="K834" s="12"/>
      <c r="L834" s="13"/>
      <c r="M834" s="14"/>
      <c r="N834" s="15"/>
    </row>
    <row r="835" spans="1:14" s="17" customFormat="1">
      <c r="A835" s="12"/>
      <c r="B835" s="13"/>
      <c r="C835" s="14"/>
      <c r="D835" s="15"/>
      <c r="E835" s="16"/>
      <c r="F835" s="16"/>
      <c r="I835" s="18"/>
      <c r="J835" s="12"/>
      <c r="K835" s="12"/>
      <c r="L835" s="13"/>
      <c r="M835" s="14"/>
      <c r="N835" s="15"/>
    </row>
    <row r="836" spans="1:14" s="17" customFormat="1">
      <c r="A836" s="12"/>
      <c r="B836" s="13"/>
      <c r="C836" s="14"/>
      <c r="D836" s="15"/>
      <c r="E836" s="16"/>
      <c r="F836" s="16"/>
      <c r="I836" s="18"/>
      <c r="J836" s="12"/>
      <c r="K836" s="12"/>
      <c r="L836" s="13"/>
      <c r="M836" s="14"/>
      <c r="N836" s="15"/>
    </row>
    <row r="837" spans="1:14" s="17" customFormat="1">
      <c r="A837" s="12"/>
      <c r="B837" s="13"/>
      <c r="C837" s="14"/>
      <c r="D837" s="15"/>
      <c r="E837" s="16"/>
      <c r="F837" s="16"/>
      <c r="I837" s="18"/>
      <c r="J837" s="12"/>
      <c r="K837" s="12"/>
      <c r="L837" s="13"/>
      <c r="M837" s="14"/>
      <c r="N837" s="15"/>
    </row>
    <row r="838" spans="1:14" s="17" customFormat="1">
      <c r="A838" s="12"/>
      <c r="B838" s="13"/>
      <c r="C838" s="14"/>
      <c r="D838" s="15"/>
      <c r="E838" s="16"/>
      <c r="F838" s="16"/>
      <c r="I838" s="18"/>
      <c r="J838" s="12"/>
      <c r="K838" s="12"/>
      <c r="L838" s="13"/>
      <c r="M838" s="14"/>
      <c r="N838" s="15"/>
    </row>
    <row r="839" spans="1:14" s="17" customFormat="1">
      <c r="A839" s="12"/>
      <c r="B839" s="13"/>
      <c r="C839" s="14"/>
      <c r="D839" s="15"/>
      <c r="E839" s="16"/>
      <c r="F839" s="16"/>
      <c r="I839" s="18"/>
      <c r="J839" s="12"/>
      <c r="K839" s="12"/>
      <c r="L839" s="13"/>
      <c r="M839" s="14"/>
      <c r="N839" s="15"/>
    </row>
    <row r="840" spans="1:14" s="17" customFormat="1">
      <c r="A840" s="12"/>
      <c r="B840" s="13"/>
      <c r="C840" s="14"/>
      <c r="D840" s="15"/>
      <c r="E840" s="16"/>
      <c r="F840" s="16"/>
      <c r="I840" s="18"/>
      <c r="J840" s="12"/>
      <c r="K840" s="12"/>
      <c r="L840" s="13"/>
      <c r="M840" s="14"/>
      <c r="N840" s="15"/>
    </row>
    <row r="841" spans="1:14" s="17" customFormat="1">
      <c r="A841" s="12"/>
      <c r="B841" s="13"/>
      <c r="C841" s="14"/>
      <c r="D841" s="15"/>
      <c r="E841" s="16"/>
      <c r="F841" s="16"/>
      <c r="I841" s="18"/>
      <c r="J841" s="12"/>
      <c r="K841" s="12"/>
      <c r="L841" s="13"/>
      <c r="M841" s="14"/>
      <c r="N841" s="15"/>
    </row>
    <row r="842" spans="1:14" s="17" customFormat="1">
      <c r="A842" s="12"/>
      <c r="B842" s="13"/>
      <c r="C842" s="14"/>
      <c r="D842" s="15"/>
      <c r="E842" s="16"/>
      <c r="F842" s="16"/>
      <c r="I842" s="18"/>
      <c r="J842" s="12"/>
      <c r="K842" s="12"/>
      <c r="L842" s="13"/>
      <c r="M842" s="14"/>
      <c r="N842" s="15"/>
    </row>
    <row r="843" spans="1:14" s="17" customFormat="1">
      <c r="A843" s="12"/>
      <c r="B843" s="13"/>
      <c r="C843" s="14"/>
      <c r="D843" s="15"/>
      <c r="E843" s="16"/>
      <c r="F843" s="16"/>
      <c r="I843" s="18"/>
      <c r="J843" s="12"/>
      <c r="K843" s="12"/>
      <c r="L843" s="13"/>
      <c r="M843" s="14"/>
      <c r="N843" s="15"/>
    </row>
    <row r="844" spans="1:14" s="17" customFormat="1">
      <c r="A844" s="12"/>
      <c r="B844" s="13"/>
      <c r="C844" s="14"/>
      <c r="D844" s="15"/>
      <c r="E844" s="16"/>
      <c r="F844" s="16"/>
      <c r="I844" s="18"/>
      <c r="J844" s="12"/>
      <c r="K844" s="12"/>
      <c r="L844" s="13"/>
      <c r="M844" s="14"/>
      <c r="N844" s="15"/>
    </row>
    <row r="845" spans="1:14" s="17" customFormat="1">
      <c r="A845" s="12"/>
      <c r="B845" s="13"/>
      <c r="C845" s="14"/>
      <c r="D845" s="15"/>
      <c r="E845" s="16"/>
      <c r="F845" s="16"/>
      <c r="I845" s="18"/>
      <c r="J845" s="12"/>
      <c r="K845" s="12"/>
      <c r="L845" s="13"/>
      <c r="M845" s="14"/>
      <c r="N845" s="15"/>
    </row>
    <row r="846" spans="1:14" s="17" customFormat="1">
      <c r="A846" s="12"/>
      <c r="B846" s="13"/>
      <c r="C846" s="14"/>
      <c r="D846" s="15"/>
      <c r="E846" s="16"/>
      <c r="F846" s="16"/>
      <c r="I846" s="18"/>
      <c r="J846" s="12"/>
      <c r="K846" s="12"/>
      <c r="L846" s="13"/>
      <c r="M846" s="14"/>
      <c r="N846" s="15"/>
    </row>
    <row r="847" spans="1:14" s="17" customFormat="1">
      <c r="A847" s="12"/>
      <c r="B847" s="13"/>
      <c r="C847" s="14"/>
      <c r="D847" s="15"/>
      <c r="E847" s="16"/>
      <c r="F847" s="16"/>
      <c r="I847" s="18"/>
      <c r="J847" s="12"/>
      <c r="K847" s="12"/>
      <c r="L847" s="13"/>
      <c r="M847" s="14"/>
      <c r="N847" s="15"/>
    </row>
    <row r="848" spans="1:14" s="17" customFormat="1">
      <c r="A848" s="12"/>
      <c r="B848" s="13"/>
      <c r="C848" s="14"/>
      <c r="D848" s="15"/>
      <c r="E848" s="16"/>
      <c r="F848" s="16"/>
      <c r="I848" s="18"/>
      <c r="J848" s="12"/>
      <c r="K848" s="12"/>
      <c r="L848" s="13"/>
      <c r="M848" s="14"/>
      <c r="N848" s="15"/>
    </row>
    <row r="849" spans="1:14" s="17" customFormat="1">
      <c r="A849" s="12"/>
      <c r="B849" s="13"/>
      <c r="C849" s="14"/>
      <c r="D849" s="15"/>
      <c r="E849" s="16"/>
      <c r="F849" s="16"/>
      <c r="I849" s="18"/>
      <c r="J849" s="12"/>
      <c r="K849" s="12"/>
      <c r="L849" s="13"/>
      <c r="M849" s="14"/>
      <c r="N849" s="15"/>
    </row>
    <row r="850" spans="1:14" s="17" customFormat="1">
      <c r="A850" s="12"/>
      <c r="B850" s="13"/>
      <c r="C850" s="14"/>
      <c r="D850" s="15"/>
      <c r="E850" s="16"/>
      <c r="F850" s="16"/>
      <c r="I850" s="18"/>
      <c r="J850" s="12"/>
      <c r="K850" s="12"/>
      <c r="L850" s="13"/>
      <c r="M850" s="14"/>
      <c r="N850" s="15"/>
    </row>
    <row r="851" spans="1:14" s="17" customFormat="1">
      <c r="A851" s="12"/>
      <c r="B851" s="13"/>
      <c r="C851" s="14"/>
      <c r="D851" s="15"/>
      <c r="E851" s="16"/>
      <c r="F851" s="16"/>
      <c r="I851" s="18"/>
      <c r="J851" s="12"/>
      <c r="K851" s="12"/>
      <c r="L851" s="13"/>
      <c r="M851" s="14"/>
      <c r="N851" s="15"/>
    </row>
    <row r="852" spans="1:14" s="17" customFormat="1">
      <c r="A852" s="12"/>
      <c r="B852" s="13"/>
      <c r="C852" s="14"/>
      <c r="D852" s="15"/>
      <c r="E852" s="16"/>
      <c r="F852" s="16"/>
      <c r="I852" s="18"/>
      <c r="J852" s="12"/>
      <c r="K852" s="12"/>
      <c r="L852" s="13"/>
      <c r="M852" s="14"/>
      <c r="N852" s="15"/>
    </row>
    <row r="853" spans="1:14" s="17" customFormat="1">
      <c r="A853" s="12"/>
      <c r="B853" s="13"/>
      <c r="C853" s="14"/>
      <c r="D853" s="15"/>
      <c r="E853" s="16"/>
      <c r="F853" s="16"/>
      <c r="I853" s="18"/>
      <c r="J853" s="12"/>
      <c r="K853" s="12"/>
      <c r="L853" s="13"/>
      <c r="M853" s="14"/>
      <c r="N853" s="15"/>
    </row>
    <row r="854" spans="1:14" s="17" customFormat="1">
      <c r="A854" s="12"/>
      <c r="B854" s="13"/>
      <c r="C854" s="14"/>
      <c r="D854" s="15"/>
      <c r="E854" s="16"/>
      <c r="F854" s="16"/>
      <c r="I854" s="18"/>
      <c r="J854" s="12"/>
      <c r="K854" s="12"/>
      <c r="L854" s="13"/>
      <c r="M854" s="14"/>
      <c r="N854" s="15"/>
    </row>
    <row r="855" spans="1:14" s="17" customFormat="1">
      <c r="A855" s="12"/>
      <c r="B855" s="13"/>
      <c r="C855" s="14"/>
      <c r="D855" s="15"/>
      <c r="E855" s="16"/>
      <c r="F855" s="16"/>
      <c r="I855" s="18"/>
      <c r="J855" s="12"/>
      <c r="K855" s="12"/>
      <c r="L855" s="13"/>
      <c r="M855" s="14"/>
      <c r="N855" s="15"/>
    </row>
    <row r="856" spans="1:14" s="17" customFormat="1">
      <c r="A856" s="12"/>
      <c r="B856" s="13"/>
      <c r="C856" s="14"/>
      <c r="D856" s="15"/>
      <c r="E856" s="16"/>
      <c r="F856" s="16"/>
      <c r="I856" s="18"/>
      <c r="J856" s="12"/>
      <c r="K856" s="12"/>
      <c r="L856" s="13"/>
      <c r="M856" s="14"/>
      <c r="N856" s="15"/>
    </row>
    <row r="857" spans="1:14" s="17" customFormat="1">
      <c r="A857" s="12"/>
      <c r="B857" s="13"/>
      <c r="C857" s="14"/>
      <c r="D857" s="15"/>
      <c r="E857" s="16"/>
      <c r="F857" s="16"/>
      <c r="I857" s="18"/>
      <c r="J857" s="12"/>
      <c r="K857" s="12"/>
      <c r="L857" s="13"/>
      <c r="M857" s="14"/>
      <c r="N857" s="15"/>
    </row>
    <row r="858" spans="1:14" s="17" customFormat="1">
      <c r="A858" s="12"/>
      <c r="B858" s="13"/>
      <c r="C858" s="14"/>
      <c r="D858" s="15"/>
      <c r="E858" s="16"/>
      <c r="F858" s="16"/>
      <c r="I858" s="18"/>
      <c r="J858" s="12"/>
      <c r="K858" s="12"/>
      <c r="L858" s="13"/>
      <c r="M858" s="14"/>
      <c r="N858" s="15"/>
    </row>
    <row r="859" spans="1:14" s="17" customFormat="1">
      <c r="A859" s="12"/>
      <c r="B859" s="13"/>
      <c r="C859" s="14"/>
      <c r="D859" s="15"/>
      <c r="E859" s="16"/>
      <c r="F859" s="16"/>
      <c r="I859" s="18"/>
      <c r="J859" s="12"/>
      <c r="K859" s="12"/>
      <c r="L859" s="13"/>
      <c r="M859" s="14"/>
      <c r="N859" s="15"/>
    </row>
    <row r="860" spans="1:14" s="17" customFormat="1">
      <c r="A860" s="12"/>
      <c r="B860" s="13"/>
      <c r="C860" s="14"/>
      <c r="D860" s="15"/>
      <c r="E860" s="16"/>
      <c r="F860" s="16"/>
      <c r="I860" s="18"/>
      <c r="J860" s="12"/>
      <c r="K860" s="12"/>
      <c r="L860" s="13"/>
      <c r="M860" s="14"/>
      <c r="N860" s="15"/>
    </row>
    <row r="861" spans="1:14" s="17" customFormat="1">
      <c r="A861" s="12"/>
      <c r="B861" s="13"/>
      <c r="C861" s="14"/>
      <c r="D861" s="15"/>
      <c r="E861" s="16"/>
      <c r="F861" s="16"/>
      <c r="I861" s="18"/>
      <c r="J861" s="12"/>
      <c r="K861" s="12"/>
      <c r="L861" s="13"/>
      <c r="M861" s="14"/>
      <c r="N861" s="15"/>
    </row>
    <row r="862" spans="1:14" s="17" customFormat="1">
      <c r="A862" s="12"/>
      <c r="B862" s="13"/>
      <c r="C862" s="14"/>
      <c r="D862" s="15"/>
      <c r="E862" s="16"/>
      <c r="F862" s="16"/>
      <c r="I862" s="18"/>
      <c r="J862" s="12"/>
      <c r="K862" s="12"/>
      <c r="L862" s="13"/>
      <c r="M862" s="14"/>
      <c r="N862" s="15"/>
    </row>
    <row r="863" spans="1:14" s="17" customFormat="1">
      <c r="A863" s="12"/>
      <c r="B863" s="13"/>
      <c r="C863" s="14"/>
      <c r="D863" s="15"/>
      <c r="E863" s="16"/>
      <c r="F863" s="16"/>
      <c r="I863" s="18"/>
      <c r="J863" s="12"/>
      <c r="K863" s="12"/>
      <c r="L863" s="13"/>
      <c r="M863" s="14"/>
      <c r="N863" s="15"/>
    </row>
    <row r="864" spans="1:14" s="17" customFormat="1">
      <c r="A864" s="12"/>
      <c r="B864" s="13"/>
      <c r="C864" s="14"/>
      <c r="D864" s="15"/>
      <c r="E864" s="16"/>
      <c r="F864" s="16"/>
      <c r="I864" s="18"/>
      <c r="J864" s="12"/>
      <c r="K864" s="12"/>
      <c r="L864" s="13"/>
      <c r="M864" s="14"/>
      <c r="N864" s="15"/>
    </row>
    <row r="865" spans="1:14" s="17" customFormat="1">
      <c r="A865" s="12"/>
      <c r="B865" s="13"/>
      <c r="C865" s="14"/>
      <c r="D865" s="15"/>
      <c r="E865" s="16"/>
      <c r="F865" s="16"/>
      <c r="I865" s="18"/>
      <c r="J865" s="12"/>
      <c r="K865" s="12"/>
      <c r="L865" s="13"/>
      <c r="M865" s="14"/>
      <c r="N865" s="15"/>
    </row>
    <row r="866" spans="1:14" s="17" customFormat="1">
      <c r="A866" s="12"/>
      <c r="B866" s="13"/>
      <c r="C866" s="14"/>
      <c r="D866" s="15"/>
      <c r="E866" s="16"/>
      <c r="F866" s="16"/>
      <c r="I866" s="18"/>
      <c r="J866" s="12"/>
      <c r="K866" s="12"/>
      <c r="L866" s="13"/>
      <c r="M866" s="14"/>
      <c r="N866" s="15"/>
    </row>
    <row r="867" spans="1:14" s="17" customFormat="1">
      <c r="A867" s="12"/>
      <c r="B867" s="13"/>
      <c r="C867" s="14"/>
      <c r="D867" s="15"/>
      <c r="E867" s="16"/>
      <c r="F867" s="16"/>
      <c r="I867" s="18"/>
      <c r="J867" s="12"/>
      <c r="K867" s="12"/>
      <c r="L867" s="13"/>
      <c r="M867" s="14"/>
      <c r="N867" s="15"/>
    </row>
    <row r="868" spans="1:14" s="17" customFormat="1">
      <c r="A868" s="12"/>
      <c r="B868" s="13"/>
      <c r="C868" s="14"/>
      <c r="D868" s="15"/>
      <c r="E868" s="16"/>
      <c r="F868" s="16"/>
      <c r="I868" s="18"/>
      <c r="J868" s="12"/>
      <c r="K868" s="12"/>
      <c r="L868" s="13"/>
      <c r="M868" s="14"/>
      <c r="N868" s="15"/>
    </row>
    <row r="869" spans="1:14" s="17" customFormat="1">
      <c r="A869" s="12"/>
      <c r="B869" s="13"/>
      <c r="C869" s="14"/>
      <c r="D869" s="15"/>
      <c r="E869" s="16"/>
      <c r="F869" s="16"/>
      <c r="I869" s="18"/>
      <c r="J869" s="12"/>
      <c r="K869" s="12"/>
      <c r="L869" s="13"/>
      <c r="M869" s="14"/>
      <c r="N869" s="15"/>
    </row>
    <row r="870" spans="1:14" s="17" customFormat="1">
      <c r="A870" s="12"/>
      <c r="B870" s="13"/>
      <c r="C870" s="14"/>
      <c r="D870" s="15"/>
      <c r="E870" s="16"/>
      <c r="F870" s="16"/>
      <c r="I870" s="18"/>
      <c r="J870" s="12"/>
      <c r="K870" s="12"/>
      <c r="L870" s="13"/>
      <c r="M870" s="14"/>
      <c r="N870" s="15"/>
    </row>
    <row r="871" spans="1:14" s="17" customFormat="1">
      <c r="A871" s="12"/>
      <c r="B871" s="13"/>
      <c r="C871" s="14"/>
      <c r="D871" s="15"/>
      <c r="E871" s="16"/>
      <c r="F871" s="16"/>
      <c r="I871" s="18"/>
      <c r="J871" s="12"/>
      <c r="K871" s="12"/>
      <c r="L871" s="13"/>
      <c r="M871" s="14"/>
      <c r="N871" s="15"/>
    </row>
    <row r="872" spans="1:14" s="17" customFormat="1">
      <c r="A872" s="12"/>
      <c r="B872" s="13"/>
      <c r="C872" s="14"/>
      <c r="D872" s="15"/>
      <c r="E872" s="16"/>
      <c r="F872" s="16"/>
      <c r="I872" s="18"/>
      <c r="J872" s="12"/>
      <c r="K872" s="12"/>
      <c r="L872" s="13"/>
      <c r="M872" s="14"/>
      <c r="N872" s="15"/>
    </row>
    <row r="873" spans="1:14" s="17" customFormat="1">
      <c r="A873" s="12"/>
      <c r="B873" s="13"/>
      <c r="C873" s="14"/>
      <c r="D873" s="15"/>
      <c r="E873" s="16"/>
      <c r="F873" s="16"/>
      <c r="I873" s="18"/>
      <c r="J873" s="12"/>
      <c r="K873" s="12"/>
      <c r="L873" s="13"/>
      <c r="M873" s="14"/>
      <c r="N873" s="15"/>
    </row>
    <row r="874" spans="1:14" s="17" customFormat="1">
      <c r="A874" s="12"/>
      <c r="B874" s="13"/>
      <c r="C874" s="14"/>
      <c r="D874" s="15"/>
      <c r="E874" s="16"/>
      <c r="F874" s="16"/>
      <c r="I874" s="18"/>
      <c r="J874" s="12"/>
      <c r="K874" s="12"/>
      <c r="L874" s="13"/>
      <c r="M874" s="14"/>
      <c r="N874" s="15"/>
    </row>
    <row r="875" spans="1:14" s="17" customFormat="1">
      <c r="A875" s="12"/>
      <c r="B875" s="13"/>
      <c r="C875" s="14"/>
      <c r="D875" s="15"/>
      <c r="E875" s="16"/>
      <c r="F875" s="16"/>
      <c r="I875" s="18"/>
      <c r="J875" s="12"/>
      <c r="K875" s="12"/>
      <c r="L875" s="13"/>
      <c r="M875" s="14"/>
      <c r="N875" s="15"/>
    </row>
    <row r="876" spans="1:14" s="17" customFormat="1">
      <c r="A876" s="12"/>
      <c r="B876" s="13"/>
      <c r="C876" s="14"/>
      <c r="D876" s="15"/>
      <c r="E876" s="16"/>
      <c r="F876" s="16"/>
      <c r="I876" s="18"/>
      <c r="J876" s="12"/>
      <c r="K876" s="12"/>
      <c r="L876" s="13"/>
      <c r="M876" s="14"/>
      <c r="N876" s="15"/>
    </row>
    <row r="877" spans="1:14" s="17" customFormat="1">
      <c r="A877" s="12"/>
      <c r="B877" s="13"/>
      <c r="C877" s="14"/>
      <c r="D877" s="15"/>
      <c r="E877" s="16"/>
      <c r="F877" s="16"/>
      <c r="I877" s="18"/>
      <c r="J877" s="12"/>
      <c r="K877" s="12"/>
      <c r="L877" s="13"/>
      <c r="M877" s="14"/>
      <c r="N877" s="15"/>
    </row>
    <row r="878" spans="1:14" s="17" customFormat="1">
      <c r="A878" s="12"/>
      <c r="B878" s="13"/>
      <c r="C878" s="14"/>
      <c r="D878" s="15"/>
      <c r="E878" s="16"/>
      <c r="F878" s="16"/>
      <c r="I878" s="18"/>
      <c r="J878" s="12"/>
      <c r="K878" s="12"/>
      <c r="L878" s="13"/>
      <c r="M878" s="14"/>
      <c r="N878" s="15"/>
    </row>
    <row r="879" spans="1:14" s="17" customFormat="1">
      <c r="A879" s="12"/>
      <c r="B879" s="13"/>
      <c r="C879" s="14"/>
      <c r="D879" s="15"/>
      <c r="E879" s="16"/>
      <c r="F879" s="16"/>
      <c r="I879" s="18"/>
      <c r="J879" s="12"/>
      <c r="K879" s="12"/>
      <c r="L879" s="13"/>
      <c r="M879" s="14"/>
      <c r="N879" s="15"/>
    </row>
    <row r="880" spans="1:14" s="17" customFormat="1">
      <c r="A880" s="12"/>
      <c r="B880" s="13"/>
      <c r="C880" s="14"/>
      <c r="D880" s="15"/>
      <c r="E880" s="16"/>
      <c r="F880" s="16"/>
      <c r="I880" s="18"/>
      <c r="J880" s="12"/>
      <c r="K880" s="12"/>
      <c r="L880" s="13"/>
      <c r="M880" s="14"/>
      <c r="N880" s="15"/>
    </row>
    <row r="881" spans="1:14" s="17" customFormat="1">
      <c r="A881" s="12"/>
      <c r="B881" s="13"/>
      <c r="C881" s="14"/>
      <c r="D881" s="15"/>
      <c r="E881" s="16"/>
      <c r="F881" s="16"/>
      <c r="I881" s="18"/>
      <c r="J881" s="12"/>
      <c r="K881" s="12"/>
      <c r="L881" s="13"/>
      <c r="M881" s="14"/>
      <c r="N881" s="15"/>
    </row>
    <row r="882" spans="1:14" s="17" customFormat="1">
      <c r="A882" s="12"/>
      <c r="B882" s="13"/>
      <c r="C882" s="14"/>
      <c r="D882" s="15"/>
      <c r="E882" s="16"/>
      <c r="F882" s="16"/>
      <c r="I882" s="18"/>
      <c r="J882" s="12"/>
      <c r="K882" s="12"/>
      <c r="L882" s="13"/>
      <c r="M882" s="14"/>
      <c r="N882" s="15"/>
    </row>
    <row r="883" spans="1:14" s="17" customFormat="1">
      <c r="A883" s="12"/>
      <c r="B883" s="13"/>
      <c r="C883" s="14"/>
      <c r="D883" s="15"/>
      <c r="E883" s="16"/>
      <c r="F883" s="16"/>
      <c r="I883" s="18"/>
      <c r="J883" s="12"/>
      <c r="K883" s="12"/>
      <c r="L883" s="13"/>
      <c r="M883" s="14"/>
      <c r="N883" s="15"/>
    </row>
    <row r="884" spans="1:14" s="17" customFormat="1">
      <c r="A884" s="12"/>
      <c r="B884" s="13"/>
      <c r="C884" s="14"/>
      <c r="D884" s="15"/>
      <c r="E884" s="16"/>
      <c r="F884" s="16"/>
      <c r="I884" s="18"/>
      <c r="J884" s="12"/>
      <c r="K884" s="12"/>
      <c r="L884" s="13"/>
      <c r="M884" s="14"/>
      <c r="N884" s="15"/>
    </row>
    <row r="885" spans="1:14" s="17" customFormat="1">
      <c r="A885" s="12"/>
      <c r="B885" s="13"/>
      <c r="C885" s="14"/>
      <c r="D885" s="15"/>
      <c r="E885" s="16"/>
      <c r="F885" s="16"/>
      <c r="I885" s="18"/>
      <c r="J885" s="12"/>
      <c r="K885" s="12"/>
      <c r="L885" s="13"/>
      <c r="M885" s="14"/>
      <c r="N885" s="15"/>
    </row>
    <row r="886" spans="1:14" s="17" customFormat="1">
      <c r="A886" s="12"/>
      <c r="B886" s="13"/>
      <c r="C886" s="14"/>
      <c r="D886" s="15"/>
      <c r="E886" s="16"/>
      <c r="F886" s="16"/>
      <c r="I886" s="18"/>
      <c r="J886" s="12"/>
      <c r="K886" s="12"/>
      <c r="L886" s="13"/>
      <c r="M886" s="14"/>
      <c r="N886" s="15"/>
    </row>
    <row r="887" spans="1:14" s="17" customFormat="1">
      <c r="A887" s="12"/>
      <c r="B887" s="13"/>
      <c r="C887" s="14"/>
      <c r="D887" s="15"/>
      <c r="E887" s="16"/>
      <c r="F887" s="16"/>
      <c r="I887" s="18"/>
      <c r="J887" s="12"/>
      <c r="K887" s="12"/>
      <c r="L887" s="13"/>
      <c r="M887" s="14"/>
      <c r="N887" s="15"/>
    </row>
    <row r="888" spans="1:14" s="17" customFormat="1">
      <c r="A888" s="12"/>
      <c r="B888" s="13"/>
      <c r="C888" s="14"/>
      <c r="D888" s="15"/>
      <c r="E888" s="16"/>
      <c r="F888" s="16"/>
      <c r="I888" s="18"/>
      <c r="J888" s="12"/>
      <c r="K888" s="12"/>
      <c r="L888" s="13"/>
      <c r="M888" s="14"/>
      <c r="N888" s="15"/>
    </row>
    <row r="889" spans="1:14" s="17" customFormat="1">
      <c r="A889" s="12"/>
      <c r="B889" s="13"/>
      <c r="C889" s="14"/>
      <c r="D889" s="15"/>
      <c r="E889" s="16"/>
      <c r="F889" s="16"/>
      <c r="I889" s="18"/>
      <c r="J889" s="12"/>
      <c r="K889" s="12"/>
      <c r="L889" s="13"/>
      <c r="M889" s="14"/>
      <c r="N889" s="15"/>
    </row>
    <row r="890" spans="1:14" s="17" customFormat="1">
      <c r="A890" s="12"/>
      <c r="B890" s="13"/>
      <c r="C890" s="14"/>
      <c r="D890" s="15"/>
      <c r="E890" s="16"/>
      <c r="F890" s="16"/>
      <c r="I890" s="18"/>
      <c r="J890" s="12"/>
      <c r="K890" s="12"/>
      <c r="L890" s="13"/>
      <c r="M890" s="14"/>
      <c r="N890" s="15"/>
    </row>
    <row r="891" spans="1:14" s="17" customFormat="1">
      <c r="A891" s="12"/>
      <c r="B891" s="13"/>
      <c r="C891" s="14"/>
      <c r="D891" s="15"/>
      <c r="E891" s="16"/>
      <c r="F891" s="16"/>
      <c r="I891" s="18"/>
      <c r="J891" s="12"/>
      <c r="K891" s="12"/>
      <c r="L891" s="13"/>
      <c r="M891" s="14"/>
      <c r="N891" s="15"/>
    </row>
    <row r="892" spans="1:14" s="17" customFormat="1">
      <c r="A892" s="12"/>
      <c r="B892" s="13"/>
      <c r="C892" s="14"/>
      <c r="D892" s="15"/>
      <c r="E892" s="16"/>
      <c r="F892" s="16"/>
      <c r="I892" s="18"/>
      <c r="J892" s="12"/>
      <c r="K892" s="12"/>
      <c r="L892" s="13"/>
      <c r="M892" s="14"/>
      <c r="N892" s="15"/>
    </row>
    <row r="893" spans="1:14" s="17" customFormat="1">
      <c r="A893" s="12"/>
      <c r="B893" s="13"/>
      <c r="C893" s="14"/>
      <c r="D893" s="15"/>
      <c r="E893" s="16"/>
      <c r="F893" s="16"/>
      <c r="I893" s="18"/>
      <c r="J893" s="12"/>
      <c r="K893" s="12"/>
      <c r="L893" s="13"/>
      <c r="M893" s="14"/>
      <c r="N893" s="15"/>
    </row>
    <row r="894" spans="1:14" s="17" customFormat="1">
      <c r="A894" s="12"/>
      <c r="B894" s="13"/>
      <c r="C894" s="14"/>
      <c r="D894" s="15"/>
      <c r="E894" s="16"/>
      <c r="F894" s="16"/>
      <c r="I894" s="18"/>
      <c r="J894" s="12"/>
      <c r="K894" s="12"/>
      <c r="L894" s="13"/>
      <c r="M894" s="14"/>
      <c r="N894" s="15"/>
    </row>
    <row r="895" spans="1:14" s="17" customFormat="1">
      <c r="A895" s="12"/>
      <c r="B895" s="13"/>
      <c r="C895" s="14"/>
      <c r="D895" s="15"/>
      <c r="E895" s="16"/>
      <c r="F895" s="16"/>
      <c r="I895" s="18"/>
      <c r="J895" s="12"/>
      <c r="K895" s="12"/>
      <c r="L895" s="13"/>
      <c r="M895" s="14"/>
      <c r="N895" s="15"/>
    </row>
    <row r="896" spans="1:14" s="17" customFormat="1">
      <c r="A896" s="12"/>
      <c r="B896" s="13"/>
      <c r="C896" s="14"/>
      <c r="D896" s="15"/>
      <c r="E896" s="16"/>
      <c r="F896" s="16"/>
      <c r="I896" s="18"/>
      <c r="J896" s="12"/>
      <c r="K896" s="12"/>
      <c r="L896" s="13"/>
      <c r="M896" s="14"/>
      <c r="N896" s="15"/>
    </row>
    <row r="897" spans="1:14" s="17" customFormat="1">
      <c r="A897" s="12"/>
      <c r="B897" s="13"/>
      <c r="C897" s="14"/>
      <c r="D897" s="15"/>
      <c r="E897" s="16"/>
      <c r="F897" s="16"/>
      <c r="I897" s="18"/>
      <c r="J897" s="12"/>
      <c r="K897" s="12"/>
      <c r="L897" s="13"/>
      <c r="M897" s="14"/>
      <c r="N897" s="15"/>
    </row>
    <row r="898" spans="1:14" s="17" customFormat="1">
      <c r="A898" s="12"/>
      <c r="B898" s="13"/>
      <c r="C898" s="14"/>
      <c r="D898" s="15"/>
      <c r="E898" s="16"/>
      <c r="F898" s="16"/>
      <c r="I898" s="18"/>
      <c r="J898" s="12"/>
      <c r="K898" s="12"/>
      <c r="L898" s="13"/>
      <c r="M898" s="14"/>
      <c r="N898" s="15"/>
    </row>
    <row r="899" spans="1:14" s="17" customFormat="1">
      <c r="A899" s="12"/>
      <c r="B899" s="13"/>
      <c r="C899" s="14"/>
      <c r="D899" s="15"/>
      <c r="E899" s="16"/>
      <c r="F899" s="16"/>
      <c r="I899" s="18"/>
      <c r="J899" s="12"/>
      <c r="K899" s="12"/>
      <c r="L899" s="13"/>
      <c r="M899" s="14"/>
      <c r="N899" s="15"/>
    </row>
    <row r="900" spans="1:14" s="17" customFormat="1">
      <c r="A900" s="12"/>
      <c r="B900" s="13"/>
      <c r="C900" s="14"/>
      <c r="D900" s="15"/>
      <c r="E900" s="16"/>
      <c r="F900" s="16"/>
      <c r="I900" s="18"/>
      <c r="J900" s="12"/>
      <c r="K900" s="12"/>
      <c r="L900" s="13"/>
      <c r="M900" s="14"/>
      <c r="N900" s="15"/>
    </row>
    <row r="901" spans="1:14" s="17" customFormat="1">
      <c r="A901" s="12"/>
      <c r="B901" s="13"/>
      <c r="C901" s="14"/>
      <c r="D901" s="15"/>
      <c r="E901" s="16"/>
      <c r="F901" s="16"/>
      <c r="I901" s="18"/>
      <c r="J901" s="12"/>
      <c r="K901" s="12"/>
      <c r="L901" s="13"/>
      <c r="M901" s="14"/>
      <c r="N901" s="15"/>
    </row>
    <row r="902" spans="1:14" s="17" customFormat="1">
      <c r="A902" s="12"/>
      <c r="B902" s="13"/>
      <c r="C902" s="14"/>
      <c r="D902" s="15"/>
      <c r="E902" s="16"/>
      <c r="F902" s="16"/>
      <c r="I902" s="18"/>
      <c r="J902" s="12"/>
      <c r="K902" s="12"/>
      <c r="L902" s="13"/>
      <c r="M902" s="14"/>
      <c r="N902" s="15"/>
    </row>
    <row r="903" spans="1:14" s="17" customFormat="1">
      <c r="A903" s="12"/>
      <c r="B903" s="13"/>
      <c r="C903" s="14"/>
      <c r="D903" s="15"/>
      <c r="E903" s="16"/>
      <c r="F903" s="16"/>
      <c r="I903" s="18"/>
      <c r="J903" s="12"/>
      <c r="K903" s="12"/>
      <c r="L903" s="13"/>
      <c r="M903" s="14"/>
      <c r="N903" s="15"/>
    </row>
    <row r="904" spans="1:14" s="17" customFormat="1">
      <c r="A904" s="12"/>
      <c r="B904" s="13"/>
      <c r="C904" s="14"/>
      <c r="D904" s="15"/>
      <c r="E904" s="16"/>
      <c r="F904" s="16"/>
      <c r="I904" s="18"/>
      <c r="J904" s="12"/>
      <c r="K904" s="12"/>
      <c r="L904" s="13"/>
      <c r="M904" s="14"/>
      <c r="N904" s="15"/>
    </row>
    <row r="905" spans="1:14" s="17" customFormat="1">
      <c r="A905" s="12"/>
      <c r="B905" s="13"/>
      <c r="C905" s="14"/>
      <c r="D905" s="15"/>
      <c r="E905" s="16"/>
      <c r="F905" s="16"/>
      <c r="I905" s="18"/>
      <c r="J905" s="12"/>
      <c r="K905" s="12"/>
      <c r="L905" s="13"/>
      <c r="M905" s="14"/>
      <c r="N905" s="15"/>
    </row>
    <row r="906" spans="1:14" s="17" customFormat="1">
      <c r="A906" s="12"/>
      <c r="B906" s="13"/>
      <c r="C906" s="14"/>
      <c r="D906" s="15"/>
      <c r="E906" s="16"/>
      <c r="F906" s="16"/>
      <c r="I906" s="18"/>
      <c r="J906" s="12"/>
      <c r="K906" s="12"/>
      <c r="L906" s="13"/>
      <c r="M906" s="14"/>
      <c r="N906" s="15"/>
    </row>
    <row r="907" spans="1:14" s="17" customFormat="1">
      <c r="A907" s="12"/>
      <c r="B907" s="13"/>
      <c r="C907" s="14"/>
      <c r="D907" s="15"/>
      <c r="E907" s="16"/>
      <c r="F907" s="16"/>
      <c r="I907" s="18"/>
      <c r="J907" s="12"/>
      <c r="K907" s="12"/>
      <c r="L907" s="13"/>
      <c r="M907" s="14"/>
      <c r="N907" s="15"/>
    </row>
    <row r="908" spans="1:14" s="17" customFormat="1">
      <c r="A908" s="12"/>
      <c r="B908" s="13"/>
      <c r="C908" s="14"/>
      <c r="D908" s="15"/>
      <c r="E908" s="16"/>
      <c r="F908" s="16"/>
      <c r="I908" s="18"/>
      <c r="J908" s="12"/>
      <c r="K908" s="12"/>
      <c r="L908" s="13"/>
      <c r="M908" s="14"/>
      <c r="N908" s="15"/>
    </row>
    <row r="909" spans="1:14" s="17" customFormat="1">
      <c r="A909" s="12"/>
      <c r="B909" s="13"/>
      <c r="C909" s="14"/>
      <c r="D909" s="15"/>
      <c r="E909" s="16"/>
      <c r="F909" s="16"/>
      <c r="I909" s="18"/>
      <c r="J909" s="12"/>
      <c r="K909" s="12"/>
      <c r="L909" s="13"/>
      <c r="M909" s="14"/>
      <c r="N909" s="15"/>
    </row>
    <row r="910" spans="1:14" s="17" customFormat="1">
      <c r="A910" s="12"/>
      <c r="B910" s="13"/>
      <c r="C910" s="14"/>
      <c r="D910" s="15"/>
      <c r="E910" s="16"/>
      <c r="F910" s="16"/>
      <c r="I910" s="18"/>
      <c r="J910" s="12"/>
      <c r="K910" s="12"/>
      <c r="L910" s="13"/>
      <c r="M910" s="14"/>
      <c r="N910" s="15"/>
    </row>
    <row r="911" spans="1:14" s="17" customFormat="1">
      <c r="A911" s="12"/>
      <c r="B911" s="13"/>
      <c r="C911" s="14"/>
      <c r="D911" s="15"/>
      <c r="E911" s="16"/>
      <c r="F911" s="16"/>
      <c r="I911" s="18"/>
      <c r="J911" s="12"/>
      <c r="K911" s="12"/>
      <c r="L911" s="13"/>
      <c r="M911" s="14"/>
      <c r="N911" s="15"/>
    </row>
    <row r="912" spans="1:14" s="17" customFormat="1">
      <c r="A912" s="12"/>
      <c r="B912" s="13"/>
      <c r="C912" s="14"/>
      <c r="D912" s="15"/>
      <c r="E912" s="16"/>
      <c r="F912" s="16"/>
      <c r="I912" s="18"/>
      <c r="J912" s="12"/>
      <c r="K912" s="12"/>
      <c r="L912" s="13"/>
      <c r="M912" s="14"/>
      <c r="N912" s="15"/>
    </row>
    <row r="913" spans="1:14" s="17" customFormat="1">
      <c r="A913" s="12"/>
      <c r="B913" s="13"/>
      <c r="C913" s="14"/>
      <c r="D913" s="15"/>
      <c r="E913" s="16"/>
      <c r="F913" s="16"/>
      <c r="I913" s="18"/>
      <c r="J913" s="12"/>
      <c r="K913" s="12"/>
      <c r="L913" s="13"/>
      <c r="M913" s="14"/>
      <c r="N913" s="15"/>
    </row>
    <row r="914" spans="1:14" s="17" customFormat="1">
      <c r="A914" s="12"/>
      <c r="B914" s="13"/>
      <c r="C914" s="14"/>
      <c r="D914" s="15"/>
      <c r="E914" s="16"/>
      <c r="F914" s="16"/>
      <c r="I914" s="18"/>
      <c r="J914" s="12"/>
      <c r="K914" s="12"/>
      <c r="L914" s="13"/>
      <c r="M914" s="14"/>
      <c r="N914" s="15"/>
    </row>
    <row r="915" spans="1:14" s="17" customFormat="1">
      <c r="A915" s="12"/>
      <c r="B915" s="13"/>
      <c r="C915" s="14"/>
      <c r="D915" s="15"/>
      <c r="E915" s="16"/>
      <c r="F915" s="16"/>
      <c r="I915" s="18"/>
      <c r="J915" s="12"/>
      <c r="K915" s="12"/>
      <c r="L915" s="13"/>
      <c r="M915" s="14"/>
      <c r="N915" s="15"/>
    </row>
    <row r="916" spans="1:14" s="17" customFormat="1">
      <c r="A916" s="12"/>
      <c r="B916" s="13"/>
      <c r="C916" s="14"/>
      <c r="D916" s="15"/>
      <c r="E916" s="16"/>
      <c r="F916" s="16"/>
      <c r="I916" s="18"/>
      <c r="J916" s="12"/>
      <c r="K916" s="12"/>
      <c r="L916" s="13"/>
      <c r="M916" s="14"/>
      <c r="N916" s="15"/>
    </row>
    <row r="917" spans="1:14" s="17" customFormat="1">
      <c r="A917" s="12"/>
      <c r="B917" s="13"/>
      <c r="C917" s="14"/>
      <c r="D917" s="15"/>
      <c r="E917" s="16"/>
      <c r="F917" s="16"/>
      <c r="I917" s="18"/>
      <c r="J917" s="12"/>
      <c r="K917" s="12"/>
      <c r="L917" s="13"/>
      <c r="M917" s="14"/>
      <c r="N917" s="15"/>
    </row>
    <row r="918" spans="1:14" s="17" customFormat="1">
      <c r="A918" s="12"/>
      <c r="B918" s="13"/>
      <c r="C918" s="14"/>
      <c r="D918" s="15"/>
      <c r="E918" s="16"/>
      <c r="F918" s="16"/>
      <c r="I918" s="18"/>
      <c r="J918" s="12"/>
      <c r="K918" s="12"/>
      <c r="L918" s="13"/>
      <c r="M918" s="14"/>
      <c r="N918" s="15"/>
    </row>
    <row r="919" spans="1:14" s="17" customFormat="1">
      <c r="A919" s="12"/>
      <c r="B919" s="13"/>
      <c r="C919" s="14"/>
      <c r="D919" s="15"/>
      <c r="E919" s="16"/>
      <c r="F919" s="16"/>
      <c r="I919" s="18"/>
      <c r="J919" s="12"/>
      <c r="K919" s="12"/>
      <c r="L919" s="13"/>
      <c r="M919" s="14"/>
      <c r="N919" s="15"/>
    </row>
    <row r="920" spans="1:14" s="17" customFormat="1">
      <c r="A920" s="12"/>
      <c r="B920" s="13"/>
      <c r="C920" s="14"/>
      <c r="D920" s="15"/>
      <c r="E920" s="16"/>
      <c r="F920" s="16"/>
      <c r="I920" s="18"/>
      <c r="J920" s="12"/>
      <c r="K920" s="12"/>
      <c r="L920" s="13"/>
      <c r="M920" s="14"/>
      <c r="N920" s="15"/>
    </row>
    <row r="921" spans="1:14" s="17" customFormat="1">
      <c r="A921" s="12"/>
      <c r="B921" s="13"/>
      <c r="C921" s="14"/>
      <c r="D921" s="15"/>
      <c r="E921" s="16"/>
      <c r="F921" s="16"/>
      <c r="I921" s="18"/>
      <c r="J921" s="12"/>
      <c r="K921" s="12"/>
      <c r="L921" s="13"/>
      <c r="M921" s="14"/>
      <c r="N921" s="15"/>
    </row>
    <row r="922" spans="1:14" s="17" customFormat="1">
      <c r="A922" s="12"/>
      <c r="B922" s="13"/>
      <c r="C922" s="14"/>
      <c r="D922" s="15"/>
      <c r="E922" s="16"/>
      <c r="F922" s="16"/>
      <c r="I922" s="18"/>
      <c r="J922" s="12"/>
      <c r="K922" s="12"/>
      <c r="L922" s="13"/>
      <c r="M922" s="14"/>
      <c r="N922" s="15"/>
    </row>
    <row r="923" spans="1:14" s="17" customFormat="1">
      <c r="A923" s="12"/>
      <c r="B923" s="13"/>
      <c r="C923" s="14"/>
      <c r="D923" s="15"/>
      <c r="E923" s="16"/>
      <c r="F923" s="16"/>
      <c r="I923" s="18"/>
      <c r="J923" s="12"/>
      <c r="K923" s="12"/>
      <c r="L923" s="13"/>
      <c r="M923" s="14"/>
      <c r="N923" s="15"/>
    </row>
    <row r="924" spans="1:14" s="17" customFormat="1">
      <c r="A924" s="12"/>
      <c r="B924" s="13"/>
      <c r="C924" s="14"/>
      <c r="D924" s="15"/>
      <c r="E924" s="16"/>
      <c r="F924" s="16"/>
      <c r="I924" s="18"/>
      <c r="J924" s="12"/>
      <c r="K924" s="12"/>
      <c r="L924" s="13"/>
      <c r="M924" s="14"/>
      <c r="N924" s="15"/>
    </row>
    <row r="925" spans="1:14" s="17" customFormat="1">
      <c r="A925" s="12"/>
      <c r="B925" s="13"/>
      <c r="C925" s="14"/>
      <c r="D925" s="15"/>
      <c r="E925" s="16"/>
      <c r="F925" s="16"/>
      <c r="I925" s="18"/>
      <c r="J925" s="12"/>
      <c r="K925" s="12"/>
      <c r="L925" s="13"/>
      <c r="M925" s="14"/>
      <c r="N925" s="15"/>
    </row>
    <row r="926" spans="1:14" s="17" customFormat="1">
      <c r="A926" s="12"/>
      <c r="B926" s="13"/>
      <c r="C926" s="14"/>
      <c r="D926" s="15"/>
      <c r="E926" s="16"/>
      <c r="F926" s="16"/>
      <c r="I926" s="18"/>
      <c r="J926" s="12"/>
      <c r="K926" s="12"/>
      <c r="L926" s="13"/>
      <c r="M926" s="14"/>
      <c r="N926" s="15"/>
    </row>
    <row r="927" spans="1:14" s="17" customFormat="1">
      <c r="A927" s="12"/>
      <c r="B927" s="13"/>
      <c r="C927" s="14"/>
      <c r="D927" s="15"/>
      <c r="E927" s="16"/>
      <c r="F927" s="16"/>
      <c r="I927" s="18"/>
      <c r="J927" s="12"/>
      <c r="K927" s="12"/>
      <c r="L927" s="13"/>
      <c r="M927" s="14"/>
      <c r="N927" s="15"/>
    </row>
    <row r="928" spans="1:14" s="17" customFormat="1">
      <c r="A928" s="12"/>
      <c r="B928" s="13"/>
      <c r="C928" s="14"/>
      <c r="D928" s="15"/>
      <c r="E928" s="16"/>
      <c r="F928" s="16"/>
      <c r="I928" s="18"/>
      <c r="J928" s="12"/>
      <c r="K928" s="12"/>
      <c r="L928" s="13"/>
      <c r="M928" s="14"/>
      <c r="N928" s="15"/>
    </row>
    <row r="929" spans="1:14" s="17" customFormat="1">
      <c r="A929" s="12"/>
      <c r="B929" s="13"/>
      <c r="C929" s="14"/>
      <c r="D929" s="15"/>
      <c r="E929" s="16"/>
      <c r="F929" s="16"/>
      <c r="I929" s="18"/>
      <c r="J929" s="12"/>
      <c r="K929" s="12"/>
      <c r="L929" s="13"/>
      <c r="M929" s="14"/>
      <c r="N929" s="15"/>
    </row>
    <row r="930" spans="1:14" s="17" customFormat="1">
      <c r="A930" s="12"/>
      <c r="B930" s="13"/>
      <c r="C930" s="14"/>
      <c r="D930" s="15"/>
      <c r="E930" s="16"/>
      <c r="F930" s="16"/>
      <c r="I930" s="18"/>
      <c r="J930" s="12"/>
      <c r="K930" s="12"/>
      <c r="L930" s="13"/>
      <c r="M930" s="14"/>
      <c r="N930" s="15"/>
    </row>
    <row r="931" spans="1:14" s="17" customFormat="1">
      <c r="A931" s="12"/>
      <c r="B931" s="13"/>
      <c r="C931" s="14"/>
      <c r="D931" s="15"/>
      <c r="E931" s="16"/>
      <c r="F931" s="16"/>
      <c r="I931" s="18"/>
      <c r="J931" s="12"/>
      <c r="K931" s="12"/>
      <c r="L931" s="13"/>
      <c r="M931" s="14"/>
      <c r="N931" s="15"/>
    </row>
    <row r="932" spans="1:14" s="17" customFormat="1">
      <c r="A932" s="12"/>
      <c r="B932" s="13"/>
      <c r="C932" s="14"/>
      <c r="D932" s="15"/>
      <c r="E932" s="16"/>
      <c r="F932" s="16"/>
      <c r="I932" s="18"/>
      <c r="J932" s="12"/>
      <c r="K932" s="12"/>
      <c r="L932" s="13"/>
      <c r="M932" s="14"/>
      <c r="N932" s="15"/>
    </row>
    <row r="933" spans="1:14" s="17" customFormat="1">
      <c r="A933" s="12"/>
      <c r="B933" s="13"/>
      <c r="C933" s="14"/>
      <c r="D933" s="15"/>
      <c r="E933" s="16"/>
      <c r="F933" s="16"/>
      <c r="I933" s="18"/>
      <c r="J933" s="12"/>
      <c r="K933" s="12"/>
      <c r="L933" s="13"/>
      <c r="M933" s="14"/>
      <c r="N933" s="15"/>
    </row>
    <row r="934" spans="1:14" s="17" customFormat="1">
      <c r="A934" s="12"/>
      <c r="B934" s="13"/>
      <c r="C934" s="14"/>
      <c r="D934" s="15"/>
      <c r="E934" s="16"/>
      <c r="F934" s="16"/>
      <c r="I934" s="18"/>
      <c r="J934" s="12"/>
      <c r="K934" s="12"/>
      <c r="L934" s="13"/>
      <c r="M934" s="14"/>
      <c r="N934" s="15"/>
    </row>
    <row r="935" spans="1:14" s="17" customFormat="1">
      <c r="A935" s="12"/>
      <c r="B935" s="13"/>
      <c r="C935" s="14"/>
      <c r="D935" s="15"/>
      <c r="E935" s="16"/>
      <c r="F935" s="16"/>
      <c r="I935" s="18"/>
      <c r="J935" s="12"/>
      <c r="K935" s="12"/>
      <c r="L935" s="13"/>
      <c r="M935" s="14"/>
      <c r="N935" s="15"/>
    </row>
    <row r="936" spans="1:14" s="17" customFormat="1">
      <c r="A936" s="12"/>
      <c r="B936" s="13"/>
      <c r="C936" s="14"/>
      <c r="D936" s="15"/>
      <c r="E936" s="16"/>
      <c r="F936" s="16"/>
      <c r="I936" s="18"/>
      <c r="J936" s="12"/>
      <c r="K936" s="12"/>
      <c r="L936" s="13"/>
      <c r="M936" s="14"/>
      <c r="N936" s="15"/>
    </row>
    <row r="937" spans="1:14" s="17" customFormat="1">
      <c r="A937" s="12"/>
      <c r="B937" s="13"/>
      <c r="C937" s="14"/>
      <c r="D937" s="15"/>
      <c r="E937" s="16"/>
      <c r="F937" s="16"/>
      <c r="I937" s="18"/>
      <c r="J937" s="12"/>
      <c r="K937" s="12"/>
      <c r="L937" s="13"/>
      <c r="M937" s="14"/>
      <c r="N937" s="15"/>
    </row>
    <row r="938" spans="1:14" s="17" customFormat="1">
      <c r="A938" s="12"/>
      <c r="B938" s="13"/>
      <c r="C938" s="14"/>
      <c r="D938" s="15"/>
      <c r="E938" s="16"/>
      <c r="F938" s="16"/>
      <c r="I938" s="18"/>
      <c r="J938" s="12"/>
      <c r="K938" s="12"/>
      <c r="L938" s="13"/>
      <c r="M938" s="14"/>
      <c r="N938" s="15"/>
    </row>
    <row r="939" spans="1:14" s="17" customFormat="1">
      <c r="A939" s="12"/>
      <c r="B939" s="13"/>
      <c r="C939" s="14"/>
      <c r="D939" s="15"/>
      <c r="E939" s="16"/>
      <c r="F939" s="16"/>
      <c r="I939" s="18"/>
      <c r="J939" s="12"/>
      <c r="K939" s="12"/>
      <c r="L939" s="13"/>
      <c r="M939" s="14"/>
      <c r="N939" s="15"/>
    </row>
    <row r="940" spans="1:14" s="17" customFormat="1">
      <c r="A940" s="12"/>
      <c r="B940" s="13"/>
      <c r="C940" s="14"/>
      <c r="D940" s="15"/>
      <c r="E940" s="16"/>
      <c r="F940" s="16"/>
      <c r="I940" s="18"/>
      <c r="J940" s="12"/>
      <c r="K940" s="12"/>
      <c r="L940" s="13"/>
      <c r="M940" s="14"/>
      <c r="N940" s="15"/>
    </row>
    <row r="941" spans="1:14" s="17" customFormat="1">
      <c r="A941" s="12"/>
      <c r="B941" s="13"/>
      <c r="C941" s="14"/>
      <c r="D941" s="15"/>
      <c r="E941" s="16"/>
      <c r="F941" s="16"/>
      <c r="I941" s="18"/>
      <c r="J941" s="12"/>
      <c r="K941" s="12"/>
      <c r="L941" s="13"/>
      <c r="M941" s="14"/>
      <c r="N941" s="15"/>
    </row>
    <row r="942" spans="1:14" s="17" customFormat="1">
      <c r="A942" s="12"/>
      <c r="B942" s="13"/>
      <c r="C942" s="14"/>
      <c r="D942" s="15"/>
      <c r="E942" s="16"/>
      <c r="F942" s="16"/>
      <c r="I942" s="18"/>
      <c r="J942" s="12"/>
      <c r="K942" s="12"/>
      <c r="L942" s="13"/>
      <c r="M942" s="14"/>
      <c r="N942" s="15"/>
    </row>
    <row r="943" spans="1:14" s="17" customFormat="1">
      <c r="A943" s="12"/>
      <c r="B943" s="13"/>
      <c r="C943" s="14"/>
      <c r="D943" s="15"/>
      <c r="E943" s="16"/>
      <c r="F943" s="16"/>
      <c r="I943" s="18"/>
      <c r="J943" s="12"/>
      <c r="K943" s="12"/>
      <c r="L943" s="13"/>
      <c r="M943" s="14"/>
      <c r="N943" s="15"/>
    </row>
    <row r="944" spans="1:14" s="17" customFormat="1">
      <c r="A944" s="12"/>
      <c r="B944" s="13"/>
      <c r="C944" s="14"/>
      <c r="D944" s="15"/>
      <c r="E944" s="16"/>
      <c r="F944" s="16"/>
      <c r="I944" s="18"/>
      <c r="J944" s="12"/>
      <c r="K944" s="12"/>
      <c r="L944" s="13"/>
      <c r="M944" s="14"/>
      <c r="N944" s="15"/>
    </row>
    <row r="945" spans="1:14" s="17" customFormat="1">
      <c r="A945" s="12"/>
      <c r="B945" s="13"/>
      <c r="C945" s="14"/>
      <c r="D945" s="15"/>
      <c r="E945" s="16"/>
      <c r="F945" s="16"/>
      <c r="I945" s="18"/>
      <c r="J945" s="12"/>
      <c r="K945" s="12"/>
      <c r="L945" s="13"/>
      <c r="M945" s="14"/>
      <c r="N945" s="15"/>
    </row>
    <row r="946" spans="1:14" s="17" customFormat="1">
      <c r="A946" s="12"/>
      <c r="B946" s="13"/>
      <c r="C946" s="14"/>
      <c r="D946" s="15"/>
      <c r="E946" s="16"/>
      <c r="F946" s="16"/>
      <c r="I946" s="18"/>
      <c r="J946" s="12"/>
      <c r="K946" s="12"/>
      <c r="L946" s="13"/>
      <c r="M946" s="14"/>
      <c r="N946" s="15"/>
    </row>
    <row r="947" spans="1:14" s="17" customFormat="1">
      <c r="A947" s="12"/>
      <c r="B947" s="13"/>
      <c r="C947" s="14"/>
      <c r="D947" s="15"/>
      <c r="E947" s="16"/>
      <c r="F947" s="16"/>
      <c r="I947" s="18"/>
      <c r="J947" s="12"/>
      <c r="K947" s="12"/>
      <c r="L947" s="13"/>
      <c r="M947" s="14"/>
      <c r="N947" s="15"/>
    </row>
    <row r="948" spans="1:14" s="17" customFormat="1">
      <c r="A948" s="12"/>
      <c r="B948" s="13"/>
      <c r="C948" s="14"/>
      <c r="D948" s="15"/>
      <c r="E948" s="16"/>
      <c r="F948" s="16"/>
      <c r="I948" s="18"/>
      <c r="J948" s="12"/>
      <c r="K948" s="12"/>
      <c r="L948" s="13"/>
      <c r="M948" s="14"/>
      <c r="N948" s="15"/>
    </row>
    <row r="949" spans="1:14" s="17" customFormat="1">
      <c r="A949" s="12"/>
      <c r="B949" s="13"/>
      <c r="C949" s="14"/>
      <c r="D949" s="15"/>
      <c r="E949" s="16"/>
      <c r="F949" s="16"/>
      <c r="I949" s="18"/>
      <c r="J949" s="12"/>
      <c r="K949" s="12"/>
      <c r="L949" s="13"/>
      <c r="M949" s="14"/>
      <c r="N949" s="15"/>
    </row>
    <row r="950" spans="1:14" s="17" customFormat="1">
      <c r="A950" s="12"/>
      <c r="B950" s="13"/>
      <c r="C950" s="14"/>
      <c r="D950" s="15"/>
      <c r="E950" s="16"/>
      <c r="F950" s="16"/>
      <c r="I950" s="18"/>
      <c r="J950" s="12"/>
      <c r="K950" s="12"/>
      <c r="L950" s="13"/>
      <c r="M950" s="14"/>
      <c r="N950" s="15"/>
    </row>
    <row r="951" spans="1:14" s="17" customFormat="1">
      <c r="A951" s="12"/>
      <c r="B951" s="13"/>
      <c r="C951" s="14"/>
      <c r="D951" s="15"/>
      <c r="E951" s="16"/>
      <c r="F951" s="16"/>
      <c r="I951" s="18"/>
      <c r="J951" s="12"/>
      <c r="K951" s="12"/>
      <c r="L951" s="13"/>
      <c r="M951" s="14"/>
      <c r="N951" s="15"/>
    </row>
    <row r="952" spans="1:14" s="17" customFormat="1">
      <c r="A952" s="12"/>
      <c r="B952" s="13"/>
      <c r="C952" s="14"/>
      <c r="D952" s="15"/>
      <c r="E952" s="16"/>
      <c r="F952" s="16"/>
      <c r="I952" s="18"/>
      <c r="J952" s="12"/>
      <c r="K952" s="12"/>
      <c r="L952" s="13"/>
      <c r="M952" s="14"/>
      <c r="N952" s="15"/>
    </row>
    <row r="953" spans="1:14" s="17" customFormat="1">
      <c r="A953" s="12"/>
      <c r="B953" s="13"/>
      <c r="C953" s="14"/>
      <c r="D953" s="15"/>
      <c r="E953" s="16"/>
      <c r="F953" s="16"/>
      <c r="I953" s="18"/>
      <c r="J953" s="12"/>
      <c r="K953" s="12"/>
      <c r="L953" s="13"/>
      <c r="M953" s="14"/>
      <c r="N953" s="15"/>
    </row>
    <row r="954" spans="1:14" s="17" customFormat="1">
      <c r="A954" s="12"/>
      <c r="B954" s="13"/>
      <c r="C954" s="14"/>
      <c r="D954" s="15"/>
      <c r="E954" s="16"/>
      <c r="F954" s="16"/>
      <c r="I954" s="18"/>
      <c r="J954" s="12"/>
      <c r="K954" s="12"/>
      <c r="L954" s="13"/>
      <c r="M954" s="14"/>
      <c r="N954" s="15"/>
    </row>
    <row r="955" spans="1:14" s="17" customFormat="1">
      <c r="A955" s="12"/>
      <c r="B955" s="13"/>
      <c r="C955" s="14"/>
      <c r="D955" s="15"/>
      <c r="E955" s="16"/>
      <c r="F955" s="16"/>
      <c r="I955" s="18"/>
      <c r="J955" s="12"/>
      <c r="K955" s="12"/>
      <c r="L955" s="13"/>
      <c r="M955" s="14"/>
      <c r="N955" s="15"/>
    </row>
    <row r="956" spans="1:14" s="17" customFormat="1">
      <c r="A956" s="12"/>
      <c r="B956" s="13"/>
      <c r="C956" s="14"/>
      <c r="D956" s="15"/>
      <c r="E956" s="16"/>
      <c r="F956" s="16"/>
      <c r="I956" s="18"/>
      <c r="J956" s="12"/>
      <c r="K956" s="12"/>
      <c r="L956" s="13"/>
      <c r="M956" s="14"/>
      <c r="N956" s="15"/>
    </row>
    <row r="957" spans="1:14" s="17" customFormat="1">
      <c r="A957" s="12"/>
      <c r="B957" s="13"/>
      <c r="C957" s="14"/>
      <c r="D957" s="15"/>
      <c r="E957" s="16"/>
      <c r="F957" s="16"/>
      <c r="I957" s="18"/>
      <c r="J957" s="12"/>
      <c r="K957" s="12"/>
      <c r="L957" s="13"/>
      <c r="M957" s="14"/>
      <c r="N957" s="15"/>
    </row>
    <row r="958" spans="1:14" s="17" customFormat="1">
      <c r="A958" s="12"/>
      <c r="B958" s="13"/>
      <c r="C958" s="14"/>
      <c r="D958" s="15"/>
      <c r="E958" s="16"/>
      <c r="F958" s="16"/>
      <c r="I958" s="18"/>
      <c r="J958" s="12"/>
      <c r="K958" s="12"/>
      <c r="L958" s="13"/>
      <c r="M958" s="14"/>
      <c r="N958" s="15"/>
    </row>
    <row r="959" spans="1:14" s="17" customFormat="1">
      <c r="A959" s="12"/>
      <c r="B959" s="13"/>
      <c r="C959" s="14"/>
      <c r="D959" s="15"/>
      <c r="E959" s="16"/>
      <c r="F959" s="16"/>
      <c r="I959" s="18"/>
      <c r="J959" s="12"/>
      <c r="K959" s="12"/>
      <c r="L959" s="13"/>
      <c r="M959" s="14"/>
      <c r="N959" s="15"/>
    </row>
    <row r="960" spans="1:14" s="17" customFormat="1">
      <c r="A960" s="12"/>
      <c r="B960" s="13"/>
      <c r="C960" s="14"/>
      <c r="D960" s="15"/>
      <c r="E960" s="16"/>
      <c r="F960" s="16"/>
      <c r="I960" s="18"/>
      <c r="J960" s="12"/>
      <c r="K960" s="12"/>
      <c r="L960" s="13"/>
      <c r="M960" s="14"/>
      <c r="N960" s="15"/>
    </row>
    <row r="961" spans="1:14" s="17" customFormat="1">
      <c r="A961" s="12"/>
      <c r="B961" s="13"/>
      <c r="C961" s="14"/>
      <c r="D961" s="15"/>
      <c r="E961" s="16"/>
      <c r="F961" s="16"/>
      <c r="I961" s="18"/>
      <c r="J961" s="12"/>
      <c r="K961" s="12"/>
      <c r="L961" s="13"/>
      <c r="M961" s="14"/>
      <c r="N961" s="15"/>
    </row>
    <row r="962" spans="1:14" s="17" customFormat="1">
      <c r="A962" s="12"/>
      <c r="B962" s="13"/>
      <c r="C962" s="14"/>
      <c r="D962" s="15"/>
      <c r="E962" s="16"/>
      <c r="F962" s="16"/>
      <c r="I962" s="18"/>
      <c r="J962" s="12"/>
      <c r="K962" s="12"/>
      <c r="L962" s="13"/>
      <c r="M962" s="14"/>
      <c r="N962" s="15"/>
    </row>
    <row r="963" spans="1:14" s="17" customFormat="1">
      <c r="A963" s="12"/>
      <c r="B963" s="13"/>
      <c r="C963" s="14"/>
      <c r="D963" s="15"/>
      <c r="E963" s="16"/>
      <c r="F963" s="16"/>
      <c r="I963" s="18"/>
      <c r="J963" s="12"/>
      <c r="K963" s="12"/>
      <c r="L963" s="13"/>
      <c r="M963" s="14"/>
      <c r="N963" s="15"/>
    </row>
    <row r="964" spans="1:14" s="17" customFormat="1">
      <c r="A964" s="12"/>
      <c r="B964" s="13"/>
      <c r="C964" s="14"/>
      <c r="D964" s="15"/>
      <c r="E964" s="16"/>
      <c r="F964" s="16"/>
      <c r="I964" s="18"/>
      <c r="J964" s="12"/>
      <c r="K964" s="12"/>
      <c r="L964" s="13"/>
      <c r="M964" s="14"/>
      <c r="N964" s="15"/>
    </row>
    <row r="965" spans="1:14" s="17" customFormat="1">
      <c r="A965" s="12"/>
      <c r="B965" s="13"/>
      <c r="C965" s="14"/>
      <c r="D965" s="15"/>
      <c r="E965" s="16"/>
      <c r="F965" s="16"/>
      <c r="I965" s="18"/>
      <c r="J965" s="12"/>
      <c r="K965" s="12"/>
      <c r="L965" s="13"/>
      <c r="M965" s="14"/>
      <c r="N965" s="15"/>
    </row>
    <row r="966" spans="1:14" s="17" customFormat="1">
      <c r="A966" s="12"/>
      <c r="B966" s="13"/>
      <c r="C966" s="14"/>
      <c r="D966" s="15"/>
      <c r="E966" s="16"/>
      <c r="F966" s="16"/>
      <c r="I966" s="18"/>
      <c r="J966" s="12"/>
      <c r="K966" s="12"/>
      <c r="L966" s="13"/>
      <c r="M966" s="14"/>
      <c r="N966" s="15"/>
    </row>
    <row r="967" spans="1:14" s="17" customFormat="1">
      <c r="A967" s="12"/>
      <c r="B967" s="13"/>
      <c r="C967" s="14"/>
      <c r="D967" s="15"/>
      <c r="E967" s="16"/>
      <c r="F967" s="16"/>
      <c r="I967" s="18"/>
      <c r="J967" s="12"/>
      <c r="K967" s="12"/>
      <c r="L967" s="13"/>
      <c r="M967" s="14"/>
      <c r="N967" s="15"/>
    </row>
    <row r="968" spans="1:14" s="17" customFormat="1">
      <c r="A968" s="12"/>
      <c r="B968" s="13"/>
      <c r="C968" s="14"/>
      <c r="D968" s="15"/>
      <c r="E968" s="16"/>
      <c r="F968" s="16"/>
      <c r="I968" s="18"/>
      <c r="J968" s="12"/>
      <c r="K968" s="12"/>
      <c r="L968" s="13"/>
      <c r="M968" s="14"/>
      <c r="N968" s="15"/>
    </row>
    <row r="969" spans="1:14" s="17" customFormat="1">
      <c r="A969" s="12"/>
      <c r="B969" s="13"/>
      <c r="C969" s="14"/>
      <c r="D969" s="15"/>
      <c r="E969" s="16"/>
      <c r="F969" s="16"/>
      <c r="I969" s="18"/>
      <c r="J969" s="12"/>
      <c r="K969" s="12"/>
      <c r="L969" s="13"/>
      <c r="M969" s="14"/>
      <c r="N969" s="15"/>
    </row>
    <row r="970" spans="1:14" s="17" customFormat="1">
      <c r="A970" s="12"/>
      <c r="B970" s="13"/>
      <c r="C970" s="14"/>
      <c r="D970" s="15"/>
      <c r="E970" s="16"/>
      <c r="F970" s="16"/>
      <c r="I970" s="18"/>
      <c r="J970" s="12"/>
      <c r="K970" s="12"/>
      <c r="L970" s="13"/>
      <c r="M970" s="14"/>
      <c r="N970" s="15"/>
    </row>
    <row r="971" spans="1:14" s="17" customFormat="1">
      <c r="A971" s="12"/>
      <c r="B971" s="13"/>
      <c r="C971" s="14"/>
      <c r="D971" s="15"/>
      <c r="E971" s="16"/>
      <c r="F971" s="16"/>
      <c r="I971" s="18"/>
      <c r="J971" s="12"/>
      <c r="K971" s="12"/>
      <c r="L971" s="13"/>
      <c r="M971" s="14"/>
      <c r="N971" s="15"/>
    </row>
    <row r="972" spans="1:14" s="17" customFormat="1">
      <c r="A972" s="12"/>
      <c r="B972" s="13"/>
      <c r="C972" s="14"/>
      <c r="D972" s="15"/>
      <c r="E972" s="16"/>
      <c r="F972" s="16"/>
      <c r="I972" s="18"/>
      <c r="J972" s="12"/>
      <c r="K972" s="12"/>
      <c r="L972" s="13"/>
      <c r="M972" s="14"/>
      <c r="N972" s="15"/>
    </row>
    <row r="973" spans="1:14" s="17" customFormat="1">
      <c r="A973" s="12"/>
      <c r="B973" s="13"/>
      <c r="C973" s="14"/>
      <c r="D973" s="15"/>
      <c r="E973" s="16"/>
      <c r="F973" s="16"/>
      <c r="I973" s="18"/>
      <c r="J973" s="12"/>
      <c r="K973" s="12"/>
      <c r="L973" s="13"/>
      <c r="M973" s="14"/>
      <c r="N973" s="15"/>
    </row>
    <row r="974" spans="1:14" s="17" customFormat="1">
      <c r="A974" s="12"/>
      <c r="B974" s="13"/>
      <c r="C974" s="14"/>
      <c r="D974" s="15"/>
      <c r="E974" s="16"/>
      <c r="F974" s="16"/>
      <c r="I974" s="18"/>
      <c r="J974" s="12"/>
      <c r="K974" s="12"/>
      <c r="L974" s="13"/>
      <c r="M974" s="14"/>
      <c r="N974" s="15"/>
    </row>
    <row r="975" spans="1:14" s="17" customFormat="1">
      <c r="A975" s="12"/>
      <c r="B975" s="13"/>
      <c r="C975" s="14"/>
      <c r="D975" s="15"/>
      <c r="E975" s="16"/>
      <c r="F975" s="16"/>
      <c r="I975" s="18"/>
      <c r="J975" s="12"/>
      <c r="K975" s="12"/>
      <c r="L975" s="13"/>
      <c r="M975" s="14"/>
      <c r="N975" s="15"/>
    </row>
    <row r="976" spans="1:14" s="17" customFormat="1">
      <c r="A976" s="12"/>
      <c r="B976" s="13"/>
      <c r="C976" s="14"/>
      <c r="D976" s="15"/>
      <c r="E976" s="16"/>
      <c r="F976" s="16"/>
      <c r="I976" s="18"/>
      <c r="J976" s="12"/>
      <c r="K976" s="12"/>
      <c r="L976" s="13"/>
      <c r="M976" s="14"/>
      <c r="N976" s="15"/>
    </row>
    <row r="977" spans="1:14" s="17" customFormat="1">
      <c r="A977" s="12"/>
      <c r="B977" s="13"/>
      <c r="C977" s="14"/>
      <c r="D977" s="15"/>
      <c r="E977" s="16"/>
      <c r="F977" s="16"/>
      <c r="I977" s="18"/>
      <c r="J977" s="12"/>
      <c r="K977" s="12"/>
      <c r="L977" s="13"/>
      <c r="M977" s="14"/>
      <c r="N977" s="15"/>
    </row>
    <row r="978" spans="1:14" s="17" customFormat="1">
      <c r="A978" s="12"/>
      <c r="B978" s="13"/>
      <c r="C978" s="14"/>
      <c r="D978" s="15"/>
      <c r="E978" s="16"/>
      <c r="F978" s="16"/>
      <c r="I978" s="18"/>
      <c r="J978" s="12"/>
      <c r="K978" s="12"/>
      <c r="L978" s="13"/>
      <c r="M978" s="14"/>
      <c r="N978" s="15"/>
    </row>
    <row r="979" spans="1:14" s="17" customFormat="1">
      <c r="A979" s="12"/>
      <c r="B979" s="13"/>
      <c r="C979" s="14"/>
      <c r="D979" s="15"/>
      <c r="E979" s="16"/>
      <c r="F979" s="16"/>
      <c r="I979" s="18"/>
      <c r="J979" s="12"/>
      <c r="K979" s="12"/>
      <c r="L979" s="13"/>
      <c r="M979" s="14"/>
      <c r="N979" s="15"/>
    </row>
    <row r="980" spans="1:14" s="17" customFormat="1">
      <c r="A980" s="12"/>
      <c r="B980" s="13"/>
      <c r="C980" s="14"/>
      <c r="D980" s="15"/>
      <c r="E980" s="16"/>
      <c r="F980" s="16"/>
      <c r="I980" s="18"/>
      <c r="J980" s="12"/>
      <c r="K980" s="12"/>
      <c r="L980" s="13"/>
      <c r="M980" s="14"/>
      <c r="N980" s="15"/>
    </row>
    <row r="981" spans="1:14" s="17" customFormat="1">
      <c r="A981" s="12"/>
      <c r="B981" s="13"/>
      <c r="C981" s="14"/>
      <c r="D981" s="15"/>
      <c r="E981" s="16"/>
      <c r="F981" s="16"/>
      <c r="I981" s="18"/>
      <c r="J981" s="12"/>
      <c r="K981" s="12"/>
      <c r="L981" s="13"/>
      <c r="M981" s="14"/>
      <c r="N981" s="15"/>
    </row>
    <row r="982" spans="1:14" s="17" customFormat="1">
      <c r="A982" s="12"/>
      <c r="B982" s="13"/>
      <c r="C982" s="14"/>
      <c r="D982" s="15"/>
      <c r="E982" s="16"/>
      <c r="F982" s="16"/>
      <c r="I982" s="18"/>
      <c r="J982" s="12"/>
      <c r="K982" s="12"/>
      <c r="L982" s="13"/>
      <c r="M982" s="14"/>
      <c r="N982" s="15"/>
    </row>
    <row r="983" spans="1:14" s="17" customFormat="1">
      <c r="A983" s="12"/>
      <c r="B983" s="13"/>
      <c r="C983" s="14"/>
      <c r="D983" s="15"/>
      <c r="E983" s="16"/>
      <c r="F983" s="16"/>
      <c r="I983" s="18"/>
      <c r="J983" s="12"/>
      <c r="K983" s="12"/>
      <c r="L983" s="13"/>
      <c r="M983" s="14"/>
      <c r="N983" s="15"/>
    </row>
    <row r="984" spans="1:14" s="17" customFormat="1">
      <c r="A984" s="12"/>
      <c r="B984" s="13"/>
      <c r="C984" s="14"/>
      <c r="D984" s="15"/>
      <c r="E984" s="16"/>
      <c r="F984" s="16"/>
      <c r="I984" s="18"/>
      <c r="J984" s="12"/>
      <c r="K984" s="12"/>
      <c r="L984" s="13"/>
      <c r="M984" s="14"/>
      <c r="N984" s="15"/>
    </row>
    <row r="985" spans="1:14" s="17" customFormat="1">
      <c r="A985" s="12"/>
      <c r="B985" s="13"/>
      <c r="C985" s="14"/>
      <c r="D985" s="15"/>
      <c r="E985" s="16"/>
      <c r="F985" s="16"/>
      <c r="I985" s="18"/>
      <c r="J985" s="12"/>
      <c r="K985" s="12"/>
      <c r="L985" s="13"/>
      <c r="M985" s="14"/>
      <c r="N985" s="15"/>
    </row>
    <row r="986" spans="1:14" s="17" customFormat="1">
      <c r="A986" s="12"/>
      <c r="B986" s="13"/>
      <c r="C986" s="14"/>
      <c r="D986" s="15"/>
      <c r="E986" s="16"/>
      <c r="F986" s="16"/>
      <c r="I986" s="18"/>
      <c r="J986" s="12"/>
      <c r="K986" s="12"/>
      <c r="L986" s="13"/>
      <c r="M986" s="14"/>
      <c r="N986" s="15"/>
    </row>
    <row r="987" spans="1:14" s="17" customFormat="1">
      <c r="A987" s="12"/>
      <c r="B987" s="13"/>
      <c r="C987" s="14"/>
      <c r="D987" s="15"/>
      <c r="E987" s="16"/>
      <c r="F987" s="16"/>
      <c r="I987" s="18"/>
      <c r="J987" s="12"/>
      <c r="K987" s="12"/>
      <c r="L987" s="13"/>
      <c r="M987" s="14"/>
      <c r="N987" s="15"/>
    </row>
    <row r="988" spans="1:14" s="17" customFormat="1">
      <c r="A988" s="12"/>
      <c r="B988" s="13"/>
      <c r="C988" s="14"/>
      <c r="D988" s="15"/>
      <c r="E988" s="16"/>
      <c r="F988" s="16"/>
      <c r="I988" s="18"/>
      <c r="J988" s="12"/>
      <c r="K988" s="12"/>
      <c r="L988" s="13"/>
      <c r="M988" s="14"/>
      <c r="N988" s="15"/>
    </row>
    <row r="989" spans="1:14" s="17" customFormat="1">
      <c r="A989" s="12"/>
      <c r="B989" s="13"/>
      <c r="C989" s="14"/>
      <c r="D989" s="15"/>
      <c r="E989" s="16"/>
      <c r="F989" s="16"/>
      <c r="I989" s="18"/>
      <c r="J989" s="12"/>
      <c r="K989" s="12"/>
      <c r="L989" s="13"/>
      <c r="M989" s="14"/>
      <c r="N989" s="15"/>
    </row>
    <row r="990" spans="1:14" s="17" customFormat="1">
      <c r="A990" s="12"/>
      <c r="B990" s="13"/>
      <c r="C990" s="14"/>
      <c r="D990" s="15"/>
      <c r="E990" s="16"/>
      <c r="F990" s="16"/>
      <c r="I990" s="18"/>
      <c r="J990" s="12"/>
      <c r="K990" s="12"/>
      <c r="L990" s="13"/>
      <c r="M990" s="14"/>
      <c r="N990" s="15"/>
    </row>
    <row r="991" spans="1:14" s="17" customFormat="1">
      <c r="A991" s="12"/>
      <c r="B991" s="13"/>
      <c r="C991" s="14"/>
      <c r="D991" s="15"/>
      <c r="E991" s="16"/>
      <c r="F991" s="16"/>
      <c r="I991" s="18"/>
      <c r="J991" s="12"/>
      <c r="K991" s="12"/>
      <c r="L991" s="13"/>
      <c r="M991" s="14"/>
      <c r="N991" s="15"/>
    </row>
    <row r="992" spans="1:14" s="17" customFormat="1">
      <c r="A992" s="12"/>
      <c r="B992" s="13"/>
      <c r="C992" s="14"/>
      <c r="D992" s="15"/>
      <c r="E992" s="16"/>
      <c r="F992" s="16"/>
      <c r="I992" s="18"/>
      <c r="J992" s="12"/>
      <c r="K992" s="12"/>
      <c r="L992" s="13"/>
      <c r="M992" s="14"/>
      <c r="N992" s="15"/>
    </row>
    <row r="993" spans="1:14" s="17" customFormat="1">
      <c r="A993" s="12"/>
      <c r="B993" s="13"/>
      <c r="C993" s="14"/>
      <c r="D993" s="15"/>
      <c r="E993" s="16"/>
      <c r="F993" s="16"/>
      <c r="I993" s="18"/>
      <c r="J993" s="12"/>
      <c r="K993" s="12"/>
      <c r="L993" s="13"/>
      <c r="M993" s="14"/>
      <c r="N993" s="15"/>
    </row>
    <row r="994" spans="1:14" s="17" customFormat="1">
      <c r="A994" s="12"/>
      <c r="B994" s="13"/>
      <c r="C994" s="14"/>
      <c r="D994" s="15"/>
      <c r="E994" s="16"/>
      <c r="F994" s="16"/>
      <c r="I994" s="18"/>
      <c r="J994" s="12"/>
      <c r="K994" s="12"/>
      <c r="L994" s="13"/>
      <c r="M994" s="14"/>
      <c r="N994" s="15"/>
    </row>
    <row r="995" spans="1:14" s="17" customFormat="1">
      <c r="A995" s="12"/>
      <c r="B995" s="13"/>
      <c r="C995" s="14"/>
      <c r="D995" s="15"/>
      <c r="E995" s="16"/>
      <c r="F995" s="16"/>
      <c r="I995" s="18"/>
      <c r="J995" s="12"/>
      <c r="K995" s="12"/>
      <c r="L995" s="13"/>
      <c r="M995" s="14"/>
      <c r="N995" s="15"/>
    </row>
    <row r="996" spans="1:14" s="17" customFormat="1">
      <c r="A996" s="12"/>
      <c r="B996" s="13"/>
      <c r="C996" s="14"/>
      <c r="D996" s="15"/>
      <c r="E996" s="16"/>
      <c r="F996" s="16"/>
      <c r="I996" s="18"/>
      <c r="J996" s="12"/>
      <c r="K996" s="12"/>
      <c r="L996" s="13"/>
      <c r="M996" s="14"/>
      <c r="N996" s="15"/>
    </row>
    <row r="997" spans="1:14" s="17" customFormat="1">
      <c r="A997" s="12"/>
      <c r="B997" s="13"/>
      <c r="C997" s="14"/>
      <c r="D997" s="15"/>
      <c r="E997" s="16"/>
      <c r="F997" s="16"/>
      <c r="I997" s="18"/>
      <c r="J997" s="12"/>
      <c r="K997" s="12"/>
      <c r="L997" s="13"/>
      <c r="M997" s="14"/>
      <c r="N997" s="15"/>
    </row>
    <row r="998" spans="1:14" s="17" customFormat="1">
      <c r="A998" s="12"/>
      <c r="B998" s="13"/>
      <c r="C998" s="14"/>
      <c r="D998" s="15"/>
      <c r="E998" s="16"/>
      <c r="F998" s="16"/>
      <c r="I998" s="18"/>
      <c r="J998" s="12"/>
      <c r="K998" s="12"/>
      <c r="L998" s="13"/>
      <c r="M998" s="14"/>
      <c r="N998" s="15"/>
    </row>
    <row r="999" spans="1:14" s="17" customFormat="1">
      <c r="A999" s="12"/>
      <c r="B999" s="13"/>
      <c r="C999" s="14"/>
      <c r="D999" s="15"/>
      <c r="E999" s="16"/>
      <c r="F999" s="16"/>
      <c r="I999" s="18"/>
      <c r="J999" s="12"/>
      <c r="K999" s="12"/>
      <c r="L999" s="13"/>
      <c r="M999" s="14"/>
      <c r="N999" s="15"/>
    </row>
    <row r="1000" spans="1:14" s="17" customFormat="1">
      <c r="A1000" s="12"/>
      <c r="B1000" s="13"/>
      <c r="C1000" s="14"/>
      <c r="D1000" s="15"/>
      <c r="E1000" s="16"/>
      <c r="F1000" s="16"/>
      <c r="I1000" s="18"/>
      <c r="J1000" s="12"/>
      <c r="K1000" s="12"/>
      <c r="L1000" s="13"/>
      <c r="M1000" s="14"/>
      <c r="N1000" s="15"/>
    </row>
    <row r="1001" spans="1:14" s="17" customFormat="1">
      <c r="A1001" s="12"/>
      <c r="B1001" s="13"/>
      <c r="C1001" s="14"/>
      <c r="D1001" s="15"/>
      <c r="E1001" s="16"/>
      <c r="F1001" s="16"/>
      <c r="I1001" s="18"/>
      <c r="J1001" s="12"/>
      <c r="K1001" s="12"/>
      <c r="L1001" s="13"/>
      <c r="M1001" s="14"/>
      <c r="N1001" s="15"/>
    </row>
    <row r="1002" spans="1:14" s="17" customFormat="1">
      <c r="A1002" s="12"/>
      <c r="B1002" s="13"/>
      <c r="C1002" s="14"/>
      <c r="D1002" s="15"/>
      <c r="E1002" s="16"/>
      <c r="F1002" s="16"/>
      <c r="I1002" s="18"/>
      <c r="J1002" s="12"/>
      <c r="K1002" s="12"/>
      <c r="L1002" s="13"/>
      <c r="M1002" s="14"/>
      <c r="N1002" s="15"/>
    </row>
    <row r="1003" spans="1:14" s="17" customFormat="1">
      <c r="A1003" s="12"/>
      <c r="B1003" s="13"/>
      <c r="C1003" s="14"/>
      <c r="D1003" s="15"/>
      <c r="E1003" s="16"/>
      <c r="F1003" s="16"/>
      <c r="I1003" s="18"/>
      <c r="J1003" s="12"/>
      <c r="K1003" s="12"/>
      <c r="L1003" s="13"/>
      <c r="M1003" s="14"/>
      <c r="N1003" s="15"/>
    </row>
    <row r="1004" spans="1:14" s="17" customFormat="1">
      <c r="A1004" s="12"/>
      <c r="B1004" s="13"/>
      <c r="C1004" s="14"/>
      <c r="D1004" s="15"/>
      <c r="E1004" s="16"/>
      <c r="F1004" s="16"/>
      <c r="I1004" s="18"/>
      <c r="J1004" s="12"/>
      <c r="K1004" s="12"/>
      <c r="L1004" s="13"/>
      <c r="M1004" s="14"/>
      <c r="N1004" s="15"/>
    </row>
    <row r="1005" spans="1:14" s="17" customFormat="1">
      <c r="A1005" s="12"/>
      <c r="B1005" s="13"/>
      <c r="C1005" s="14"/>
      <c r="D1005" s="15"/>
      <c r="E1005" s="16"/>
      <c r="F1005" s="16"/>
      <c r="I1005" s="18"/>
      <c r="J1005" s="12"/>
      <c r="K1005" s="12"/>
      <c r="L1005" s="13"/>
      <c r="M1005" s="14"/>
      <c r="N1005" s="15"/>
    </row>
    <row r="1006" spans="1:14" s="17" customFormat="1">
      <c r="A1006" s="12"/>
      <c r="B1006" s="13"/>
      <c r="C1006" s="14"/>
      <c r="D1006" s="15"/>
      <c r="E1006" s="16"/>
      <c r="F1006" s="16"/>
      <c r="I1006" s="18"/>
      <c r="J1006" s="12"/>
      <c r="K1006" s="12"/>
      <c r="L1006" s="13"/>
      <c r="M1006" s="14"/>
      <c r="N1006" s="15"/>
    </row>
    <row r="1007" spans="1:14" s="17" customFormat="1">
      <c r="A1007" s="12"/>
      <c r="B1007" s="13"/>
      <c r="C1007" s="14"/>
      <c r="D1007" s="15"/>
      <c r="E1007" s="16"/>
      <c r="F1007" s="16"/>
      <c r="I1007" s="18"/>
      <c r="J1007" s="12"/>
      <c r="K1007" s="12"/>
      <c r="L1007" s="13"/>
      <c r="M1007" s="14"/>
      <c r="N1007" s="15"/>
    </row>
    <row r="1008" spans="1:14" s="17" customFormat="1">
      <c r="A1008" s="12"/>
      <c r="B1008" s="13"/>
      <c r="C1008" s="14"/>
      <c r="D1008" s="15"/>
      <c r="E1008" s="16"/>
      <c r="F1008" s="16"/>
      <c r="I1008" s="18"/>
      <c r="J1008" s="12"/>
      <c r="K1008" s="12"/>
      <c r="L1008" s="13"/>
      <c r="M1008" s="14"/>
      <c r="N1008" s="15"/>
    </row>
    <row r="1009" spans="1:14" s="17" customFormat="1">
      <c r="A1009" s="12"/>
      <c r="B1009" s="13"/>
      <c r="C1009" s="14"/>
      <c r="D1009" s="15"/>
      <c r="E1009" s="16"/>
      <c r="F1009" s="16"/>
      <c r="I1009" s="18"/>
      <c r="J1009" s="12"/>
      <c r="K1009" s="12"/>
      <c r="L1009" s="13"/>
      <c r="M1009" s="14"/>
      <c r="N1009" s="15"/>
    </row>
    <row r="1010" spans="1:14" s="17" customFormat="1">
      <c r="A1010" s="12"/>
      <c r="B1010" s="13"/>
      <c r="C1010" s="14"/>
      <c r="D1010" s="15"/>
      <c r="E1010" s="16"/>
      <c r="F1010" s="16"/>
      <c r="I1010" s="18"/>
      <c r="J1010" s="12"/>
      <c r="K1010" s="12"/>
      <c r="L1010" s="13"/>
      <c r="M1010" s="14"/>
      <c r="N1010" s="15"/>
    </row>
    <row r="1011" spans="1:14" s="17" customFormat="1">
      <c r="A1011" s="12"/>
      <c r="B1011" s="13"/>
      <c r="C1011" s="14"/>
      <c r="D1011" s="15"/>
      <c r="E1011" s="16"/>
      <c r="F1011" s="16"/>
      <c r="I1011" s="18"/>
      <c r="J1011" s="12"/>
      <c r="K1011" s="12"/>
      <c r="L1011" s="13"/>
      <c r="M1011" s="14"/>
      <c r="N1011" s="15"/>
    </row>
    <row r="1012" spans="1:14" s="17" customFormat="1">
      <c r="A1012" s="12"/>
      <c r="B1012" s="13"/>
      <c r="C1012" s="14"/>
      <c r="D1012" s="15"/>
      <c r="E1012" s="16"/>
      <c r="F1012" s="16"/>
      <c r="I1012" s="18"/>
      <c r="J1012" s="12"/>
      <c r="K1012" s="12"/>
      <c r="L1012" s="13"/>
      <c r="M1012" s="14"/>
      <c r="N1012" s="15"/>
    </row>
    <row r="1013" spans="1:14" s="17" customFormat="1">
      <c r="A1013" s="12"/>
      <c r="B1013" s="13"/>
      <c r="C1013" s="14"/>
      <c r="D1013" s="15"/>
      <c r="E1013" s="16"/>
      <c r="F1013" s="16"/>
      <c r="I1013" s="18"/>
      <c r="J1013" s="12"/>
      <c r="K1013" s="12"/>
      <c r="L1013" s="13"/>
      <c r="M1013" s="14"/>
      <c r="N1013" s="15"/>
    </row>
    <row r="1014" spans="1:14" s="17" customFormat="1">
      <c r="A1014" s="12"/>
      <c r="B1014" s="13"/>
      <c r="C1014" s="14"/>
      <c r="D1014" s="15"/>
      <c r="E1014" s="16"/>
      <c r="F1014" s="16"/>
      <c r="I1014" s="18"/>
      <c r="J1014" s="12"/>
      <c r="K1014" s="12"/>
      <c r="L1014" s="13"/>
      <c r="M1014" s="14"/>
      <c r="N1014" s="15"/>
    </row>
    <row r="1015" spans="1:14" s="17" customFormat="1">
      <c r="A1015" s="12"/>
      <c r="B1015" s="13"/>
      <c r="C1015" s="14"/>
      <c r="D1015" s="15"/>
      <c r="E1015" s="16"/>
      <c r="F1015" s="16"/>
      <c r="I1015" s="18"/>
      <c r="J1015" s="12"/>
      <c r="K1015" s="12"/>
      <c r="L1015" s="13"/>
      <c r="M1015" s="14"/>
      <c r="N1015" s="15"/>
    </row>
    <row r="1016" spans="1:14" s="17" customFormat="1">
      <c r="A1016" s="12"/>
      <c r="B1016" s="13"/>
      <c r="C1016" s="14"/>
      <c r="D1016" s="15"/>
      <c r="E1016" s="16"/>
      <c r="F1016" s="16"/>
      <c r="I1016" s="18"/>
      <c r="J1016" s="12"/>
      <c r="K1016" s="12"/>
      <c r="L1016" s="13"/>
      <c r="M1016" s="14"/>
      <c r="N1016" s="15"/>
    </row>
    <row r="1017" spans="1:14" s="17" customFormat="1">
      <c r="A1017" s="12"/>
      <c r="B1017" s="13"/>
      <c r="C1017" s="14"/>
      <c r="D1017" s="15"/>
      <c r="E1017" s="16"/>
      <c r="F1017" s="16"/>
      <c r="I1017" s="18"/>
      <c r="J1017" s="12"/>
      <c r="K1017" s="12"/>
      <c r="L1017" s="13"/>
      <c r="M1017" s="14"/>
      <c r="N1017" s="15"/>
    </row>
    <row r="1018" spans="1:14" s="17" customFormat="1">
      <c r="A1018" s="12"/>
      <c r="B1018" s="13"/>
      <c r="C1018" s="14"/>
      <c r="D1018" s="15"/>
      <c r="E1018" s="16"/>
      <c r="F1018" s="16"/>
      <c r="I1018" s="18"/>
      <c r="J1018" s="12"/>
      <c r="K1018" s="12"/>
      <c r="L1018" s="13"/>
      <c r="M1018" s="14"/>
      <c r="N1018" s="15"/>
    </row>
    <row r="1019" spans="1:14" s="17" customFormat="1">
      <c r="A1019" s="12"/>
      <c r="B1019" s="13"/>
      <c r="C1019" s="14"/>
      <c r="D1019" s="15"/>
      <c r="E1019" s="16"/>
      <c r="F1019" s="16"/>
      <c r="I1019" s="18"/>
      <c r="J1019" s="12"/>
      <c r="K1019" s="12"/>
      <c r="L1019" s="13"/>
      <c r="M1019" s="14"/>
      <c r="N1019" s="15"/>
    </row>
    <row r="1020" spans="1:14" s="17" customFormat="1">
      <c r="A1020" s="12"/>
      <c r="B1020" s="13"/>
      <c r="C1020" s="14"/>
      <c r="D1020" s="15"/>
      <c r="E1020" s="16"/>
      <c r="F1020" s="16"/>
      <c r="I1020" s="18"/>
      <c r="J1020" s="12"/>
      <c r="K1020" s="12"/>
      <c r="L1020" s="13"/>
      <c r="M1020" s="14"/>
      <c r="N1020" s="15"/>
    </row>
    <row r="1021" spans="1:14" s="17" customFormat="1">
      <c r="A1021" s="12"/>
      <c r="B1021" s="13"/>
      <c r="C1021" s="14"/>
      <c r="D1021" s="15"/>
      <c r="E1021" s="16"/>
      <c r="F1021" s="16"/>
      <c r="I1021" s="18"/>
      <c r="J1021" s="12"/>
      <c r="K1021" s="12"/>
      <c r="L1021" s="13"/>
      <c r="M1021" s="14"/>
      <c r="N1021" s="15"/>
    </row>
    <row r="1022" spans="1:14" s="17" customFormat="1">
      <c r="A1022" s="12"/>
      <c r="B1022" s="13"/>
      <c r="C1022" s="14"/>
      <c r="D1022" s="15"/>
      <c r="E1022" s="16"/>
      <c r="F1022" s="16"/>
      <c r="I1022" s="18"/>
      <c r="J1022" s="12"/>
      <c r="K1022" s="12"/>
      <c r="L1022" s="13"/>
      <c r="M1022" s="14"/>
      <c r="N1022" s="15"/>
    </row>
    <row r="1023" spans="1:14" s="17" customFormat="1">
      <c r="A1023" s="12"/>
      <c r="B1023" s="13"/>
      <c r="C1023" s="14"/>
      <c r="D1023" s="15"/>
      <c r="E1023" s="16"/>
      <c r="F1023" s="16"/>
      <c r="I1023" s="18"/>
      <c r="J1023" s="12"/>
      <c r="K1023" s="12"/>
      <c r="L1023" s="13"/>
      <c r="M1023" s="14"/>
      <c r="N1023" s="15"/>
    </row>
    <row r="1024" spans="1:14" s="17" customFormat="1">
      <c r="A1024" s="12"/>
      <c r="B1024" s="13"/>
      <c r="C1024" s="14"/>
      <c r="D1024" s="15"/>
      <c r="E1024" s="16"/>
      <c r="F1024" s="16"/>
      <c r="I1024" s="18"/>
      <c r="J1024" s="12"/>
      <c r="K1024" s="12"/>
      <c r="L1024" s="13"/>
      <c r="M1024" s="14"/>
      <c r="N1024" s="15"/>
    </row>
    <row r="1025" spans="1:14" s="17" customFormat="1">
      <c r="A1025" s="12"/>
      <c r="B1025" s="13"/>
      <c r="C1025" s="14"/>
      <c r="D1025" s="15"/>
      <c r="E1025" s="16"/>
      <c r="F1025" s="16"/>
      <c r="I1025" s="18"/>
      <c r="J1025" s="12"/>
      <c r="K1025" s="12"/>
      <c r="L1025" s="13"/>
      <c r="M1025" s="14"/>
      <c r="N1025" s="15"/>
    </row>
    <row r="1026" spans="1:14" s="17" customFormat="1">
      <c r="A1026" s="12"/>
      <c r="B1026" s="13"/>
      <c r="C1026" s="14"/>
      <c r="D1026" s="15"/>
      <c r="E1026" s="16"/>
      <c r="F1026" s="16"/>
      <c r="I1026" s="18"/>
      <c r="J1026" s="12"/>
      <c r="K1026" s="12"/>
      <c r="L1026" s="13"/>
      <c r="M1026" s="14"/>
      <c r="N1026" s="15"/>
    </row>
    <row r="1027" spans="1:14" s="17" customFormat="1">
      <c r="A1027" s="12"/>
      <c r="B1027" s="13"/>
      <c r="C1027" s="14"/>
      <c r="D1027" s="15"/>
      <c r="E1027" s="16"/>
      <c r="F1027" s="16"/>
      <c r="I1027" s="18"/>
      <c r="J1027" s="12"/>
      <c r="K1027" s="12"/>
      <c r="L1027" s="13"/>
      <c r="M1027" s="14"/>
      <c r="N1027" s="15"/>
    </row>
    <row r="1028" spans="1:14" s="17" customFormat="1">
      <c r="A1028" s="12"/>
      <c r="B1028" s="13"/>
      <c r="C1028" s="14"/>
      <c r="D1028" s="15"/>
      <c r="E1028" s="16"/>
      <c r="F1028" s="16"/>
      <c r="I1028" s="18"/>
      <c r="J1028" s="12"/>
      <c r="K1028" s="12"/>
      <c r="L1028" s="13"/>
      <c r="M1028" s="14"/>
      <c r="N1028" s="15"/>
    </row>
    <row r="1029" spans="1:14" s="17" customFormat="1">
      <c r="A1029" s="12"/>
      <c r="B1029" s="13"/>
      <c r="C1029" s="14"/>
      <c r="D1029" s="15"/>
      <c r="E1029" s="16"/>
      <c r="F1029" s="16"/>
      <c r="I1029" s="18"/>
      <c r="J1029" s="12"/>
      <c r="K1029" s="12"/>
      <c r="L1029" s="13"/>
      <c r="M1029" s="14"/>
      <c r="N1029" s="15"/>
    </row>
    <row r="1030" spans="1:14" s="17" customFormat="1">
      <c r="A1030" s="12"/>
      <c r="B1030" s="13"/>
      <c r="C1030" s="14"/>
      <c r="D1030" s="15"/>
      <c r="E1030" s="16"/>
      <c r="F1030" s="16"/>
      <c r="I1030" s="18"/>
      <c r="J1030" s="12"/>
      <c r="K1030" s="12"/>
      <c r="L1030" s="13"/>
      <c r="M1030" s="14"/>
      <c r="N1030" s="15"/>
    </row>
    <row r="1031" spans="1:14" s="17" customFormat="1">
      <c r="A1031" s="12"/>
      <c r="B1031" s="13"/>
      <c r="C1031" s="14"/>
      <c r="D1031" s="15"/>
      <c r="E1031" s="16"/>
      <c r="F1031" s="16"/>
      <c r="I1031" s="18"/>
      <c r="J1031" s="12"/>
      <c r="K1031" s="12"/>
      <c r="L1031" s="13"/>
      <c r="M1031" s="14"/>
      <c r="N1031" s="15"/>
    </row>
    <row r="1032" spans="1:14" s="17" customFormat="1">
      <c r="A1032" s="12"/>
      <c r="B1032" s="13"/>
      <c r="C1032" s="14"/>
      <c r="D1032" s="15"/>
      <c r="E1032" s="16"/>
      <c r="F1032" s="16"/>
      <c r="I1032" s="18"/>
      <c r="J1032" s="12"/>
      <c r="K1032" s="12"/>
      <c r="L1032" s="13"/>
      <c r="M1032" s="14"/>
      <c r="N1032" s="15"/>
    </row>
    <row r="1033" spans="1:14" s="17" customFormat="1">
      <c r="A1033" s="12"/>
      <c r="B1033" s="13"/>
      <c r="C1033" s="14"/>
      <c r="D1033" s="15"/>
      <c r="E1033" s="16"/>
      <c r="F1033" s="16"/>
      <c r="I1033" s="18"/>
      <c r="J1033" s="12"/>
      <c r="K1033" s="12"/>
      <c r="L1033" s="13"/>
      <c r="M1033" s="14"/>
      <c r="N1033" s="15"/>
    </row>
    <row r="1034" spans="1:14" s="17" customFormat="1">
      <c r="A1034" s="12"/>
      <c r="B1034" s="13"/>
      <c r="C1034" s="14"/>
      <c r="D1034" s="15"/>
      <c r="E1034" s="16"/>
      <c r="F1034" s="16"/>
      <c r="I1034" s="18"/>
      <c r="J1034" s="12"/>
      <c r="K1034" s="12"/>
      <c r="L1034" s="13"/>
      <c r="M1034" s="14"/>
      <c r="N1034" s="15"/>
    </row>
    <row r="1035" spans="1:14" s="17" customFormat="1">
      <c r="A1035" s="12"/>
      <c r="B1035" s="13"/>
      <c r="C1035" s="14"/>
      <c r="D1035" s="15"/>
      <c r="E1035" s="16"/>
      <c r="F1035" s="16"/>
      <c r="I1035" s="18"/>
      <c r="J1035" s="12"/>
      <c r="K1035" s="12"/>
      <c r="L1035" s="13"/>
      <c r="M1035" s="14"/>
      <c r="N1035" s="15"/>
    </row>
    <row r="1036" spans="1:14" s="17" customFormat="1">
      <c r="A1036" s="12"/>
      <c r="B1036" s="13"/>
      <c r="C1036" s="14"/>
      <c r="D1036" s="15"/>
      <c r="E1036" s="16"/>
      <c r="F1036" s="16"/>
      <c r="I1036" s="18"/>
      <c r="J1036" s="12"/>
      <c r="K1036" s="12"/>
      <c r="L1036" s="13"/>
      <c r="M1036" s="14"/>
      <c r="N1036" s="15"/>
    </row>
    <row r="1037" spans="1:14" s="17" customFormat="1">
      <c r="A1037" s="12"/>
      <c r="B1037" s="13"/>
      <c r="C1037" s="14"/>
      <c r="D1037" s="15"/>
      <c r="E1037" s="16"/>
      <c r="F1037" s="16"/>
      <c r="I1037" s="18"/>
      <c r="J1037" s="12"/>
      <c r="K1037" s="12"/>
      <c r="L1037" s="13"/>
      <c r="M1037" s="14"/>
      <c r="N1037" s="15"/>
    </row>
    <row r="1038" spans="1:14" s="17" customFormat="1">
      <c r="A1038" s="12"/>
      <c r="B1038" s="13"/>
      <c r="C1038" s="14"/>
      <c r="D1038" s="15"/>
      <c r="E1038" s="16"/>
      <c r="F1038" s="16"/>
      <c r="I1038" s="18"/>
      <c r="J1038" s="12"/>
      <c r="K1038" s="12"/>
      <c r="L1038" s="13"/>
      <c r="M1038" s="14"/>
      <c r="N1038" s="15"/>
    </row>
    <row r="1039" spans="1:14" s="17" customFormat="1">
      <c r="A1039" s="12"/>
      <c r="B1039" s="13"/>
      <c r="C1039" s="14"/>
      <c r="D1039" s="15"/>
      <c r="E1039" s="16"/>
      <c r="F1039" s="16"/>
      <c r="I1039" s="18"/>
      <c r="J1039" s="12"/>
      <c r="K1039" s="12"/>
      <c r="L1039" s="13"/>
      <c r="M1039" s="14"/>
      <c r="N1039" s="15"/>
    </row>
    <row r="1040" spans="1:14" s="17" customFormat="1">
      <c r="A1040" s="12"/>
      <c r="B1040" s="13"/>
      <c r="C1040" s="14"/>
      <c r="D1040" s="15"/>
      <c r="E1040" s="16"/>
      <c r="F1040" s="16"/>
      <c r="I1040" s="18"/>
      <c r="J1040" s="12"/>
      <c r="K1040" s="12"/>
      <c r="L1040" s="13"/>
      <c r="M1040" s="14"/>
      <c r="N1040" s="15"/>
    </row>
    <row r="1041" spans="1:14" s="17" customFormat="1">
      <c r="A1041" s="12"/>
      <c r="B1041" s="13"/>
      <c r="C1041" s="14"/>
      <c r="D1041" s="15"/>
      <c r="E1041" s="16"/>
      <c r="F1041" s="16"/>
      <c r="I1041" s="18"/>
      <c r="J1041" s="12"/>
      <c r="K1041" s="12"/>
      <c r="L1041" s="13"/>
      <c r="M1041" s="14"/>
      <c r="N1041" s="15"/>
    </row>
    <row r="1042" spans="1:14" s="17" customFormat="1">
      <c r="A1042" s="12"/>
      <c r="B1042" s="13"/>
      <c r="C1042" s="14"/>
      <c r="D1042" s="15"/>
      <c r="E1042" s="16"/>
      <c r="F1042" s="16"/>
      <c r="I1042" s="18"/>
      <c r="J1042" s="12"/>
      <c r="K1042" s="12"/>
      <c r="L1042" s="13"/>
      <c r="M1042" s="14"/>
      <c r="N1042" s="15"/>
    </row>
    <row r="1043" spans="1:14" s="17" customFormat="1">
      <c r="A1043" s="12"/>
      <c r="B1043" s="13"/>
      <c r="C1043" s="14"/>
      <c r="D1043" s="15"/>
      <c r="E1043" s="16"/>
      <c r="F1043" s="16"/>
      <c r="I1043" s="18"/>
      <c r="J1043" s="12"/>
      <c r="K1043" s="12"/>
      <c r="L1043" s="13"/>
      <c r="M1043" s="14"/>
      <c r="N1043" s="15"/>
    </row>
    <row r="1044" spans="1:14" s="17" customFormat="1">
      <c r="A1044" s="12"/>
      <c r="B1044" s="13"/>
      <c r="C1044" s="14"/>
      <c r="D1044" s="15"/>
      <c r="E1044" s="16"/>
      <c r="F1044" s="16"/>
      <c r="I1044" s="18"/>
      <c r="J1044" s="12"/>
      <c r="K1044" s="12"/>
      <c r="L1044" s="13"/>
      <c r="M1044" s="14"/>
      <c r="N1044" s="15"/>
    </row>
    <row r="1045" spans="1:14" s="17" customFormat="1">
      <c r="A1045" s="12"/>
      <c r="B1045" s="13"/>
      <c r="C1045" s="14"/>
      <c r="D1045" s="15"/>
      <c r="E1045" s="16"/>
      <c r="F1045" s="16"/>
      <c r="I1045" s="18"/>
      <c r="J1045" s="12"/>
      <c r="K1045" s="12"/>
      <c r="L1045" s="13"/>
      <c r="M1045" s="14"/>
      <c r="N1045" s="15"/>
    </row>
    <row r="1046" spans="1:14" s="17" customFormat="1">
      <c r="A1046" s="12"/>
      <c r="B1046" s="13"/>
      <c r="C1046" s="14"/>
      <c r="D1046" s="15"/>
      <c r="E1046" s="16"/>
      <c r="F1046" s="16"/>
      <c r="I1046" s="18"/>
      <c r="J1046" s="12"/>
      <c r="K1046" s="12"/>
      <c r="L1046" s="13"/>
      <c r="M1046" s="14"/>
      <c r="N1046" s="15"/>
    </row>
    <row r="1047" spans="1:14" s="17" customFormat="1">
      <c r="A1047" s="12"/>
      <c r="B1047" s="13"/>
      <c r="C1047" s="14"/>
      <c r="D1047" s="15"/>
      <c r="E1047" s="16"/>
      <c r="F1047" s="16"/>
      <c r="I1047" s="18"/>
      <c r="J1047" s="12"/>
      <c r="K1047" s="12"/>
      <c r="L1047" s="13"/>
      <c r="M1047" s="14"/>
      <c r="N1047" s="15"/>
    </row>
    <row r="1048" spans="1:14" s="17" customFormat="1">
      <c r="A1048" s="12"/>
      <c r="B1048" s="13"/>
      <c r="C1048" s="14"/>
      <c r="D1048" s="15"/>
      <c r="E1048" s="16"/>
      <c r="F1048" s="16"/>
      <c r="I1048" s="18"/>
      <c r="J1048" s="12"/>
      <c r="K1048" s="12"/>
      <c r="L1048" s="13"/>
      <c r="M1048" s="14"/>
      <c r="N1048" s="15"/>
    </row>
    <row r="1049" spans="1:14" s="17" customFormat="1">
      <c r="A1049" s="12"/>
      <c r="B1049" s="13"/>
      <c r="C1049" s="14"/>
      <c r="D1049" s="15"/>
      <c r="E1049" s="16"/>
      <c r="F1049" s="16"/>
      <c r="I1049" s="18"/>
      <c r="J1049" s="12"/>
      <c r="K1049" s="12"/>
      <c r="L1049" s="13"/>
      <c r="M1049" s="14"/>
      <c r="N1049" s="15"/>
    </row>
    <row r="1050" spans="1:14" s="17" customFormat="1">
      <c r="A1050" s="12"/>
      <c r="B1050" s="13"/>
      <c r="C1050" s="14"/>
      <c r="D1050" s="15"/>
      <c r="E1050" s="16"/>
      <c r="F1050" s="16"/>
      <c r="I1050" s="18"/>
      <c r="J1050" s="12"/>
      <c r="K1050" s="12"/>
      <c r="L1050" s="13"/>
      <c r="M1050" s="14"/>
      <c r="N1050" s="15"/>
    </row>
    <row r="1051" spans="1:14" s="17" customFormat="1">
      <c r="A1051" s="12"/>
      <c r="B1051" s="13"/>
      <c r="C1051" s="14"/>
      <c r="D1051" s="15"/>
      <c r="E1051" s="16"/>
      <c r="F1051" s="16"/>
      <c r="I1051" s="18"/>
      <c r="J1051" s="12"/>
      <c r="K1051" s="12"/>
      <c r="L1051" s="13"/>
      <c r="M1051" s="14"/>
      <c r="N1051" s="15"/>
    </row>
    <row r="1052" spans="1:14" s="17" customFormat="1">
      <c r="A1052" s="12"/>
      <c r="B1052" s="13"/>
      <c r="C1052" s="14"/>
      <c r="D1052" s="15"/>
      <c r="E1052" s="16"/>
      <c r="F1052" s="16"/>
      <c r="I1052" s="18"/>
      <c r="J1052" s="12"/>
      <c r="K1052" s="12"/>
      <c r="L1052" s="13"/>
      <c r="M1052" s="14"/>
      <c r="N1052" s="15"/>
    </row>
    <row r="1053" spans="1:14" s="17" customFormat="1">
      <c r="A1053" s="12"/>
      <c r="B1053" s="13"/>
      <c r="C1053" s="14"/>
      <c r="D1053" s="15"/>
      <c r="E1053" s="16"/>
      <c r="F1053" s="16"/>
      <c r="I1053" s="18"/>
      <c r="J1053" s="12"/>
      <c r="K1053" s="12"/>
      <c r="L1053" s="13"/>
      <c r="M1053" s="14"/>
      <c r="N1053" s="15"/>
    </row>
    <row r="1054" spans="1:14" s="17" customFormat="1">
      <c r="A1054" s="12"/>
      <c r="B1054" s="13"/>
      <c r="C1054" s="14"/>
      <c r="D1054" s="15"/>
      <c r="E1054" s="16"/>
      <c r="F1054" s="16"/>
      <c r="I1054" s="18"/>
      <c r="J1054" s="12"/>
      <c r="K1054" s="12"/>
      <c r="L1054" s="13"/>
      <c r="M1054" s="14"/>
      <c r="N1054" s="15"/>
    </row>
    <row r="1055" spans="1:14" s="17" customFormat="1">
      <c r="A1055" s="12"/>
      <c r="B1055" s="13"/>
      <c r="C1055" s="14"/>
      <c r="D1055" s="15"/>
      <c r="E1055" s="16"/>
      <c r="F1055" s="16"/>
      <c r="I1055" s="18"/>
      <c r="J1055" s="12"/>
      <c r="K1055" s="12"/>
      <c r="L1055" s="13"/>
      <c r="M1055" s="14"/>
      <c r="N1055" s="15"/>
    </row>
    <row r="1056" spans="1:14" s="17" customFormat="1">
      <c r="A1056" s="12"/>
      <c r="B1056" s="13"/>
      <c r="C1056" s="14"/>
      <c r="D1056" s="15"/>
      <c r="E1056" s="16"/>
      <c r="F1056" s="16"/>
      <c r="I1056" s="18"/>
      <c r="J1056" s="12"/>
      <c r="K1056" s="12"/>
      <c r="L1056" s="13"/>
      <c r="M1056" s="14"/>
      <c r="N1056" s="15"/>
    </row>
    <row r="1057" spans="1:14" s="17" customFormat="1">
      <c r="A1057" s="12"/>
      <c r="B1057" s="13"/>
      <c r="C1057" s="14"/>
      <c r="D1057" s="15"/>
      <c r="E1057" s="16"/>
      <c r="F1057" s="16"/>
      <c r="I1057" s="18"/>
      <c r="J1057" s="12"/>
      <c r="K1057" s="12"/>
      <c r="L1057" s="13"/>
      <c r="M1057" s="14"/>
      <c r="N1057" s="15"/>
    </row>
    <row r="1058" spans="1:14" s="17" customFormat="1">
      <c r="A1058" s="12"/>
      <c r="B1058" s="13"/>
      <c r="C1058" s="14"/>
      <c r="D1058" s="15"/>
      <c r="E1058" s="16"/>
      <c r="F1058" s="16"/>
      <c r="I1058" s="18"/>
      <c r="J1058" s="12"/>
      <c r="K1058" s="12"/>
      <c r="L1058" s="13"/>
      <c r="M1058" s="14"/>
      <c r="N1058" s="15"/>
    </row>
    <row r="1059" spans="1:14" s="17" customFormat="1">
      <c r="A1059" s="12"/>
      <c r="B1059" s="13"/>
      <c r="C1059" s="14"/>
      <c r="D1059" s="15"/>
      <c r="E1059" s="16"/>
      <c r="F1059" s="16"/>
      <c r="I1059" s="18"/>
      <c r="J1059" s="12"/>
      <c r="K1059" s="12"/>
      <c r="L1059" s="13"/>
      <c r="M1059" s="14"/>
      <c r="N1059" s="15"/>
    </row>
    <row r="1060" spans="1:14" s="17" customFormat="1">
      <c r="A1060" s="12"/>
      <c r="B1060" s="13"/>
      <c r="C1060" s="14"/>
      <c r="D1060" s="15"/>
      <c r="E1060" s="16"/>
      <c r="F1060" s="16"/>
      <c r="I1060" s="18"/>
      <c r="J1060" s="12"/>
      <c r="K1060" s="12"/>
      <c r="L1060" s="13"/>
      <c r="M1060" s="14"/>
      <c r="N1060" s="15"/>
    </row>
    <row r="1061" spans="1:14" s="17" customFormat="1">
      <c r="A1061" s="12"/>
      <c r="B1061" s="13"/>
      <c r="C1061" s="14"/>
      <c r="D1061" s="15"/>
      <c r="E1061" s="16"/>
      <c r="F1061" s="16"/>
      <c r="I1061" s="18"/>
      <c r="J1061" s="12"/>
      <c r="K1061" s="12"/>
      <c r="L1061" s="13"/>
      <c r="M1061" s="14"/>
      <c r="N1061" s="15"/>
    </row>
    <row r="1062" spans="1:14" s="17" customFormat="1">
      <c r="A1062" s="12"/>
      <c r="B1062" s="13"/>
      <c r="C1062" s="14"/>
      <c r="D1062" s="15"/>
      <c r="E1062" s="16"/>
      <c r="F1062" s="16"/>
      <c r="I1062" s="18"/>
      <c r="J1062" s="12"/>
      <c r="K1062" s="12"/>
      <c r="L1062" s="13"/>
      <c r="M1062" s="14"/>
      <c r="N1062" s="15"/>
    </row>
    <row r="1063" spans="1:14" s="17" customFormat="1">
      <c r="A1063" s="12"/>
      <c r="B1063" s="13"/>
      <c r="C1063" s="14"/>
      <c r="D1063" s="15"/>
      <c r="E1063" s="16"/>
      <c r="F1063" s="16"/>
      <c r="I1063" s="18"/>
      <c r="J1063" s="12"/>
      <c r="K1063" s="12"/>
      <c r="L1063" s="13"/>
      <c r="M1063" s="14"/>
      <c r="N1063" s="15"/>
    </row>
    <row r="1064" spans="1:14" s="17" customFormat="1">
      <c r="A1064" s="12"/>
      <c r="B1064" s="13"/>
      <c r="C1064" s="14"/>
      <c r="D1064" s="15"/>
      <c r="E1064" s="16"/>
      <c r="F1064" s="16"/>
      <c r="I1064" s="18"/>
      <c r="J1064" s="12"/>
      <c r="K1064" s="12"/>
      <c r="L1064" s="13"/>
      <c r="M1064" s="14"/>
      <c r="N1064" s="15"/>
    </row>
    <row r="1065" spans="1:14" s="17" customFormat="1">
      <c r="A1065" s="12"/>
      <c r="B1065" s="13"/>
      <c r="C1065" s="14"/>
      <c r="D1065" s="15"/>
      <c r="E1065" s="16"/>
      <c r="F1065" s="16"/>
      <c r="I1065" s="18"/>
      <c r="J1065" s="12"/>
      <c r="K1065" s="12"/>
      <c r="L1065" s="13"/>
      <c r="M1065" s="14"/>
      <c r="N1065" s="15"/>
    </row>
    <row r="1066" spans="1:14" s="17" customFormat="1">
      <c r="A1066" s="12"/>
      <c r="B1066" s="13"/>
      <c r="C1066" s="14"/>
      <c r="D1066" s="15"/>
      <c r="E1066" s="16"/>
      <c r="F1066" s="16"/>
      <c r="I1066" s="18"/>
      <c r="J1066" s="12"/>
      <c r="K1066" s="12"/>
      <c r="L1066" s="13"/>
      <c r="M1066" s="14"/>
      <c r="N1066" s="15"/>
    </row>
    <row r="1067" spans="1:14" s="17" customFormat="1">
      <c r="A1067" s="12"/>
      <c r="B1067" s="13"/>
      <c r="C1067" s="14"/>
      <c r="D1067" s="15"/>
      <c r="E1067" s="16"/>
      <c r="F1067" s="16"/>
      <c r="I1067" s="18"/>
      <c r="J1067" s="12"/>
      <c r="K1067" s="12"/>
      <c r="L1067" s="13"/>
      <c r="M1067" s="14"/>
      <c r="N1067" s="15"/>
    </row>
    <row r="1068" spans="1:14" s="17" customFormat="1">
      <c r="A1068" s="12"/>
      <c r="B1068" s="13"/>
      <c r="C1068" s="14"/>
      <c r="D1068" s="15"/>
      <c r="E1068" s="16"/>
      <c r="F1068" s="16"/>
      <c r="I1068" s="18"/>
      <c r="J1068" s="12"/>
      <c r="K1068" s="12"/>
      <c r="L1068" s="13"/>
      <c r="M1068" s="14"/>
      <c r="N1068" s="15"/>
    </row>
    <row r="1069" spans="1:14" s="17" customFormat="1">
      <c r="A1069" s="12"/>
      <c r="B1069" s="13"/>
      <c r="C1069" s="14"/>
      <c r="D1069" s="15"/>
      <c r="E1069" s="16"/>
      <c r="F1069" s="16"/>
      <c r="I1069" s="18"/>
      <c r="J1069" s="12"/>
      <c r="K1069" s="12"/>
      <c r="L1069" s="13"/>
      <c r="M1069" s="14"/>
      <c r="N1069" s="15"/>
    </row>
    <row r="1070" spans="1:14" s="17" customFormat="1">
      <c r="A1070" s="12"/>
      <c r="B1070" s="13"/>
      <c r="C1070" s="14"/>
      <c r="D1070" s="15"/>
      <c r="E1070" s="16"/>
      <c r="F1070" s="16"/>
      <c r="I1070" s="18"/>
      <c r="J1070" s="12"/>
      <c r="K1070" s="12"/>
      <c r="L1070" s="13"/>
      <c r="M1070" s="14"/>
      <c r="N1070" s="15"/>
    </row>
    <row r="1071" spans="1:14" s="17" customFormat="1">
      <c r="A1071" s="12"/>
      <c r="B1071" s="13"/>
      <c r="C1071" s="14"/>
      <c r="D1071" s="15"/>
      <c r="E1071" s="16"/>
      <c r="F1071" s="16"/>
      <c r="I1071" s="18"/>
      <c r="J1071" s="12"/>
      <c r="K1071" s="12"/>
      <c r="L1071" s="13"/>
      <c r="M1071" s="14"/>
      <c r="N1071" s="15"/>
    </row>
    <row r="1072" spans="1:14" s="17" customFormat="1">
      <c r="A1072" s="12"/>
      <c r="B1072" s="13"/>
      <c r="C1072" s="14"/>
      <c r="D1072" s="15"/>
      <c r="E1072" s="16"/>
      <c r="F1072" s="16"/>
      <c r="I1072" s="18"/>
      <c r="J1072" s="12"/>
      <c r="K1072" s="12"/>
      <c r="L1072" s="13"/>
      <c r="M1072" s="14"/>
      <c r="N1072" s="15"/>
    </row>
    <row r="1073" spans="1:14" s="17" customFormat="1">
      <c r="A1073" s="12"/>
      <c r="B1073" s="13"/>
      <c r="C1073" s="14"/>
      <c r="D1073" s="15"/>
      <c r="E1073" s="16"/>
      <c r="F1073" s="16"/>
      <c r="I1073" s="18"/>
      <c r="J1073" s="12"/>
      <c r="K1073" s="12"/>
      <c r="L1073" s="13"/>
      <c r="M1073" s="14"/>
      <c r="N1073" s="15"/>
    </row>
    <row r="1074" spans="1:14" s="17" customFormat="1">
      <c r="A1074" s="12"/>
      <c r="B1074" s="13"/>
      <c r="C1074" s="14"/>
      <c r="D1074" s="15"/>
      <c r="E1074" s="16"/>
      <c r="F1074" s="16"/>
      <c r="I1074" s="18"/>
      <c r="J1074" s="12"/>
      <c r="K1074" s="12"/>
      <c r="L1074" s="13"/>
      <c r="M1074" s="14"/>
      <c r="N1074" s="15"/>
    </row>
    <row r="1075" spans="1:14" s="17" customFormat="1">
      <c r="A1075" s="12"/>
      <c r="B1075" s="13"/>
      <c r="C1075" s="14"/>
      <c r="D1075" s="15"/>
      <c r="E1075" s="16"/>
      <c r="F1075" s="16"/>
      <c r="I1075" s="18"/>
      <c r="J1075" s="12"/>
      <c r="K1075" s="12"/>
      <c r="L1075" s="13"/>
      <c r="M1075" s="14"/>
      <c r="N1075" s="15"/>
    </row>
    <row r="1076" spans="1:14" s="17" customFormat="1">
      <c r="A1076" s="12"/>
      <c r="B1076" s="13"/>
      <c r="C1076" s="14"/>
      <c r="D1076" s="15"/>
      <c r="E1076" s="16"/>
      <c r="F1076" s="16"/>
      <c r="I1076" s="18"/>
      <c r="J1076" s="12"/>
      <c r="K1076" s="12"/>
      <c r="L1076" s="13"/>
      <c r="M1076" s="14"/>
      <c r="N1076" s="15"/>
    </row>
    <row r="1077" spans="1:14" s="17" customFormat="1">
      <c r="A1077" s="12"/>
      <c r="B1077" s="13"/>
      <c r="C1077" s="14"/>
      <c r="D1077" s="15"/>
      <c r="E1077" s="16"/>
      <c r="F1077" s="16"/>
      <c r="I1077" s="18"/>
      <c r="J1077" s="12"/>
      <c r="K1077" s="12"/>
      <c r="L1077" s="13"/>
      <c r="M1077" s="14"/>
      <c r="N1077" s="15"/>
    </row>
    <row r="1078" spans="1:14" s="17" customFormat="1">
      <c r="A1078" s="12"/>
      <c r="B1078" s="13"/>
      <c r="C1078" s="14"/>
      <c r="D1078" s="15"/>
      <c r="E1078" s="16"/>
      <c r="F1078" s="16"/>
      <c r="I1078" s="18"/>
      <c r="J1078" s="12"/>
      <c r="K1078" s="12"/>
      <c r="L1078" s="13"/>
      <c r="M1078" s="14"/>
      <c r="N1078" s="15"/>
    </row>
    <row r="1079" spans="1:14" s="17" customFormat="1">
      <c r="A1079" s="12"/>
      <c r="B1079" s="13"/>
      <c r="C1079" s="14"/>
      <c r="D1079" s="15"/>
      <c r="E1079" s="16"/>
      <c r="F1079" s="16"/>
      <c r="I1079" s="18"/>
      <c r="J1079" s="12"/>
      <c r="K1079" s="12"/>
      <c r="L1079" s="13"/>
      <c r="M1079" s="14"/>
      <c r="N1079" s="15"/>
    </row>
    <row r="1080" spans="1:14" s="17" customFormat="1">
      <c r="A1080" s="12"/>
      <c r="B1080" s="13"/>
      <c r="C1080" s="14"/>
      <c r="D1080" s="15"/>
      <c r="E1080" s="16"/>
      <c r="F1080" s="16"/>
      <c r="I1080" s="18"/>
      <c r="J1080" s="12"/>
      <c r="K1080" s="12"/>
      <c r="L1080" s="13"/>
      <c r="M1080" s="14"/>
      <c r="N1080" s="15"/>
    </row>
    <row r="1081" spans="1:14" s="17" customFormat="1">
      <c r="A1081" s="12"/>
      <c r="B1081" s="13"/>
      <c r="C1081" s="14"/>
      <c r="D1081" s="15"/>
      <c r="E1081" s="16"/>
      <c r="F1081" s="16"/>
      <c r="I1081" s="18"/>
      <c r="J1081" s="12"/>
      <c r="K1081" s="12"/>
      <c r="L1081" s="13"/>
      <c r="M1081" s="14"/>
      <c r="N1081" s="15"/>
    </row>
    <row r="1082" spans="1:14" s="17" customFormat="1">
      <c r="A1082" s="12"/>
      <c r="B1082" s="13"/>
      <c r="C1082" s="14"/>
      <c r="D1082" s="15"/>
      <c r="E1082" s="16"/>
      <c r="F1082" s="16"/>
      <c r="I1082" s="18"/>
      <c r="J1082" s="12"/>
      <c r="K1082" s="12"/>
      <c r="L1082" s="13"/>
      <c r="M1082" s="14"/>
      <c r="N1082" s="15"/>
    </row>
    <row r="1083" spans="1:14" s="17" customFormat="1">
      <c r="A1083" s="12"/>
      <c r="B1083" s="13"/>
      <c r="C1083" s="14"/>
      <c r="D1083" s="15"/>
      <c r="E1083" s="16"/>
      <c r="F1083" s="16"/>
      <c r="I1083" s="18"/>
      <c r="J1083" s="12"/>
      <c r="K1083" s="12"/>
      <c r="L1083" s="13"/>
      <c r="M1083" s="14"/>
      <c r="N1083" s="15"/>
    </row>
    <row r="1084" spans="1:14" s="17" customFormat="1">
      <c r="A1084" s="12"/>
      <c r="B1084" s="13"/>
      <c r="C1084" s="14"/>
      <c r="D1084" s="15"/>
      <c r="E1084" s="16"/>
      <c r="F1084" s="16"/>
      <c r="I1084" s="18"/>
      <c r="J1084" s="12"/>
      <c r="K1084" s="12"/>
      <c r="L1084" s="13"/>
      <c r="M1084" s="14"/>
      <c r="N1084" s="15"/>
    </row>
    <row r="1085" spans="1:14" s="17" customFormat="1">
      <c r="A1085" s="12"/>
      <c r="B1085" s="13"/>
      <c r="C1085" s="14"/>
      <c r="D1085" s="15"/>
      <c r="E1085" s="16"/>
      <c r="F1085" s="16"/>
      <c r="I1085" s="18"/>
      <c r="J1085" s="12"/>
      <c r="K1085" s="12"/>
      <c r="L1085" s="13"/>
      <c r="M1085" s="14"/>
      <c r="N1085" s="15"/>
    </row>
    <row r="1086" spans="1:14" s="17" customFormat="1">
      <c r="A1086" s="12"/>
      <c r="B1086" s="13"/>
      <c r="C1086" s="14"/>
      <c r="D1086" s="15"/>
      <c r="E1086" s="16"/>
      <c r="F1086" s="16"/>
      <c r="I1086" s="18"/>
      <c r="J1086" s="12"/>
      <c r="K1086" s="12"/>
      <c r="L1086" s="13"/>
      <c r="M1086" s="14"/>
      <c r="N1086" s="15"/>
    </row>
    <row r="1087" spans="1:14" s="17" customFormat="1">
      <c r="A1087" s="12"/>
      <c r="B1087" s="13"/>
      <c r="C1087" s="14"/>
      <c r="D1087" s="15"/>
      <c r="E1087" s="16"/>
      <c r="F1087" s="16"/>
      <c r="I1087" s="18"/>
      <c r="J1087" s="12"/>
      <c r="K1087" s="12"/>
      <c r="L1087" s="13"/>
      <c r="M1087" s="14"/>
      <c r="N1087" s="15"/>
    </row>
    <row r="1088" spans="1:14" s="17" customFormat="1">
      <c r="A1088" s="12"/>
      <c r="B1088" s="13"/>
      <c r="C1088" s="14"/>
      <c r="D1088" s="15"/>
      <c r="E1088" s="16"/>
      <c r="F1088" s="16"/>
      <c r="I1088" s="18"/>
      <c r="J1088" s="12"/>
      <c r="K1088" s="12"/>
      <c r="L1088" s="13"/>
      <c r="M1088" s="14"/>
      <c r="N1088" s="15"/>
    </row>
    <row r="1089" spans="1:14" s="17" customFormat="1">
      <c r="A1089" s="12"/>
      <c r="B1089" s="13"/>
      <c r="C1089" s="14"/>
      <c r="D1089" s="15"/>
      <c r="E1089" s="16"/>
      <c r="F1089" s="16"/>
      <c r="I1089" s="18"/>
      <c r="J1089" s="12"/>
      <c r="K1089" s="12"/>
      <c r="L1089" s="13"/>
      <c r="M1089" s="14"/>
      <c r="N1089" s="15"/>
    </row>
    <row r="1090" spans="1:14" s="17" customFormat="1">
      <c r="A1090" s="12"/>
      <c r="B1090" s="13"/>
      <c r="C1090" s="14"/>
      <c r="D1090" s="15"/>
      <c r="E1090" s="16"/>
      <c r="F1090" s="16"/>
      <c r="I1090" s="18"/>
      <c r="J1090" s="12"/>
      <c r="K1090" s="12"/>
      <c r="L1090" s="13"/>
      <c r="M1090" s="14"/>
      <c r="N1090" s="15"/>
    </row>
    <row r="1091" spans="1:14" s="17" customFormat="1">
      <c r="A1091" s="12"/>
      <c r="B1091" s="13"/>
      <c r="C1091" s="14"/>
      <c r="D1091" s="15"/>
      <c r="E1091" s="16"/>
      <c r="F1091" s="16"/>
      <c r="I1091" s="18"/>
      <c r="J1091" s="12"/>
      <c r="K1091" s="12"/>
      <c r="L1091" s="13"/>
      <c r="M1091" s="14"/>
      <c r="N1091" s="15"/>
    </row>
    <row r="1092" spans="1:14" s="17" customFormat="1">
      <c r="A1092" s="12"/>
      <c r="B1092" s="13"/>
      <c r="C1092" s="14"/>
      <c r="D1092" s="15"/>
      <c r="E1092" s="16"/>
      <c r="F1092" s="16"/>
      <c r="I1092" s="18"/>
      <c r="J1092" s="12"/>
      <c r="K1092" s="12"/>
      <c r="L1092" s="13"/>
      <c r="M1092" s="14"/>
      <c r="N1092" s="15"/>
    </row>
    <row r="1093" spans="1:14" s="17" customFormat="1">
      <c r="A1093" s="12"/>
      <c r="B1093" s="13"/>
      <c r="C1093" s="14"/>
      <c r="D1093" s="15"/>
      <c r="E1093" s="16"/>
      <c r="F1093" s="16"/>
      <c r="I1093" s="18"/>
      <c r="J1093" s="12"/>
      <c r="K1093" s="12"/>
      <c r="L1093" s="13"/>
      <c r="M1093" s="14"/>
      <c r="N1093" s="15"/>
    </row>
    <row r="1094" spans="1:14" s="17" customFormat="1">
      <c r="A1094" s="12"/>
      <c r="B1094" s="13"/>
      <c r="C1094" s="14"/>
      <c r="D1094" s="15"/>
      <c r="E1094" s="16"/>
      <c r="F1094" s="16"/>
      <c r="I1094" s="18"/>
      <c r="J1094" s="12"/>
      <c r="K1094" s="12"/>
      <c r="L1094" s="13"/>
      <c r="M1094" s="14"/>
      <c r="N1094" s="15"/>
    </row>
    <row r="1095" spans="1:14" s="17" customFormat="1">
      <c r="A1095" s="12"/>
      <c r="B1095" s="13"/>
      <c r="C1095" s="14"/>
      <c r="D1095" s="15"/>
      <c r="E1095" s="16"/>
      <c r="F1095" s="16"/>
      <c r="I1095" s="18"/>
      <c r="J1095" s="12"/>
      <c r="K1095" s="12"/>
      <c r="L1095" s="13"/>
      <c r="M1095" s="14"/>
      <c r="N1095" s="15"/>
    </row>
    <row r="1096" spans="1:14" s="17" customFormat="1">
      <c r="A1096" s="12"/>
      <c r="B1096" s="13"/>
      <c r="C1096" s="14"/>
      <c r="D1096" s="15"/>
      <c r="E1096" s="16"/>
      <c r="F1096" s="16"/>
      <c r="I1096" s="18"/>
      <c r="J1096" s="12"/>
      <c r="K1096" s="12"/>
      <c r="L1096" s="13"/>
      <c r="M1096" s="14"/>
      <c r="N1096" s="15"/>
    </row>
    <row r="1097" spans="1:14" s="17" customFormat="1">
      <c r="A1097" s="12"/>
      <c r="B1097" s="13"/>
      <c r="C1097" s="14"/>
      <c r="D1097" s="15"/>
      <c r="E1097" s="16"/>
      <c r="F1097" s="16"/>
      <c r="I1097" s="18"/>
      <c r="J1097" s="12"/>
      <c r="K1097" s="12"/>
      <c r="L1097" s="13"/>
      <c r="M1097" s="14"/>
      <c r="N1097" s="15"/>
    </row>
    <row r="1098" spans="1:14" s="17" customFormat="1">
      <c r="A1098" s="12"/>
      <c r="B1098" s="13"/>
      <c r="C1098" s="14"/>
      <c r="D1098" s="15"/>
      <c r="E1098" s="16"/>
      <c r="F1098" s="16"/>
      <c r="I1098" s="18"/>
      <c r="J1098" s="12"/>
      <c r="K1098" s="12"/>
      <c r="L1098" s="13"/>
      <c r="M1098" s="14"/>
      <c r="N1098" s="15"/>
    </row>
    <row r="1099" spans="1:14" s="17" customFormat="1">
      <c r="A1099" s="12"/>
      <c r="B1099" s="13"/>
      <c r="C1099" s="14"/>
      <c r="D1099" s="15"/>
      <c r="E1099" s="16"/>
      <c r="F1099" s="16"/>
      <c r="I1099" s="18"/>
      <c r="J1099" s="12"/>
      <c r="K1099" s="12"/>
      <c r="L1099" s="13"/>
      <c r="M1099" s="14"/>
      <c r="N1099" s="15"/>
    </row>
    <row r="1100" spans="1:14" s="17" customFormat="1">
      <c r="A1100" s="12"/>
      <c r="B1100" s="13"/>
      <c r="C1100" s="14"/>
      <c r="D1100" s="15"/>
      <c r="E1100" s="16"/>
      <c r="F1100" s="16"/>
      <c r="I1100" s="18"/>
      <c r="J1100" s="12"/>
      <c r="K1100" s="12"/>
      <c r="L1100" s="13"/>
      <c r="M1100" s="14"/>
      <c r="N1100" s="15"/>
    </row>
    <row r="1101" spans="1:14" s="17" customFormat="1">
      <c r="A1101" s="12"/>
      <c r="B1101" s="13"/>
      <c r="C1101" s="14"/>
      <c r="D1101" s="15"/>
      <c r="E1101" s="16"/>
      <c r="F1101" s="16"/>
      <c r="I1101" s="18"/>
      <c r="J1101" s="12"/>
      <c r="K1101" s="12"/>
      <c r="L1101" s="13"/>
      <c r="M1101" s="14"/>
      <c r="N1101" s="15"/>
    </row>
    <row r="1102" spans="1:14" s="17" customFormat="1">
      <c r="A1102" s="12"/>
      <c r="B1102" s="13"/>
      <c r="C1102" s="14"/>
      <c r="D1102" s="15"/>
      <c r="E1102" s="16"/>
      <c r="F1102" s="16"/>
      <c r="I1102" s="18"/>
      <c r="J1102" s="12"/>
      <c r="K1102" s="12"/>
      <c r="L1102" s="13"/>
      <c r="M1102" s="14"/>
      <c r="N1102" s="15"/>
    </row>
    <row r="1103" spans="1:14" s="17" customFormat="1">
      <c r="A1103" s="12"/>
      <c r="B1103" s="13"/>
      <c r="C1103" s="14"/>
      <c r="D1103" s="15"/>
      <c r="E1103" s="16"/>
      <c r="F1103" s="16"/>
      <c r="I1103" s="18"/>
      <c r="J1103" s="12"/>
      <c r="K1103" s="12"/>
      <c r="L1103" s="13"/>
      <c r="M1103" s="14"/>
      <c r="N1103" s="15"/>
    </row>
    <row r="1104" spans="1:14" s="17" customFormat="1">
      <c r="A1104" s="12"/>
      <c r="B1104" s="13"/>
      <c r="C1104" s="14"/>
      <c r="D1104" s="15"/>
      <c r="E1104" s="16"/>
      <c r="F1104" s="16"/>
      <c r="I1104" s="18"/>
      <c r="J1104" s="12"/>
      <c r="K1104" s="12"/>
      <c r="L1104" s="13"/>
      <c r="M1104" s="14"/>
      <c r="N1104" s="15"/>
    </row>
    <row r="1105" spans="1:14" s="17" customFormat="1">
      <c r="A1105" s="12"/>
      <c r="B1105" s="13"/>
      <c r="C1105" s="14"/>
      <c r="D1105" s="15"/>
      <c r="E1105" s="16"/>
      <c r="F1105" s="16"/>
      <c r="I1105" s="18"/>
      <c r="J1105" s="12"/>
      <c r="K1105" s="12"/>
      <c r="L1105" s="13"/>
      <c r="M1105" s="14"/>
      <c r="N1105" s="15"/>
    </row>
    <row r="1106" spans="1:14" s="17" customFormat="1">
      <c r="A1106" s="12"/>
      <c r="B1106" s="13"/>
      <c r="C1106" s="14"/>
      <c r="D1106" s="15"/>
      <c r="E1106" s="16"/>
      <c r="F1106" s="16"/>
      <c r="I1106" s="18"/>
      <c r="J1106" s="12"/>
      <c r="K1106" s="12"/>
      <c r="L1106" s="13"/>
      <c r="M1106" s="14"/>
      <c r="N1106" s="15"/>
    </row>
    <row r="1107" spans="1:14" s="17" customFormat="1">
      <c r="A1107" s="12"/>
      <c r="B1107" s="13"/>
      <c r="C1107" s="14"/>
      <c r="D1107" s="15"/>
      <c r="E1107" s="16"/>
      <c r="F1107" s="16"/>
      <c r="I1107" s="18"/>
      <c r="J1107" s="12"/>
      <c r="K1107" s="12"/>
      <c r="L1107" s="13"/>
      <c r="M1107" s="14"/>
      <c r="N1107" s="15"/>
    </row>
    <row r="1108" spans="1:14" s="17" customFormat="1">
      <c r="A1108" s="12"/>
      <c r="B1108" s="13"/>
      <c r="C1108" s="14"/>
      <c r="D1108" s="15"/>
      <c r="E1108" s="16"/>
      <c r="F1108" s="16"/>
      <c r="I1108" s="18"/>
      <c r="J1108" s="12"/>
      <c r="K1108" s="12"/>
      <c r="L1108" s="13"/>
      <c r="M1108" s="14"/>
      <c r="N1108" s="15"/>
    </row>
    <row r="1109" spans="1:14" s="17" customFormat="1">
      <c r="A1109" s="12"/>
      <c r="B1109" s="13"/>
      <c r="C1109" s="14"/>
      <c r="D1109" s="15"/>
      <c r="E1109" s="16"/>
      <c r="F1109" s="16"/>
      <c r="I1109" s="18"/>
      <c r="J1109" s="12"/>
      <c r="K1109" s="12"/>
      <c r="L1109" s="13"/>
      <c r="M1109" s="14"/>
      <c r="N1109" s="15"/>
    </row>
    <row r="1110" spans="1:14" s="17" customFormat="1">
      <c r="A1110" s="12"/>
      <c r="B1110" s="13"/>
      <c r="C1110" s="14"/>
      <c r="D1110" s="15"/>
      <c r="E1110" s="16"/>
      <c r="F1110" s="16"/>
      <c r="I1110" s="18"/>
      <c r="J1110" s="12"/>
      <c r="K1110" s="12"/>
      <c r="L1110" s="13"/>
      <c r="M1110" s="14"/>
      <c r="N1110" s="15"/>
    </row>
    <row r="1111" spans="1:14" s="17" customFormat="1">
      <c r="A1111" s="12"/>
      <c r="B1111" s="13"/>
      <c r="C1111" s="14"/>
      <c r="D1111" s="15"/>
      <c r="E1111" s="16"/>
      <c r="F1111" s="16"/>
      <c r="I1111" s="18"/>
      <c r="J1111" s="12"/>
      <c r="K1111" s="12"/>
      <c r="L1111" s="13"/>
      <c r="M1111" s="14"/>
      <c r="N1111" s="15"/>
    </row>
    <row r="1112" spans="1:14" s="17" customFormat="1">
      <c r="A1112" s="12"/>
      <c r="B1112" s="13"/>
      <c r="C1112" s="14"/>
      <c r="D1112" s="15"/>
      <c r="E1112" s="16"/>
      <c r="F1112" s="16"/>
      <c r="I1112" s="18"/>
      <c r="J1112" s="12"/>
      <c r="K1112" s="12"/>
      <c r="L1112" s="13"/>
      <c r="M1112" s="14"/>
      <c r="N1112" s="15"/>
    </row>
    <row r="1113" spans="1:14" s="17" customFormat="1">
      <c r="A1113" s="12"/>
      <c r="B1113" s="13"/>
      <c r="C1113" s="14"/>
      <c r="D1113" s="15"/>
      <c r="E1113" s="16"/>
      <c r="F1113" s="16"/>
      <c r="I1113" s="18"/>
      <c r="J1113" s="12"/>
      <c r="K1113" s="12"/>
      <c r="L1113" s="13"/>
      <c r="M1113" s="14"/>
      <c r="N1113" s="15"/>
    </row>
    <row r="1114" spans="1:14" s="17" customFormat="1">
      <c r="A1114" s="12"/>
      <c r="B1114" s="13"/>
      <c r="C1114" s="14"/>
      <c r="D1114" s="15"/>
      <c r="E1114" s="16"/>
      <c r="F1114" s="16"/>
      <c r="I1114" s="18"/>
      <c r="J1114" s="12"/>
      <c r="K1114" s="12"/>
      <c r="L1114" s="13"/>
      <c r="M1114" s="14"/>
      <c r="N1114" s="15"/>
    </row>
    <row r="1115" spans="1:14" s="17" customFormat="1">
      <c r="A1115" s="12"/>
      <c r="B1115" s="13"/>
      <c r="C1115" s="14"/>
      <c r="D1115" s="15"/>
      <c r="E1115" s="16"/>
      <c r="F1115" s="16"/>
      <c r="I1115" s="18"/>
      <c r="J1115" s="12"/>
      <c r="K1115" s="12"/>
      <c r="L1115" s="13"/>
      <c r="M1115" s="14"/>
      <c r="N1115" s="15"/>
    </row>
    <row r="1116" spans="1:14" s="17" customFormat="1">
      <c r="A1116" s="12"/>
      <c r="B1116" s="13"/>
      <c r="C1116" s="14"/>
      <c r="D1116" s="15"/>
      <c r="E1116" s="16"/>
      <c r="F1116" s="16"/>
      <c r="I1116" s="18"/>
      <c r="J1116" s="12"/>
      <c r="K1116" s="12"/>
      <c r="L1116" s="13"/>
      <c r="M1116" s="14"/>
      <c r="N1116" s="15"/>
    </row>
    <row r="1117" spans="1:14" s="17" customFormat="1">
      <c r="A1117" s="12"/>
      <c r="B1117" s="13"/>
      <c r="C1117" s="14"/>
      <c r="D1117" s="15"/>
      <c r="E1117" s="16"/>
      <c r="F1117" s="16"/>
      <c r="I1117" s="18"/>
      <c r="J1117" s="12"/>
      <c r="K1117" s="12"/>
      <c r="L1117" s="13"/>
      <c r="M1117" s="14"/>
      <c r="N1117" s="15"/>
    </row>
    <row r="1118" spans="1:14" s="17" customFormat="1">
      <c r="A1118" s="12"/>
      <c r="B1118" s="13"/>
      <c r="C1118" s="14"/>
      <c r="D1118" s="15"/>
      <c r="E1118" s="16"/>
      <c r="F1118" s="16"/>
      <c r="I1118" s="18"/>
      <c r="J1118" s="12"/>
      <c r="K1118" s="12"/>
      <c r="L1118" s="13"/>
      <c r="M1118" s="14"/>
      <c r="N1118" s="15"/>
    </row>
    <row r="1119" spans="1:14" s="17" customFormat="1">
      <c r="A1119" s="12"/>
      <c r="B1119" s="13"/>
      <c r="C1119" s="14"/>
      <c r="D1119" s="15"/>
      <c r="E1119" s="16"/>
      <c r="F1119" s="16"/>
      <c r="I1119" s="18"/>
      <c r="J1119" s="12"/>
      <c r="K1119" s="12"/>
      <c r="L1119" s="13"/>
      <c r="M1119" s="14"/>
      <c r="N1119" s="15"/>
    </row>
    <row r="1120" spans="1:14" s="17" customFormat="1">
      <c r="A1120" s="12"/>
      <c r="B1120" s="13"/>
      <c r="C1120" s="14"/>
      <c r="D1120" s="15"/>
      <c r="E1120" s="16"/>
      <c r="F1120" s="16"/>
      <c r="I1120" s="18"/>
      <c r="J1120" s="12"/>
      <c r="K1120" s="12"/>
      <c r="L1120" s="13"/>
      <c r="M1120" s="14"/>
      <c r="N1120" s="15"/>
    </row>
    <row r="1121" spans="1:14" s="17" customFormat="1">
      <c r="A1121" s="12"/>
      <c r="B1121" s="13"/>
      <c r="C1121" s="14"/>
      <c r="D1121" s="15"/>
      <c r="E1121" s="16"/>
      <c r="F1121" s="16"/>
      <c r="I1121" s="18"/>
      <c r="J1121" s="12"/>
      <c r="K1121" s="12"/>
      <c r="L1121" s="13"/>
      <c r="M1121" s="14"/>
      <c r="N1121" s="15"/>
    </row>
    <row r="1122" spans="1:14" s="17" customFormat="1">
      <c r="A1122" s="12"/>
      <c r="B1122" s="13"/>
      <c r="C1122" s="14"/>
      <c r="D1122" s="15"/>
      <c r="E1122" s="16"/>
      <c r="F1122" s="16"/>
      <c r="I1122" s="18"/>
      <c r="J1122" s="12"/>
      <c r="K1122" s="12"/>
      <c r="L1122" s="13"/>
      <c r="M1122" s="14"/>
      <c r="N1122" s="15"/>
    </row>
    <row r="1123" spans="1:14" s="17" customFormat="1">
      <c r="A1123" s="12"/>
      <c r="B1123" s="13"/>
      <c r="C1123" s="14"/>
      <c r="D1123" s="15"/>
      <c r="E1123" s="16"/>
      <c r="F1123" s="16"/>
      <c r="I1123" s="18"/>
      <c r="J1123" s="12"/>
      <c r="K1123" s="12"/>
      <c r="L1123" s="13"/>
      <c r="M1123" s="14"/>
      <c r="N1123" s="15"/>
    </row>
    <row r="1124" spans="1:14" s="17" customFormat="1">
      <c r="A1124" s="12"/>
      <c r="B1124" s="13"/>
      <c r="C1124" s="14"/>
      <c r="D1124" s="15"/>
      <c r="E1124" s="16"/>
      <c r="F1124" s="16"/>
      <c r="I1124" s="18"/>
      <c r="J1124" s="12"/>
      <c r="K1124" s="12"/>
      <c r="L1124" s="13"/>
      <c r="M1124" s="14"/>
      <c r="N1124" s="15"/>
    </row>
    <row r="1125" spans="1:14" s="17" customFormat="1">
      <c r="A1125" s="12"/>
      <c r="B1125" s="13"/>
      <c r="C1125" s="14"/>
      <c r="D1125" s="15"/>
      <c r="E1125" s="16"/>
      <c r="F1125" s="16"/>
      <c r="I1125" s="18"/>
      <c r="J1125" s="12"/>
      <c r="K1125" s="12"/>
      <c r="L1125" s="13"/>
      <c r="M1125" s="14"/>
      <c r="N1125" s="15"/>
    </row>
    <row r="1126" spans="1:14" s="17" customFormat="1">
      <c r="A1126" s="12"/>
      <c r="B1126" s="13"/>
      <c r="C1126" s="14"/>
      <c r="D1126" s="15"/>
      <c r="E1126" s="16"/>
      <c r="F1126" s="16"/>
      <c r="I1126" s="18"/>
      <c r="J1126" s="12"/>
      <c r="K1126" s="12"/>
      <c r="L1126" s="13"/>
      <c r="M1126" s="14"/>
      <c r="N1126" s="15"/>
    </row>
    <row r="1127" spans="1:14" s="17" customFormat="1">
      <c r="A1127" s="12"/>
      <c r="B1127" s="13"/>
      <c r="C1127" s="14"/>
      <c r="D1127" s="15"/>
      <c r="E1127" s="16"/>
      <c r="F1127" s="16"/>
      <c r="I1127" s="18"/>
      <c r="J1127" s="12"/>
      <c r="K1127" s="12"/>
      <c r="L1127" s="13"/>
      <c r="M1127" s="14"/>
      <c r="N1127" s="15"/>
    </row>
    <row r="1128" spans="1:14" s="17" customFormat="1">
      <c r="A1128" s="12"/>
      <c r="B1128" s="13"/>
      <c r="C1128" s="14"/>
      <c r="D1128" s="15"/>
      <c r="E1128" s="16"/>
      <c r="F1128" s="16"/>
      <c r="I1128" s="18"/>
      <c r="J1128" s="12"/>
      <c r="K1128" s="12"/>
      <c r="L1128" s="13"/>
      <c r="M1128" s="14"/>
      <c r="N1128" s="15"/>
    </row>
    <row r="1129" spans="1:14" s="17" customFormat="1">
      <c r="A1129" s="12"/>
      <c r="B1129" s="13"/>
      <c r="C1129" s="14"/>
      <c r="D1129" s="15"/>
      <c r="E1129" s="16"/>
      <c r="F1129" s="16"/>
      <c r="I1129" s="18"/>
      <c r="J1129" s="12"/>
      <c r="K1129" s="12"/>
      <c r="L1129" s="13"/>
      <c r="M1129" s="14"/>
      <c r="N1129" s="15"/>
    </row>
    <row r="1130" spans="1:14" s="17" customFormat="1">
      <c r="A1130" s="12"/>
      <c r="B1130" s="13"/>
      <c r="C1130" s="14"/>
      <c r="D1130" s="15"/>
      <c r="E1130" s="16"/>
      <c r="F1130" s="16"/>
      <c r="I1130" s="18"/>
      <c r="J1130" s="12"/>
      <c r="K1130" s="12"/>
      <c r="L1130" s="13"/>
      <c r="M1130" s="14"/>
      <c r="N1130" s="15"/>
    </row>
    <row r="1131" spans="1:14" s="17" customFormat="1">
      <c r="A1131" s="12"/>
      <c r="B1131" s="13"/>
      <c r="C1131" s="14"/>
      <c r="D1131" s="15"/>
      <c r="E1131" s="16"/>
      <c r="F1131" s="16"/>
      <c r="I1131" s="18"/>
      <c r="J1131" s="12"/>
      <c r="K1131" s="12"/>
      <c r="L1131" s="13"/>
      <c r="M1131" s="14"/>
      <c r="N1131" s="15"/>
    </row>
    <row r="1132" spans="1:14" s="17" customFormat="1">
      <c r="A1132" s="12"/>
      <c r="B1132" s="13"/>
      <c r="C1132" s="14"/>
      <c r="D1132" s="15"/>
      <c r="E1132" s="16"/>
      <c r="F1132" s="16"/>
      <c r="I1132" s="18"/>
      <c r="J1132" s="12"/>
      <c r="K1132" s="12"/>
      <c r="L1132" s="13"/>
      <c r="M1132" s="14"/>
      <c r="N1132" s="15"/>
    </row>
    <row r="1133" spans="1:14" s="17" customFormat="1">
      <c r="A1133" s="12"/>
      <c r="B1133" s="13"/>
      <c r="C1133" s="14"/>
      <c r="D1133" s="15"/>
      <c r="E1133" s="16"/>
      <c r="F1133" s="16"/>
      <c r="I1133" s="18"/>
      <c r="J1133" s="12"/>
      <c r="K1133" s="12"/>
      <c r="L1133" s="13"/>
      <c r="M1133" s="14"/>
      <c r="N1133" s="15"/>
    </row>
    <row r="1134" spans="1:14" s="17" customFormat="1">
      <c r="A1134" s="12"/>
      <c r="B1134" s="13"/>
      <c r="C1134" s="14"/>
      <c r="D1134" s="15"/>
      <c r="E1134" s="16"/>
      <c r="F1134" s="16"/>
      <c r="I1134" s="18"/>
      <c r="J1134" s="12"/>
      <c r="K1134" s="12"/>
      <c r="L1134" s="13"/>
      <c r="M1134" s="14"/>
      <c r="N1134" s="15"/>
    </row>
    <row r="1135" spans="1:14" s="17" customFormat="1">
      <c r="A1135" s="12"/>
      <c r="B1135" s="13"/>
      <c r="C1135" s="14"/>
      <c r="D1135" s="15"/>
      <c r="E1135" s="16"/>
      <c r="F1135" s="16"/>
      <c r="I1135" s="18"/>
      <c r="J1135" s="12"/>
      <c r="K1135" s="12"/>
      <c r="L1135" s="13"/>
      <c r="M1135" s="14"/>
      <c r="N1135" s="15"/>
    </row>
    <row r="1136" spans="1:14" s="17" customFormat="1">
      <c r="A1136" s="12"/>
      <c r="B1136" s="13"/>
      <c r="C1136" s="14"/>
      <c r="D1136" s="15"/>
      <c r="E1136" s="16"/>
      <c r="F1136" s="16"/>
      <c r="I1136" s="18"/>
      <c r="J1136" s="12"/>
      <c r="K1136" s="12"/>
      <c r="L1136" s="13"/>
      <c r="M1136" s="14"/>
      <c r="N1136" s="15"/>
    </row>
    <row r="1137" spans="1:14" s="17" customFormat="1">
      <c r="A1137" s="12"/>
      <c r="B1137" s="13"/>
      <c r="C1137" s="14"/>
      <c r="D1137" s="15"/>
      <c r="E1137" s="16"/>
      <c r="F1137" s="16"/>
      <c r="I1137" s="18"/>
      <c r="J1137" s="12"/>
      <c r="K1137" s="12"/>
      <c r="L1137" s="13"/>
      <c r="M1137" s="14"/>
      <c r="N1137" s="15"/>
    </row>
    <row r="1138" spans="1:14" s="17" customFormat="1">
      <c r="A1138" s="12"/>
      <c r="B1138" s="13"/>
      <c r="C1138" s="14"/>
      <c r="D1138" s="15"/>
      <c r="E1138" s="16"/>
      <c r="F1138" s="16"/>
      <c r="I1138" s="18"/>
      <c r="J1138" s="12"/>
      <c r="K1138" s="12"/>
      <c r="L1138" s="13"/>
      <c r="M1138" s="14"/>
      <c r="N1138" s="15"/>
    </row>
    <row r="1139" spans="1:14" s="17" customFormat="1">
      <c r="A1139" s="12"/>
      <c r="B1139" s="13"/>
      <c r="C1139" s="14"/>
      <c r="D1139" s="15"/>
      <c r="E1139" s="16"/>
      <c r="F1139" s="16"/>
      <c r="I1139" s="18"/>
      <c r="J1139" s="12"/>
      <c r="K1139" s="12"/>
      <c r="L1139" s="13"/>
      <c r="M1139" s="14"/>
      <c r="N1139" s="15"/>
    </row>
    <row r="1140" spans="1:14" s="17" customFormat="1">
      <c r="A1140" s="12"/>
      <c r="B1140" s="13"/>
      <c r="C1140" s="14"/>
      <c r="D1140" s="15"/>
      <c r="E1140" s="16"/>
      <c r="F1140" s="16"/>
      <c r="I1140" s="18"/>
      <c r="J1140" s="12"/>
      <c r="K1140" s="12"/>
      <c r="L1140" s="13"/>
      <c r="M1140" s="14"/>
      <c r="N1140" s="15"/>
    </row>
    <row r="1141" spans="1:14" s="17" customFormat="1">
      <c r="A1141" s="12"/>
      <c r="B1141" s="13"/>
      <c r="C1141" s="14"/>
      <c r="D1141" s="15"/>
      <c r="E1141" s="16"/>
      <c r="F1141" s="16"/>
      <c r="I1141" s="18"/>
      <c r="J1141" s="12"/>
      <c r="K1141" s="12"/>
      <c r="L1141" s="13"/>
      <c r="M1141" s="14"/>
      <c r="N1141" s="15"/>
    </row>
    <row r="1142" spans="1:14" s="17" customFormat="1">
      <c r="A1142" s="12"/>
      <c r="B1142" s="13"/>
      <c r="C1142" s="14"/>
      <c r="D1142" s="15"/>
      <c r="E1142" s="16"/>
      <c r="F1142" s="16"/>
      <c r="I1142" s="18"/>
      <c r="J1142" s="12"/>
      <c r="K1142" s="12"/>
      <c r="L1142" s="13"/>
      <c r="M1142" s="14"/>
      <c r="N1142" s="15"/>
    </row>
    <row r="1143" spans="1:14" s="17" customFormat="1">
      <c r="A1143" s="12"/>
      <c r="B1143" s="13"/>
      <c r="C1143" s="14"/>
      <c r="D1143" s="15"/>
      <c r="E1143" s="16"/>
      <c r="F1143" s="16"/>
      <c r="I1143" s="18"/>
      <c r="J1143" s="12"/>
      <c r="K1143" s="12"/>
      <c r="L1143" s="13"/>
      <c r="M1143" s="14"/>
      <c r="N1143" s="15"/>
    </row>
    <row r="1144" spans="1:14" s="17" customFormat="1">
      <c r="A1144" s="12"/>
      <c r="B1144" s="13"/>
      <c r="C1144" s="14"/>
      <c r="D1144" s="15"/>
      <c r="E1144" s="16"/>
      <c r="F1144" s="16"/>
      <c r="I1144" s="18"/>
      <c r="J1144" s="12"/>
      <c r="K1144" s="12"/>
      <c r="L1144" s="13"/>
      <c r="M1144" s="14"/>
      <c r="N1144" s="15"/>
    </row>
    <row r="1145" spans="1:14" s="17" customFormat="1">
      <c r="A1145" s="12"/>
      <c r="B1145" s="13"/>
      <c r="C1145" s="14"/>
      <c r="D1145" s="15"/>
      <c r="E1145" s="16"/>
      <c r="F1145" s="16"/>
      <c r="I1145" s="18"/>
      <c r="J1145" s="12"/>
      <c r="K1145" s="12"/>
      <c r="L1145" s="13"/>
      <c r="M1145" s="14"/>
      <c r="N1145" s="15"/>
    </row>
    <row r="1146" spans="1:14" s="17" customFormat="1">
      <c r="A1146" s="12"/>
      <c r="B1146" s="13"/>
      <c r="C1146" s="14"/>
      <c r="D1146" s="15"/>
      <c r="E1146" s="16"/>
      <c r="F1146" s="16"/>
      <c r="I1146" s="18"/>
      <c r="J1146" s="12"/>
      <c r="K1146" s="12"/>
      <c r="L1146" s="13"/>
      <c r="M1146" s="14"/>
      <c r="N1146" s="15"/>
    </row>
    <row r="1147" spans="1:14" s="17" customFormat="1">
      <c r="A1147" s="12"/>
      <c r="B1147" s="13"/>
      <c r="C1147" s="14"/>
      <c r="D1147" s="15"/>
      <c r="E1147" s="16"/>
      <c r="F1147" s="16"/>
      <c r="I1147" s="18"/>
      <c r="J1147" s="12"/>
      <c r="K1147" s="12"/>
      <c r="L1147" s="13"/>
      <c r="M1147" s="14"/>
      <c r="N1147" s="15"/>
    </row>
    <row r="1148" spans="1:14" s="17" customFormat="1">
      <c r="A1148" s="12"/>
      <c r="B1148" s="13"/>
      <c r="C1148" s="14"/>
      <c r="D1148" s="15"/>
      <c r="E1148" s="16"/>
      <c r="F1148" s="16"/>
      <c r="I1148" s="18"/>
      <c r="J1148" s="12"/>
      <c r="K1148" s="12"/>
      <c r="L1148" s="13"/>
      <c r="M1148" s="14"/>
      <c r="N1148" s="15"/>
    </row>
    <row r="1149" spans="1:14" s="17" customFormat="1">
      <c r="A1149" s="12"/>
      <c r="B1149" s="13"/>
      <c r="C1149" s="14"/>
      <c r="D1149" s="15"/>
      <c r="E1149" s="16"/>
      <c r="F1149" s="16"/>
      <c r="I1149" s="18"/>
      <c r="J1149" s="12"/>
      <c r="K1149" s="12"/>
      <c r="L1149" s="13"/>
      <c r="M1149" s="14"/>
      <c r="N1149" s="15"/>
    </row>
    <row r="1150" spans="1:14" s="17" customFormat="1">
      <c r="A1150" s="12"/>
      <c r="B1150" s="13"/>
      <c r="C1150" s="14"/>
      <c r="D1150" s="15"/>
      <c r="E1150" s="16"/>
      <c r="F1150" s="16"/>
      <c r="I1150" s="18"/>
      <c r="J1150" s="12"/>
      <c r="K1150" s="12"/>
      <c r="L1150" s="13"/>
      <c r="M1150" s="14"/>
      <c r="N1150" s="15"/>
    </row>
    <row r="1151" spans="1:14" s="17" customFormat="1">
      <c r="A1151" s="12"/>
      <c r="B1151" s="13"/>
      <c r="C1151" s="14"/>
      <c r="D1151" s="15"/>
      <c r="E1151" s="16"/>
      <c r="F1151" s="16"/>
      <c r="I1151" s="18"/>
      <c r="J1151" s="12"/>
      <c r="K1151" s="12"/>
      <c r="L1151" s="13"/>
      <c r="M1151" s="14"/>
      <c r="N1151" s="15"/>
    </row>
    <row r="1152" spans="1:14" s="17" customFormat="1">
      <c r="A1152" s="12"/>
      <c r="B1152" s="13"/>
      <c r="C1152" s="14"/>
      <c r="D1152" s="15"/>
      <c r="E1152" s="16"/>
      <c r="F1152" s="16"/>
      <c r="I1152" s="18"/>
      <c r="J1152" s="12"/>
      <c r="K1152" s="12"/>
      <c r="L1152" s="13"/>
      <c r="M1152" s="14"/>
      <c r="N1152" s="15"/>
    </row>
    <row r="1153" spans="1:14" s="17" customFormat="1">
      <c r="A1153" s="12"/>
      <c r="B1153" s="13"/>
      <c r="C1153" s="14"/>
      <c r="D1153" s="15"/>
      <c r="E1153" s="16"/>
      <c r="F1153" s="16"/>
      <c r="I1153" s="18"/>
      <c r="J1153" s="12"/>
      <c r="K1153" s="12"/>
      <c r="L1153" s="13"/>
      <c r="M1153" s="14"/>
      <c r="N1153" s="15"/>
    </row>
    <row r="1154" spans="1:14" s="17" customFormat="1">
      <c r="A1154" s="12"/>
      <c r="B1154" s="13"/>
      <c r="C1154" s="14"/>
      <c r="D1154" s="15"/>
      <c r="E1154" s="16"/>
      <c r="F1154" s="16"/>
      <c r="I1154" s="18"/>
      <c r="J1154" s="12"/>
      <c r="K1154" s="12"/>
      <c r="L1154" s="13"/>
      <c r="M1154" s="14"/>
      <c r="N1154" s="15"/>
    </row>
    <row r="1155" spans="1:14" s="17" customFormat="1">
      <c r="A1155" s="12"/>
      <c r="B1155" s="13"/>
      <c r="C1155" s="14"/>
      <c r="D1155" s="15"/>
      <c r="E1155" s="16"/>
      <c r="F1155" s="16"/>
      <c r="I1155" s="18"/>
      <c r="J1155" s="12"/>
      <c r="K1155" s="12"/>
      <c r="L1155" s="13"/>
      <c r="M1155" s="14"/>
      <c r="N1155" s="15"/>
    </row>
    <row r="1156" spans="1:14" s="17" customFormat="1">
      <c r="A1156" s="12"/>
      <c r="B1156" s="13"/>
      <c r="C1156" s="14"/>
      <c r="D1156" s="15"/>
      <c r="E1156" s="16"/>
      <c r="F1156" s="16"/>
      <c r="I1156" s="18"/>
      <c r="J1156" s="12"/>
      <c r="K1156" s="12"/>
      <c r="L1156" s="13"/>
      <c r="M1156" s="14"/>
      <c r="N1156" s="15"/>
    </row>
    <row r="1157" spans="1:14" s="17" customFormat="1">
      <c r="A1157" s="12"/>
      <c r="B1157" s="13"/>
      <c r="C1157" s="14"/>
      <c r="D1157" s="15"/>
      <c r="E1157" s="16"/>
      <c r="F1157" s="16"/>
      <c r="I1157" s="18"/>
      <c r="J1157" s="12"/>
      <c r="K1157" s="12"/>
      <c r="L1157" s="13"/>
      <c r="M1157" s="14"/>
      <c r="N1157" s="15"/>
    </row>
    <row r="1158" spans="1:14" s="17" customFormat="1">
      <c r="A1158" s="12"/>
      <c r="B1158" s="13"/>
      <c r="C1158" s="14"/>
      <c r="D1158" s="15"/>
      <c r="E1158" s="16"/>
      <c r="F1158" s="16"/>
      <c r="I1158" s="18"/>
      <c r="J1158" s="12"/>
      <c r="K1158" s="12"/>
      <c r="L1158" s="13"/>
      <c r="M1158" s="14"/>
      <c r="N1158" s="15"/>
    </row>
    <row r="1159" spans="1:14" s="17" customFormat="1">
      <c r="A1159" s="12"/>
      <c r="B1159" s="13"/>
      <c r="C1159" s="14"/>
      <c r="D1159" s="15"/>
      <c r="E1159" s="16"/>
      <c r="F1159" s="16"/>
      <c r="I1159" s="18"/>
      <c r="J1159" s="12"/>
      <c r="K1159" s="12"/>
      <c r="L1159" s="13"/>
      <c r="M1159" s="14"/>
      <c r="N1159" s="15"/>
    </row>
    <row r="1160" spans="1:14" s="17" customFormat="1">
      <c r="A1160" s="12"/>
      <c r="B1160" s="13"/>
      <c r="C1160" s="14"/>
      <c r="D1160" s="15"/>
      <c r="E1160" s="16"/>
      <c r="F1160" s="16"/>
      <c r="I1160" s="18"/>
      <c r="J1160" s="12"/>
      <c r="K1160" s="12"/>
      <c r="L1160" s="13"/>
      <c r="M1160" s="14"/>
      <c r="N1160" s="15"/>
    </row>
    <row r="1161" spans="1:14" s="17" customFormat="1">
      <c r="A1161" s="12"/>
      <c r="B1161" s="13"/>
      <c r="C1161" s="14"/>
      <c r="D1161" s="15"/>
      <c r="E1161" s="16"/>
      <c r="F1161" s="16"/>
      <c r="I1161" s="18"/>
      <c r="J1161" s="12"/>
      <c r="K1161" s="12"/>
      <c r="L1161" s="13"/>
      <c r="M1161" s="14"/>
      <c r="N1161" s="15"/>
    </row>
    <row r="1162" spans="1:14" s="17" customFormat="1">
      <c r="A1162" s="12"/>
      <c r="B1162" s="13"/>
      <c r="C1162" s="14"/>
      <c r="D1162" s="15"/>
      <c r="E1162" s="16"/>
      <c r="F1162" s="16"/>
      <c r="I1162" s="18"/>
      <c r="J1162" s="12"/>
      <c r="K1162" s="12"/>
      <c r="L1162" s="13"/>
      <c r="M1162" s="14"/>
      <c r="N1162" s="15"/>
    </row>
    <row r="1163" spans="1:14" s="17" customFormat="1">
      <c r="A1163" s="12"/>
      <c r="B1163" s="13"/>
      <c r="C1163" s="14"/>
      <c r="D1163" s="15"/>
      <c r="E1163" s="16"/>
      <c r="F1163" s="16"/>
      <c r="I1163" s="18"/>
      <c r="J1163" s="12"/>
      <c r="K1163" s="12"/>
      <c r="L1163" s="13"/>
      <c r="M1163" s="14"/>
      <c r="N1163" s="15"/>
    </row>
    <row r="1164" spans="1:14" s="17" customFormat="1">
      <c r="A1164" s="12"/>
      <c r="B1164" s="13"/>
      <c r="C1164" s="14"/>
      <c r="D1164" s="15"/>
      <c r="E1164" s="16"/>
      <c r="F1164" s="16"/>
      <c r="I1164" s="18"/>
      <c r="J1164" s="12"/>
      <c r="K1164" s="12"/>
      <c r="L1164" s="13"/>
      <c r="M1164" s="14"/>
      <c r="N1164" s="15"/>
    </row>
    <row r="1165" spans="1:14" s="17" customFormat="1">
      <c r="A1165" s="12"/>
      <c r="B1165" s="13"/>
      <c r="C1165" s="14"/>
      <c r="D1165" s="15"/>
      <c r="E1165" s="16"/>
      <c r="F1165" s="16"/>
      <c r="I1165" s="18"/>
      <c r="J1165" s="12"/>
      <c r="K1165" s="12"/>
      <c r="L1165" s="13"/>
      <c r="M1165" s="14"/>
      <c r="N1165" s="15"/>
    </row>
    <row r="1166" spans="1:14" s="17" customFormat="1">
      <c r="A1166" s="12"/>
      <c r="B1166" s="13"/>
      <c r="C1166" s="14"/>
      <c r="D1166" s="15"/>
      <c r="E1166" s="16"/>
      <c r="F1166" s="16"/>
      <c r="I1166" s="18"/>
      <c r="J1166" s="12"/>
      <c r="K1166" s="12"/>
      <c r="L1166" s="13"/>
      <c r="M1166" s="14"/>
      <c r="N1166" s="15"/>
    </row>
    <row r="1167" spans="1:14" s="17" customFormat="1">
      <c r="A1167" s="12"/>
      <c r="B1167" s="13"/>
      <c r="C1167" s="14"/>
      <c r="D1167" s="15"/>
      <c r="E1167" s="16"/>
      <c r="F1167" s="16"/>
      <c r="I1167" s="18"/>
      <c r="J1167" s="12"/>
      <c r="K1167" s="12"/>
      <c r="L1167" s="13"/>
      <c r="M1167" s="14"/>
      <c r="N1167" s="15"/>
    </row>
    <row r="1168" spans="1:14" s="17" customFormat="1">
      <c r="A1168" s="12"/>
      <c r="B1168" s="13"/>
      <c r="C1168" s="14"/>
      <c r="D1168" s="15"/>
      <c r="E1168" s="16"/>
      <c r="F1168" s="16"/>
      <c r="I1168" s="18"/>
      <c r="J1168" s="12"/>
      <c r="K1168" s="12"/>
      <c r="L1168" s="13"/>
      <c r="M1168" s="14"/>
      <c r="N1168" s="15"/>
    </row>
    <row r="1169" spans="1:14" s="17" customFormat="1">
      <c r="A1169" s="12"/>
      <c r="B1169" s="13"/>
      <c r="C1169" s="14"/>
      <c r="D1169" s="15"/>
      <c r="E1169" s="16"/>
      <c r="F1169" s="16"/>
      <c r="I1169" s="18"/>
      <c r="J1169" s="12"/>
      <c r="K1169" s="12"/>
      <c r="L1169" s="13"/>
      <c r="M1169" s="14"/>
      <c r="N1169" s="15"/>
    </row>
    <row r="1170" spans="1:14" s="17" customFormat="1">
      <c r="A1170" s="12"/>
      <c r="B1170" s="13"/>
      <c r="C1170" s="14"/>
      <c r="D1170" s="15"/>
      <c r="E1170" s="16"/>
      <c r="F1170" s="16"/>
      <c r="I1170" s="18"/>
      <c r="J1170" s="12"/>
      <c r="K1170" s="12"/>
      <c r="L1170" s="13"/>
      <c r="M1170" s="14"/>
      <c r="N1170" s="15"/>
    </row>
    <row r="1171" spans="1:14" s="17" customFormat="1">
      <c r="A1171" s="12"/>
      <c r="B1171" s="13"/>
      <c r="C1171" s="14"/>
      <c r="D1171" s="15"/>
      <c r="E1171" s="16"/>
      <c r="F1171" s="16"/>
      <c r="I1171" s="18"/>
      <c r="J1171" s="12"/>
      <c r="K1171" s="12"/>
      <c r="L1171" s="13"/>
      <c r="M1171" s="14"/>
      <c r="N1171" s="15"/>
    </row>
    <row r="1172" spans="1:14" s="17" customFormat="1">
      <c r="A1172" s="12"/>
      <c r="B1172" s="13"/>
      <c r="C1172" s="14"/>
      <c r="D1172" s="15"/>
      <c r="E1172" s="16"/>
      <c r="F1172" s="16"/>
      <c r="I1172" s="18"/>
      <c r="J1172" s="12"/>
      <c r="K1172" s="12"/>
      <c r="L1172" s="13"/>
      <c r="M1172" s="14"/>
      <c r="N1172" s="15"/>
    </row>
    <row r="1173" spans="1:14" s="17" customFormat="1">
      <c r="A1173" s="12"/>
      <c r="B1173" s="13"/>
      <c r="C1173" s="14"/>
      <c r="D1173" s="15"/>
      <c r="E1173" s="16"/>
      <c r="F1173" s="16"/>
      <c r="I1173" s="18"/>
      <c r="J1173" s="12"/>
      <c r="K1173" s="12"/>
      <c r="L1173" s="13"/>
      <c r="M1173" s="14"/>
      <c r="N1173" s="15"/>
    </row>
    <row r="1174" spans="1:14" s="17" customFormat="1">
      <c r="A1174" s="12"/>
      <c r="B1174" s="13"/>
      <c r="C1174" s="14"/>
      <c r="D1174" s="15"/>
      <c r="E1174" s="16"/>
      <c r="F1174" s="16"/>
      <c r="I1174" s="18"/>
      <c r="J1174" s="12"/>
      <c r="K1174" s="12"/>
      <c r="L1174" s="13"/>
      <c r="M1174" s="14"/>
      <c r="N1174" s="15"/>
    </row>
    <row r="1175" spans="1:14" s="17" customFormat="1">
      <c r="A1175" s="12"/>
      <c r="B1175" s="13"/>
      <c r="C1175" s="14"/>
      <c r="D1175" s="15"/>
      <c r="E1175" s="16"/>
      <c r="F1175" s="16"/>
      <c r="I1175" s="18"/>
      <c r="J1175" s="12"/>
      <c r="K1175" s="12"/>
      <c r="L1175" s="13"/>
      <c r="M1175" s="14"/>
      <c r="N1175" s="15"/>
    </row>
    <row r="1176" spans="1:14" s="17" customFormat="1">
      <c r="A1176" s="12"/>
      <c r="B1176" s="13"/>
      <c r="C1176" s="14"/>
      <c r="D1176" s="15"/>
      <c r="E1176" s="16"/>
      <c r="F1176" s="16"/>
      <c r="I1176" s="18"/>
      <c r="J1176" s="12"/>
      <c r="K1176" s="12"/>
      <c r="L1176" s="13"/>
      <c r="M1176" s="14"/>
      <c r="N1176" s="15"/>
    </row>
    <row r="1177" spans="1:14" s="17" customFormat="1">
      <c r="A1177" s="12"/>
      <c r="B1177" s="13"/>
      <c r="C1177" s="14"/>
      <c r="D1177" s="15"/>
      <c r="E1177" s="16"/>
      <c r="F1177" s="16"/>
      <c r="I1177" s="18"/>
      <c r="J1177" s="12"/>
      <c r="K1177" s="12"/>
      <c r="L1177" s="13"/>
      <c r="M1177" s="14"/>
      <c r="N1177" s="15"/>
    </row>
    <row r="1178" spans="1:14" s="17" customFormat="1">
      <c r="A1178" s="12"/>
      <c r="B1178" s="13"/>
      <c r="C1178" s="14"/>
      <c r="D1178" s="15"/>
      <c r="E1178" s="16"/>
      <c r="F1178" s="16"/>
      <c r="I1178" s="18"/>
      <c r="J1178" s="12"/>
      <c r="K1178" s="12"/>
      <c r="L1178" s="13"/>
      <c r="M1178" s="14"/>
      <c r="N1178" s="15"/>
    </row>
    <row r="1179" spans="1:14" s="17" customFormat="1">
      <c r="A1179" s="12"/>
      <c r="B1179" s="13"/>
      <c r="C1179" s="14"/>
      <c r="D1179" s="15"/>
      <c r="E1179" s="16"/>
      <c r="F1179" s="16"/>
      <c r="I1179" s="18"/>
      <c r="J1179" s="12"/>
      <c r="K1179" s="12"/>
      <c r="L1179" s="13"/>
      <c r="M1179" s="14"/>
      <c r="N1179" s="15"/>
    </row>
    <row r="1180" spans="1:14" s="17" customFormat="1">
      <c r="A1180" s="12"/>
      <c r="B1180" s="13"/>
      <c r="C1180" s="14"/>
      <c r="D1180" s="15"/>
      <c r="E1180" s="16"/>
      <c r="F1180" s="16"/>
      <c r="I1180" s="18"/>
      <c r="J1180" s="12"/>
      <c r="K1180" s="12"/>
      <c r="L1180" s="13"/>
      <c r="M1180" s="14"/>
      <c r="N1180" s="15"/>
    </row>
    <row r="1181" spans="1:14" s="17" customFormat="1">
      <c r="A1181" s="12"/>
      <c r="B1181" s="13"/>
      <c r="C1181" s="14"/>
      <c r="D1181" s="15"/>
      <c r="E1181" s="16"/>
      <c r="F1181" s="16"/>
      <c r="I1181" s="18"/>
      <c r="J1181" s="12"/>
      <c r="K1181" s="12"/>
      <c r="L1181" s="13"/>
      <c r="M1181" s="14"/>
      <c r="N1181" s="15"/>
    </row>
    <row r="1182" spans="1:14" s="17" customFormat="1">
      <c r="A1182" s="12"/>
      <c r="B1182" s="13"/>
      <c r="C1182" s="14"/>
      <c r="D1182" s="15"/>
      <c r="E1182" s="16"/>
      <c r="F1182" s="16"/>
      <c r="I1182" s="18"/>
      <c r="J1182" s="12"/>
      <c r="K1182" s="12"/>
      <c r="L1182" s="13"/>
      <c r="M1182" s="14"/>
      <c r="N1182" s="15"/>
    </row>
    <row r="1183" spans="1:14" s="17" customFormat="1">
      <c r="A1183" s="12"/>
      <c r="B1183" s="13"/>
      <c r="C1183" s="14"/>
      <c r="D1183" s="15"/>
      <c r="E1183" s="16"/>
      <c r="F1183" s="16"/>
      <c r="I1183" s="18"/>
      <c r="J1183" s="12"/>
      <c r="K1183" s="12"/>
      <c r="L1183" s="13"/>
      <c r="M1183" s="14"/>
      <c r="N1183" s="15"/>
    </row>
    <row r="1184" spans="1:14" s="17" customFormat="1">
      <c r="A1184" s="12"/>
      <c r="B1184" s="13"/>
      <c r="C1184" s="14"/>
      <c r="D1184" s="15"/>
      <c r="E1184" s="16"/>
      <c r="F1184" s="16"/>
      <c r="I1184" s="18"/>
      <c r="J1184" s="12"/>
      <c r="K1184" s="12"/>
      <c r="L1184" s="13"/>
      <c r="M1184" s="14"/>
      <c r="N1184" s="15"/>
    </row>
    <row r="1185" spans="1:14" s="17" customFormat="1">
      <c r="A1185" s="12"/>
      <c r="B1185" s="13"/>
      <c r="C1185" s="14"/>
      <c r="D1185" s="15"/>
      <c r="E1185" s="16"/>
      <c r="F1185" s="16"/>
      <c r="I1185" s="18"/>
      <c r="J1185" s="12"/>
      <c r="K1185" s="12"/>
      <c r="L1185" s="13"/>
      <c r="M1185" s="14"/>
      <c r="N1185" s="15"/>
    </row>
    <row r="1186" spans="1:14" s="17" customFormat="1">
      <c r="A1186" s="12"/>
      <c r="B1186" s="13"/>
      <c r="C1186" s="14"/>
      <c r="D1186" s="15"/>
      <c r="E1186" s="16"/>
      <c r="F1186" s="16"/>
      <c r="I1186" s="18"/>
      <c r="J1186" s="12"/>
      <c r="K1186" s="12"/>
      <c r="L1186" s="13"/>
      <c r="M1186" s="14"/>
      <c r="N1186" s="15"/>
    </row>
    <row r="1187" spans="1:14" s="17" customFormat="1">
      <c r="A1187" s="12"/>
      <c r="B1187" s="13"/>
      <c r="C1187" s="14"/>
      <c r="D1187" s="15"/>
      <c r="E1187" s="16"/>
      <c r="F1187" s="16"/>
      <c r="I1187" s="18"/>
      <c r="J1187" s="12"/>
      <c r="K1187" s="12"/>
      <c r="L1187" s="13"/>
      <c r="M1187" s="14"/>
      <c r="N1187" s="15"/>
    </row>
    <row r="1188" spans="1:14" s="17" customFormat="1">
      <c r="A1188" s="12"/>
      <c r="B1188" s="13"/>
      <c r="C1188" s="14"/>
      <c r="D1188" s="15"/>
      <c r="E1188" s="16"/>
      <c r="F1188" s="16"/>
      <c r="I1188" s="18"/>
      <c r="J1188" s="12"/>
      <c r="K1188" s="12"/>
      <c r="L1188" s="13"/>
      <c r="M1188" s="14"/>
      <c r="N1188" s="15"/>
    </row>
    <row r="1189" spans="1:14" s="17" customFormat="1">
      <c r="A1189" s="12"/>
      <c r="B1189" s="13"/>
      <c r="C1189" s="14"/>
      <c r="D1189" s="15"/>
      <c r="E1189" s="16"/>
      <c r="F1189" s="16"/>
      <c r="I1189" s="18"/>
      <c r="J1189" s="12"/>
      <c r="K1189" s="12"/>
      <c r="L1189" s="13"/>
      <c r="M1189" s="14"/>
      <c r="N1189" s="15"/>
    </row>
    <row r="1190" spans="1:14" s="17" customFormat="1">
      <c r="A1190" s="12"/>
      <c r="B1190" s="13"/>
      <c r="C1190" s="14"/>
      <c r="D1190" s="15"/>
      <c r="E1190" s="16"/>
      <c r="F1190" s="16"/>
      <c r="I1190" s="18"/>
      <c r="J1190" s="12"/>
      <c r="K1190" s="12"/>
      <c r="L1190" s="13"/>
      <c r="M1190" s="14"/>
      <c r="N1190" s="15"/>
    </row>
    <row r="1191" spans="1:14" s="17" customFormat="1">
      <c r="A1191" s="12"/>
      <c r="B1191" s="13"/>
      <c r="C1191" s="14"/>
      <c r="D1191" s="15"/>
      <c r="E1191" s="16"/>
      <c r="F1191" s="16"/>
      <c r="I1191" s="18"/>
      <c r="J1191" s="12"/>
      <c r="K1191" s="12"/>
      <c r="L1191" s="13"/>
      <c r="M1191" s="14"/>
      <c r="N1191" s="15"/>
    </row>
    <row r="1192" spans="1:14" s="17" customFormat="1">
      <c r="A1192" s="12"/>
      <c r="B1192" s="13"/>
      <c r="C1192" s="14"/>
      <c r="D1192" s="15"/>
      <c r="E1192" s="16"/>
      <c r="F1192" s="16"/>
      <c r="I1192" s="18"/>
      <c r="J1192" s="12"/>
      <c r="K1192" s="12"/>
      <c r="L1192" s="13"/>
      <c r="M1192" s="14"/>
      <c r="N1192" s="15"/>
    </row>
    <row r="1193" spans="1:14" s="17" customFormat="1">
      <c r="A1193" s="12"/>
      <c r="B1193" s="13"/>
      <c r="C1193" s="14"/>
      <c r="D1193" s="15"/>
      <c r="E1193" s="16"/>
      <c r="F1193" s="16"/>
      <c r="I1193" s="18"/>
      <c r="J1193" s="12"/>
      <c r="K1193" s="12"/>
      <c r="L1193" s="13"/>
      <c r="M1193" s="14"/>
      <c r="N1193" s="15"/>
    </row>
    <row r="1194" spans="1:14" s="17" customFormat="1">
      <c r="A1194" s="12"/>
      <c r="B1194" s="13"/>
      <c r="C1194" s="14"/>
      <c r="D1194" s="15"/>
      <c r="E1194" s="16"/>
      <c r="F1194" s="16"/>
      <c r="I1194" s="18"/>
      <c r="J1194" s="12"/>
      <c r="K1194" s="12"/>
      <c r="L1194" s="13"/>
      <c r="M1194" s="14"/>
      <c r="N1194" s="15"/>
    </row>
    <row r="1195" spans="1:14" s="17" customFormat="1">
      <c r="A1195" s="12"/>
      <c r="B1195" s="13"/>
      <c r="C1195" s="14"/>
      <c r="D1195" s="15"/>
      <c r="E1195" s="16"/>
      <c r="F1195" s="16"/>
      <c r="I1195" s="18"/>
      <c r="J1195" s="12"/>
      <c r="K1195" s="12"/>
      <c r="L1195" s="13"/>
      <c r="M1195" s="14"/>
      <c r="N1195" s="15"/>
    </row>
    <row r="1196" spans="1:14" s="17" customFormat="1">
      <c r="A1196" s="12"/>
      <c r="B1196" s="13"/>
      <c r="C1196" s="14"/>
      <c r="D1196" s="15"/>
      <c r="E1196" s="16"/>
      <c r="F1196" s="16"/>
      <c r="I1196" s="18"/>
      <c r="J1196" s="12"/>
      <c r="K1196" s="12"/>
      <c r="L1196" s="13"/>
      <c r="M1196" s="14"/>
      <c r="N1196" s="15"/>
    </row>
    <row r="1197" spans="1:14" s="17" customFormat="1">
      <c r="A1197" s="12"/>
      <c r="B1197" s="13"/>
      <c r="C1197" s="14"/>
      <c r="D1197" s="15"/>
      <c r="E1197" s="16"/>
      <c r="F1197" s="16"/>
      <c r="I1197" s="18"/>
      <c r="J1197" s="12"/>
      <c r="K1197" s="12"/>
      <c r="L1197" s="13"/>
      <c r="M1197" s="14"/>
      <c r="N1197" s="15"/>
    </row>
    <row r="1198" spans="1:14" s="17" customFormat="1">
      <c r="A1198" s="12"/>
      <c r="B1198" s="13"/>
      <c r="C1198" s="14"/>
      <c r="D1198" s="15"/>
      <c r="E1198" s="16"/>
      <c r="F1198" s="16"/>
      <c r="I1198" s="18"/>
      <c r="J1198" s="12"/>
      <c r="K1198" s="12"/>
      <c r="L1198" s="13"/>
      <c r="M1198" s="14"/>
      <c r="N1198" s="15"/>
    </row>
    <row r="1199" spans="1:14" s="17" customFormat="1">
      <c r="A1199" s="12"/>
      <c r="B1199" s="13"/>
      <c r="C1199" s="14"/>
      <c r="D1199" s="15"/>
      <c r="E1199" s="16"/>
      <c r="F1199" s="16"/>
      <c r="I1199" s="18"/>
      <c r="J1199" s="12"/>
      <c r="K1199" s="12"/>
      <c r="L1199" s="13"/>
      <c r="M1199" s="14"/>
      <c r="N1199" s="15"/>
    </row>
    <row r="1200" spans="1:14" s="17" customFormat="1">
      <c r="A1200" s="12"/>
      <c r="B1200" s="13"/>
      <c r="C1200" s="14"/>
      <c r="D1200" s="15"/>
      <c r="E1200" s="16"/>
      <c r="F1200" s="16"/>
      <c r="I1200" s="18"/>
      <c r="J1200" s="12"/>
      <c r="K1200" s="12"/>
      <c r="L1200" s="13"/>
      <c r="M1200" s="14"/>
      <c r="N1200" s="15"/>
    </row>
    <row r="1201" spans="1:14" s="17" customFormat="1">
      <c r="A1201" s="12"/>
      <c r="B1201" s="13"/>
      <c r="C1201" s="14"/>
      <c r="D1201" s="15"/>
      <c r="E1201" s="16"/>
      <c r="F1201" s="16"/>
      <c r="I1201" s="18"/>
      <c r="J1201" s="12"/>
      <c r="K1201" s="12"/>
      <c r="L1201" s="13"/>
      <c r="M1201" s="14"/>
      <c r="N1201" s="15"/>
    </row>
    <row r="1202" spans="1:14" s="17" customFormat="1">
      <c r="A1202" s="12"/>
      <c r="B1202" s="13"/>
      <c r="C1202" s="14"/>
      <c r="D1202" s="15"/>
      <c r="E1202" s="16"/>
      <c r="F1202" s="16"/>
      <c r="I1202" s="18"/>
      <c r="J1202" s="12"/>
      <c r="K1202" s="12"/>
      <c r="L1202" s="13"/>
      <c r="M1202" s="14"/>
      <c r="N1202" s="15"/>
    </row>
    <row r="1203" spans="1:14" s="17" customFormat="1">
      <c r="A1203" s="12"/>
      <c r="B1203" s="13"/>
      <c r="C1203" s="14"/>
      <c r="D1203" s="15"/>
      <c r="E1203" s="16"/>
      <c r="F1203" s="16"/>
      <c r="I1203" s="18"/>
      <c r="J1203" s="12"/>
      <c r="K1203" s="12"/>
      <c r="L1203" s="13"/>
      <c r="M1203" s="14"/>
      <c r="N1203" s="15"/>
    </row>
    <row r="1204" spans="1:14" s="17" customFormat="1">
      <c r="A1204" s="12"/>
      <c r="B1204" s="13"/>
      <c r="C1204" s="14"/>
      <c r="D1204" s="15"/>
      <c r="E1204" s="16"/>
      <c r="F1204" s="16"/>
      <c r="I1204" s="18"/>
      <c r="J1204" s="12"/>
      <c r="K1204" s="12"/>
      <c r="L1204" s="13"/>
      <c r="M1204" s="14"/>
      <c r="N1204" s="15"/>
    </row>
    <row r="1205" spans="1:14" s="17" customFormat="1">
      <c r="A1205" s="12"/>
      <c r="B1205" s="13"/>
      <c r="C1205" s="14"/>
      <c r="D1205" s="15"/>
      <c r="E1205" s="16"/>
      <c r="F1205" s="16"/>
      <c r="G1205" s="34"/>
      <c r="H1205" s="34"/>
      <c r="I1205" s="95"/>
      <c r="J1205" s="12"/>
      <c r="K1205" s="12"/>
      <c r="L1205" s="13"/>
      <c r="M1205" s="14"/>
      <c r="N1205" s="15"/>
    </row>
    <row r="1206" spans="1:14" s="17" customFormat="1">
      <c r="A1206" s="12"/>
      <c r="B1206" s="13"/>
      <c r="C1206" s="14"/>
      <c r="D1206" s="15"/>
      <c r="E1206" s="16"/>
      <c r="F1206" s="16"/>
      <c r="G1206" s="34"/>
      <c r="H1206" s="34"/>
      <c r="I1206" s="95"/>
      <c r="J1206" s="12"/>
      <c r="K1206" s="12"/>
      <c r="L1206" s="13"/>
      <c r="M1206" s="14"/>
      <c r="N1206" s="15"/>
    </row>
    <row r="1207" spans="1:14" s="17" customFormat="1">
      <c r="A1207" s="12"/>
      <c r="B1207" s="13"/>
      <c r="C1207" s="14"/>
      <c r="D1207" s="15"/>
      <c r="E1207" s="16"/>
      <c r="F1207" s="16"/>
      <c r="G1207" s="25"/>
      <c r="H1207" s="25"/>
      <c r="I1207" s="95"/>
      <c r="J1207" s="12"/>
      <c r="K1207" s="12"/>
      <c r="L1207" s="13"/>
      <c r="M1207" s="14"/>
      <c r="N1207" s="15"/>
    </row>
    <row r="1208" spans="1:14" s="17" customFormat="1">
      <c r="A1208" s="12"/>
      <c r="B1208" s="13"/>
      <c r="C1208" s="14"/>
      <c r="D1208" s="15"/>
      <c r="E1208" s="16"/>
      <c r="F1208" s="16"/>
      <c r="G1208" s="25"/>
      <c r="H1208" s="25"/>
      <c r="I1208" s="95"/>
      <c r="J1208" s="12"/>
      <c r="K1208" s="12"/>
      <c r="L1208" s="13"/>
      <c r="M1208" s="14"/>
      <c r="N1208" s="15"/>
    </row>
    <row r="1209" spans="1:14" s="17" customFormat="1">
      <c r="A1209" s="12"/>
      <c r="B1209" s="13"/>
      <c r="C1209" s="14"/>
      <c r="D1209" s="15"/>
      <c r="E1209" s="16"/>
      <c r="F1209" s="16"/>
      <c r="I1209" s="18"/>
      <c r="J1209" s="12"/>
      <c r="K1209" s="12"/>
      <c r="L1209" s="13"/>
      <c r="M1209" s="14"/>
      <c r="N1209" s="15"/>
    </row>
    <row r="1210" spans="1:14" s="17" customFormat="1">
      <c r="A1210" s="12"/>
      <c r="B1210" s="13"/>
      <c r="C1210" s="14"/>
      <c r="D1210" s="15"/>
      <c r="E1210" s="16"/>
      <c r="F1210" s="16"/>
      <c r="I1210" s="18"/>
      <c r="J1210" s="12"/>
      <c r="K1210" s="12"/>
      <c r="L1210" s="13"/>
      <c r="M1210" s="14"/>
      <c r="N1210" s="15"/>
    </row>
    <row r="1211" spans="1:14" s="17" customFormat="1">
      <c r="A1211" s="12"/>
      <c r="B1211" s="13"/>
      <c r="C1211" s="14"/>
      <c r="D1211" s="15"/>
      <c r="E1211" s="16"/>
      <c r="F1211" s="16"/>
      <c r="I1211" s="18"/>
      <c r="J1211" s="12"/>
      <c r="K1211" s="12"/>
      <c r="L1211" s="13"/>
      <c r="M1211" s="14"/>
      <c r="N1211" s="15"/>
    </row>
    <row r="1212" spans="1:14" s="17" customFormat="1">
      <c r="A1212" s="12"/>
      <c r="B1212" s="13"/>
      <c r="C1212" s="14"/>
      <c r="D1212" s="15"/>
      <c r="E1212" s="16"/>
      <c r="F1212" s="16"/>
      <c r="I1212" s="18"/>
      <c r="J1212" s="12"/>
      <c r="K1212" s="12"/>
      <c r="L1212" s="13"/>
      <c r="M1212" s="14"/>
      <c r="N1212" s="15"/>
    </row>
    <row r="1213" spans="1:14" s="17" customFormat="1">
      <c r="A1213" s="12"/>
      <c r="B1213" s="13"/>
      <c r="C1213" s="14"/>
      <c r="D1213" s="15"/>
      <c r="E1213" s="16"/>
      <c r="F1213" s="16"/>
      <c r="I1213" s="18"/>
      <c r="J1213" s="12"/>
      <c r="K1213" s="12"/>
      <c r="L1213" s="13"/>
      <c r="M1213" s="14"/>
      <c r="N1213" s="15"/>
    </row>
    <row r="1214" spans="1:14" s="17" customFormat="1">
      <c r="A1214" s="12"/>
      <c r="B1214" s="13"/>
      <c r="C1214" s="14"/>
      <c r="D1214" s="15"/>
      <c r="E1214" s="16"/>
      <c r="F1214" s="16"/>
      <c r="I1214" s="18"/>
      <c r="J1214" s="12"/>
      <c r="K1214" s="12"/>
      <c r="L1214" s="13"/>
      <c r="M1214" s="14"/>
      <c r="N1214" s="15"/>
    </row>
    <row r="1215" spans="1:14" s="17" customFormat="1">
      <c r="A1215" s="12"/>
      <c r="B1215" s="13"/>
      <c r="C1215" s="14"/>
      <c r="D1215" s="15"/>
      <c r="E1215" s="16"/>
      <c r="F1215" s="16"/>
      <c r="I1215" s="18"/>
      <c r="J1215" s="12"/>
      <c r="K1215" s="12"/>
      <c r="L1215" s="13"/>
      <c r="M1215" s="14"/>
      <c r="N1215" s="15"/>
    </row>
    <row r="1216" spans="1:14" s="17" customFormat="1">
      <c r="A1216" s="12"/>
      <c r="B1216" s="13"/>
      <c r="C1216" s="14"/>
      <c r="D1216" s="15"/>
      <c r="E1216" s="16"/>
      <c r="F1216" s="16"/>
      <c r="I1216" s="18"/>
      <c r="J1216" s="12"/>
      <c r="K1216" s="12"/>
      <c r="L1216" s="13"/>
      <c r="M1216" s="14"/>
      <c r="N1216" s="15"/>
    </row>
    <row r="1217" spans="1:14" s="17" customFormat="1">
      <c r="A1217" s="12"/>
      <c r="B1217" s="13"/>
      <c r="C1217" s="14"/>
      <c r="D1217" s="15"/>
      <c r="E1217" s="16"/>
      <c r="F1217" s="16"/>
      <c r="I1217" s="18"/>
      <c r="J1217" s="12"/>
      <c r="K1217" s="12"/>
      <c r="L1217" s="13"/>
      <c r="M1217" s="14"/>
      <c r="N1217" s="15"/>
    </row>
    <row r="1218" spans="1:14" s="17" customFormat="1">
      <c r="A1218" s="12"/>
      <c r="B1218" s="13"/>
      <c r="C1218" s="14"/>
      <c r="D1218" s="15"/>
      <c r="E1218" s="16"/>
      <c r="F1218" s="16"/>
      <c r="I1218" s="18"/>
      <c r="J1218" s="12"/>
      <c r="K1218" s="12"/>
      <c r="L1218" s="13"/>
      <c r="M1218" s="14"/>
      <c r="N1218" s="15"/>
    </row>
    <row r="1219" spans="1:14" s="17" customFormat="1">
      <c r="A1219" s="12"/>
      <c r="B1219" s="13"/>
      <c r="C1219" s="14"/>
      <c r="D1219" s="15"/>
      <c r="E1219" s="16"/>
      <c r="F1219" s="16"/>
      <c r="I1219" s="18"/>
      <c r="J1219" s="12"/>
      <c r="K1219" s="12"/>
      <c r="L1219" s="13"/>
      <c r="M1219" s="14"/>
      <c r="N1219" s="15"/>
    </row>
    <row r="1220" spans="1:14" s="17" customFormat="1">
      <c r="A1220" s="12"/>
      <c r="B1220" s="13"/>
      <c r="C1220" s="14"/>
      <c r="D1220" s="15"/>
      <c r="E1220" s="16"/>
      <c r="F1220" s="16"/>
      <c r="I1220" s="18"/>
      <c r="J1220" s="12"/>
      <c r="K1220" s="12"/>
      <c r="L1220" s="13"/>
      <c r="M1220" s="14"/>
      <c r="N1220" s="15"/>
    </row>
    <row r="1221" spans="1:14" s="17" customFormat="1">
      <c r="A1221" s="12"/>
      <c r="B1221" s="13"/>
      <c r="C1221" s="14"/>
      <c r="D1221" s="15"/>
      <c r="E1221" s="16"/>
      <c r="F1221" s="16"/>
      <c r="I1221" s="18"/>
      <c r="J1221" s="12"/>
      <c r="K1221" s="12"/>
      <c r="L1221" s="13"/>
      <c r="M1221" s="14"/>
      <c r="N1221" s="15"/>
    </row>
    <row r="1222" spans="1:14" s="17" customFormat="1">
      <c r="A1222" s="12"/>
      <c r="B1222" s="13"/>
      <c r="C1222" s="14"/>
      <c r="D1222" s="15"/>
      <c r="E1222" s="16"/>
      <c r="F1222" s="16"/>
      <c r="I1222" s="18"/>
      <c r="J1222" s="12"/>
      <c r="K1222" s="12"/>
      <c r="L1222" s="13"/>
      <c r="M1222" s="14"/>
      <c r="N1222" s="15"/>
    </row>
    <row r="1223" spans="1:14" s="17" customFormat="1">
      <c r="A1223" s="12"/>
      <c r="B1223" s="13"/>
      <c r="C1223" s="14"/>
      <c r="D1223" s="15"/>
      <c r="E1223" s="16"/>
      <c r="F1223" s="16"/>
      <c r="I1223" s="18"/>
      <c r="J1223" s="12"/>
      <c r="K1223" s="12"/>
      <c r="L1223" s="13"/>
      <c r="M1223" s="14"/>
      <c r="N1223" s="15"/>
    </row>
    <row r="1224" spans="1:14" s="17" customFormat="1">
      <c r="A1224" s="12"/>
      <c r="B1224" s="13"/>
      <c r="C1224" s="14"/>
      <c r="D1224" s="15"/>
      <c r="E1224" s="16"/>
      <c r="F1224" s="16"/>
      <c r="I1224" s="18"/>
      <c r="J1224" s="12"/>
      <c r="K1224" s="12"/>
      <c r="L1224" s="13"/>
      <c r="M1224" s="14"/>
      <c r="N1224" s="15"/>
    </row>
    <row r="1225" spans="1:14" s="17" customFormat="1">
      <c r="A1225" s="12"/>
      <c r="B1225" s="13"/>
      <c r="C1225" s="14"/>
      <c r="D1225" s="15"/>
      <c r="E1225" s="16"/>
      <c r="F1225" s="16"/>
      <c r="I1225" s="18"/>
      <c r="J1225" s="12"/>
      <c r="K1225" s="12"/>
      <c r="L1225" s="13"/>
      <c r="M1225" s="14"/>
      <c r="N1225" s="15"/>
    </row>
    <row r="1226" spans="1:14" s="17" customFormat="1">
      <c r="A1226" s="12"/>
      <c r="B1226" s="13"/>
      <c r="C1226" s="14"/>
      <c r="D1226" s="15"/>
      <c r="E1226" s="16"/>
      <c r="F1226" s="16"/>
      <c r="I1226" s="18"/>
      <c r="J1226" s="12"/>
      <c r="K1226" s="12"/>
      <c r="L1226" s="13"/>
      <c r="M1226" s="14"/>
      <c r="N1226" s="15"/>
    </row>
    <row r="1227" spans="1:14" s="17" customFormat="1">
      <c r="A1227" s="12"/>
      <c r="B1227" s="13"/>
      <c r="C1227" s="14"/>
      <c r="D1227" s="15"/>
      <c r="E1227" s="16"/>
      <c r="F1227" s="16"/>
      <c r="I1227" s="18"/>
      <c r="J1227" s="12"/>
      <c r="K1227" s="12"/>
      <c r="L1227" s="13"/>
      <c r="M1227" s="14"/>
      <c r="N1227" s="15"/>
    </row>
    <row r="1228" spans="1:14" s="17" customFormat="1">
      <c r="A1228" s="12"/>
      <c r="B1228" s="13"/>
      <c r="C1228" s="14"/>
      <c r="D1228" s="15"/>
      <c r="E1228" s="16"/>
      <c r="F1228" s="16"/>
      <c r="I1228" s="18"/>
      <c r="J1228" s="12"/>
      <c r="K1228" s="12"/>
      <c r="L1228" s="13"/>
      <c r="M1228" s="14"/>
      <c r="N1228" s="15"/>
    </row>
    <row r="1229" spans="1:14" s="17" customFormat="1">
      <c r="A1229" s="12"/>
      <c r="B1229" s="13"/>
      <c r="C1229" s="14"/>
      <c r="D1229" s="15"/>
      <c r="E1229" s="16"/>
      <c r="F1229" s="16"/>
      <c r="I1229" s="18"/>
      <c r="J1229" s="12"/>
      <c r="K1229" s="12"/>
      <c r="L1229" s="13"/>
      <c r="M1229" s="14"/>
      <c r="N1229" s="15"/>
    </row>
    <row r="1230" spans="1:14" s="17" customFormat="1">
      <c r="A1230" s="12"/>
      <c r="B1230" s="13"/>
      <c r="C1230" s="14"/>
      <c r="D1230" s="15"/>
      <c r="E1230" s="16"/>
      <c r="F1230" s="16"/>
      <c r="I1230" s="18"/>
      <c r="J1230" s="12"/>
      <c r="K1230" s="12"/>
      <c r="L1230" s="13"/>
      <c r="M1230" s="14"/>
      <c r="N1230" s="15"/>
    </row>
    <row r="1231" spans="1:14" s="17" customFormat="1">
      <c r="A1231" s="12"/>
      <c r="B1231" s="13"/>
      <c r="C1231" s="14"/>
      <c r="D1231" s="15"/>
      <c r="E1231" s="16"/>
      <c r="F1231" s="16"/>
      <c r="I1231" s="18"/>
      <c r="J1231" s="12"/>
      <c r="K1231" s="12"/>
      <c r="L1231" s="13"/>
      <c r="M1231" s="14"/>
      <c r="N1231" s="15"/>
    </row>
    <row r="1232" spans="1:14" s="17" customFormat="1">
      <c r="A1232" s="12"/>
      <c r="B1232" s="13"/>
      <c r="C1232" s="14"/>
      <c r="D1232" s="15"/>
      <c r="E1232" s="16"/>
      <c r="F1232" s="16"/>
      <c r="I1232" s="18"/>
      <c r="J1232" s="12"/>
      <c r="K1232" s="12"/>
      <c r="L1232" s="13"/>
      <c r="M1232" s="14"/>
      <c r="N1232" s="15"/>
    </row>
    <row r="1233" spans="1:14" s="17" customFormat="1">
      <c r="A1233" s="12"/>
      <c r="B1233" s="13"/>
      <c r="C1233" s="14"/>
      <c r="D1233" s="15"/>
      <c r="E1233" s="16"/>
      <c r="F1233" s="16"/>
      <c r="I1233" s="18"/>
      <c r="J1233" s="12"/>
      <c r="K1233" s="12"/>
      <c r="L1233" s="13"/>
      <c r="M1233" s="14"/>
      <c r="N1233" s="15"/>
    </row>
    <row r="1234" spans="1:14" s="17" customFormat="1">
      <c r="A1234" s="12"/>
      <c r="B1234" s="13"/>
      <c r="C1234" s="14"/>
      <c r="D1234" s="15"/>
      <c r="E1234" s="16"/>
      <c r="F1234" s="16"/>
      <c r="I1234" s="18"/>
      <c r="J1234" s="12"/>
      <c r="K1234" s="12"/>
      <c r="L1234" s="13"/>
      <c r="M1234" s="14"/>
      <c r="N1234" s="15"/>
    </row>
    <row r="1235" spans="1:14" s="17" customFormat="1">
      <c r="A1235" s="12"/>
      <c r="B1235" s="13"/>
      <c r="C1235" s="14"/>
      <c r="D1235" s="15"/>
      <c r="E1235" s="16"/>
      <c r="F1235" s="16"/>
      <c r="I1235" s="18"/>
      <c r="J1235" s="12"/>
      <c r="K1235" s="12"/>
      <c r="L1235" s="13"/>
      <c r="M1235" s="14"/>
      <c r="N1235" s="15"/>
    </row>
    <row r="1236" spans="1:14" s="17" customFormat="1">
      <c r="A1236" s="12"/>
      <c r="B1236" s="13"/>
      <c r="C1236" s="14"/>
      <c r="D1236" s="15"/>
      <c r="E1236" s="16"/>
      <c r="F1236" s="16"/>
      <c r="I1236" s="18"/>
      <c r="J1236" s="12"/>
      <c r="K1236" s="12"/>
      <c r="L1236" s="13"/>
      <c r="M1236" s="14"/>
      <c r="N1236" s="15"/>
    </row>
    <row r="1237" spans="1:14" s="17" customFormat="1">
      <c r="A1237" s="12"/>
      <c r="B1237" s="13"/>
      <c r="C1237" s="14"/>
      <c r="D1237" s="15"/>
      <c r="E1237" s="16"/>
      <c r="F1237" s="16"/>
      <c r="I1237" s="18"/>
      <c r="J1237" s="12"/>
      <c r="K1237" s="12"/>
      <c r="L1237" s="13"/>
      <c r="M1237" s="14"/>
      <c r="N1237" s="15"/>
    </row>
    <row r="1238" spans="1:14" s="17" customFormat="1">
      <c r="A1238" s="12"/>
      <c r="B1238" s="13"/>
      <c r="C1238" s="14"/>
      <c r="D1238" s="15"/>
      <c r="E1238" s="16"/>
      <c r="F1238" s="16"/>
      <c r="I1238" s="18"/>
      <c r="J1238" s="12"/>
      <c r="K1238" s="12"/>
      <c r="L1238" s="13"/>
      <c r="M1238" s="14"/>
      <c r="N1238" s="15"/>
    </row>
    <row r="1239" spans="1:14" s="17" customFormat="1">
      <c r="A1239" s="12"/>
      <c r="B1239" s="13"/>
      <c r="C1239" s="14"/>
      <c r="D1239" s="15"/>
      <c r="E1239" s="16"/>
      <c r="F1239" s="16"/>
      <c r="I1239" s="18"/>
      <c r="J1239" s="12"/>
      <c r="K1239" s="12"/>
      <c r="L1239" s="13"/>
      <c r="M1239" s="14"/>
      <c r="N1239" s="15"/>
    </row>
    <row r="1240" spans="1:14" s="17" customFormat="1">
      <c r="A1240" s="12"/>
      <c r="B1240" s="13"/>
      <c r="C1240" s="14"/>
      <c r="D1240" s="15"/>
      <c r="E1240" s="16"/>
      <c r="F1240" s="16"/>
      <c r="I1240" s="18"/>
      <c r="J1240" s="12"/>
      <c r="K1240" s="12"/>
      <c r="L1240" s="13"/>
      <c r="M1240" s="14"/>
      <c r="N1240" s="15"/>
    </row>
    <row r="1241" spans="1:14" s="17" customFormat="1">
      <c r="A1241" s="12"/>
      <c r="B1241" s="13"/>
      <c r="C1241" s="14"/>
      <c r="D1241" s="15"/>
      <c r="E1241" s="16"/>
      <c r="F1241" s="16"/>
      <c r="I1241" s="18"/>
      <c r="J1241" s="12"/>
      <c r="K1241" s="12"/>
      <c r="L1241" s="13"/>
      <c r="M1241" s="14"/>
      <c r="N1241" s="15"/>
    </row>
    <row r="1242" spans="1:14" s="17" customFormat="1">
      <c r="A1242" s="12"/>
      <c r="B1242" s="13"/>
      <c r="C1242" s="14"/>
      <c r="D1242" s="15"/>
      <c r="E1242" s="16"/>
      <c r="F1242" s="16"/>
      <c r="I1242" s="18"/>
      <c r="J1242" s="12"/>
      <c r="K1242" s="12"/>
      <c r="L1242" s="13"/>
      <c r="M1242" s="14"/>
      <c r="N1242" s="15"/>
    </row>
    <row r="1243" spans="1:14" s="17" customFormat="1">
      <c r="A1243" s="12"/>
      <c r="B1243" s="13"/>
      <c r="C1243" s="14"/>
      <c r="D1243" s="15"/>
      <c r="E1243" s="16"/>
      <c r="F1243" s="16"/>
      <c r="I1243" s="18"/>
      <c r="J1243" s="12"/>
      <c r="K1243" s="12"/>
      <c r="L1243" s="13"/>
      <c r="M1243" s="14"/>
      <c r="N1243" s="15"/>
    </row>
    <row r="1244" spans="1:14" s="17" customFormat="1">
      <c r="A1244" s="12"/>
      <c r="B1244" s="13"/>
      <c r="C1244" s="14"/>
      <c r="D1244" s="15"/>
      <c r="E1244" s="16"/>
      <c r="F1244" s="16"/>
      <c r="I1244" s="18"/>
      <c r="J1244" s="12"/>
      <c r="K1244" s="12"/>
      <c r="L1244" s="13"/>
      <c r="M1244" s="14"/>
      <c r="N1244" s="15"/>
    </row>
    <row r="1245" spans="1:14" s="17" customFormat="1">
      <c r="A1245" s="12"/>
      <c r="B1245" s="13"/>
      <c r="C1245" s="14"/>
      <c r="D1245" s="15"/>
      <c r="E1245" s="16"/>
      <c r="F1245" s="16"/>
      <c r="I1245" s="18"/>
      <c r="J1245" s="12"/>
      <c r="K1245" s="12"/>
      <c r="L1245" s="13"/>
      <c r="M1245" s="14"/>
      <c r="N1245" s="15"/>
    </row>
    <row r="1246" spans="1:14" s="17" customFormat="1">
      <c r="A1246" s="12"/>
      <c r="B1246" s="13"/>
      <c r="C1246" s="14"/>
      <c r="D1246" s="15"/>
      <c r="E1246" s="16"/>
      <c r="F1246" s="16"/>
      <c r="I1246" s="18"/>
      <c r="J1246" s="12"/>
      <c r="K1246" s="12"/>
      <c r="L1246" s="13"/>
      <c r="M1246" s="14"/>
      <c r="N1246" s="15"/>
    </row>
    <row r="1247" spans="1:14" s="17" customFormat="1">
      <c r="A1247" s="12"/>
      <c r="B1247" s="13"/>
      <c r="C1247" s="14"/>
      <c r="D1247" s="15"/>
      <c r="E1247" s="16"/>
      <c r="F1247" s="16"/>
      <c r="I1247" s="18"/>
      <c r="J1247" s="12"/>
      <c r="K1247" s="12"/>
      <c r="L1247" s="13"/>
      <c r="M1247" s="14"/>
      <c r="N1247" s="15"/>
    </row>
    <row r="1248" spans="1:14" s="17" customFormat="1">
      <c r="A1248" s="12"/>
      <c r="B1248" s="13"/>
      <c r="C1248" s="14"/>
      <c r="D1248" s="15"/>
      <c r="E1248" s="16"/>
      <c r="F1248" s="16"/>
      <c r="I1248" s="18"/>
      <c r="J1248" s="12"/>
      <c r="K1248" s="12"/>
      <c r="L1248" s="13"/>
      <c r="M1248" s="14"/>
      <c r="N1248" s="15"/>
    </row>
    <row r="1249" spans="1:14" s="17" customFormat="1">
      <c r="A1249" s="12"/>
      <c r="B1249" s="13"/>
      <c r="C1249" s="14"/>
      <c r="D1249" s="15"/>
      <c r="E1249" s="16"/>
      <c r="F1249" s="16"/>
      <c r="I1249" s="18"/>
      <c r="J1249" s="12"/>
      <c r="K1249" s="12"/>
      <c r="L1249" s="13"/>
      <c r="M1249" s="14"/>
      <c r="N1249" s="15"/>
    </row>
    <row r="1250" spans="1:14" s="17" customFormat="1">
      <c r="A1250" s="12"/>
      <c r="B1250" s="13"/>
      <c r="C1250" s="14"/>
      <c r="D1250" s="15"/>
      <c r="E1250" s="16"/>
      <c r="F1250" s="16"/>
      <c r="I1250" s="18"/>
      <c r="J1250" s="12"/>
      <c r="K1250" s="12"/>
      <c r="L1250" s="13"/>
      <c r="M1250" s="14"/>
      <c r="N1250" s="15"/>
    </row>
    <row r="1251" spans="1:14" s="17" customFormat="1">
      <c r="A1251" s="12"/>
      <c r="B1251" s="13"/>
      <c r="C1251" s="14"/>
      <c r="D1251" s="15"/>
      <c r="E1251" s="16"/>
      <c r="F1251" s="16"/>
      <c r="I1251" s="18"/>
      <c r="J1251" s="12"/>
      <c r="K1251" s="12"/>
      <c r="L1251" s="13"/>
      <c r="M1251" s="14"/>
      <c r="N1251" s="15"/>
    </row>
    <row r="1252" spans="1:14" s="17" customFormat="1">
      <c r="A1252" s="12"/>
      <c r="B1252" s="13"/>
      <c r="C1252" s="14"/>
      <c r="D1252" s="15"/>
      <c r="E1252" s="16"/>
      <c r="F1252" s="16"/>
      <c r="I1252" s="18"/>
      <c r="J1252" s="12"/>
      <c r="K1252" s="12"/>
      <c r="L1252" s="13"/>
      <c r="M1252" s="14"/>
      <c r="N1252" s="15"/>
    </row>
    <row r="1253" spans="1:14" s="17" customFormat="1">
      <c r="A1253" s="12"/>
      <c r="B1253" s="13"/>
      <c r="C1253" s="14"/>
      <c r="D1253" s="15"/>
      <c r="E1253" s="16"/>
      <c r="F1253" s="16"/>
      <c r="I1253" s="18"/>
      <c r="J1253" s="12"/>
      <c r="K1253" s="12"/>
      <c r="L1253" s="13"/>
      <c r="M1253" s="14"/>
      <c r="N1253" s="15"/>
    </row>
    <row r="1254" spans="1:14" s="17" customFormat="1">
      <c r="A1254" s="12"/>
      <c r="B1254" s="13"/>
      <c r="C1254" s="14"/>
      <c r="D1254" s="15"/>
      <c r="E1254" s="16"/>
      <c r="F1254" s="16"/>
      <c r="I1254" s="18"/>
      <c r="J1254" s="12"/>
      <c r="K1254" s="12"/>
      <c r="L1254" s="13"/>
      <c r="M1254" s="14"/>
      <c r="N1254" s="15"/>
    </row>
    <row r="1255" spans="1:14" s="17" customFormat="1">
      <c r="A1255" s="12"/>
      <c r="B1255" s="13"/>
      <c r="C1255" s="14"/>
      <c r="D1255" s="15"/>
      <c r="E1255" s="16"/>
      <c r="F1255" s="16"/>
      <c r="I1255" s="18"/>
      <c r="J1255" s="12"/>
      <c r="K1255" s="12"/>
      <c r="L1255" s="13"/>
      <c r="M1255" s="14"/>
      <c r="N1255" s="15"/>
    </row>
    <row r="1256" spans="1:14" s="17" customFormat="1">
      <c r="A1256" s="12"/>
      <c r="B1256" s="13"/>
      <c r="C1256" s="14"/>
      <c r="D1256" s="15"/>
      <c r="E1256" s="16"/>
      <c r="F1256" s="16"/>
      <c r="I1256" s="18"/>
      <c r="J1256" s="12"/>
      <c r="K1256" s="12"/>
      <c r="L1256" s="13"/>
      <c r="M1256" s="14"/>
      <c r="N1256" s="15"/>
    </row>
    <row r="1257" spans="1:14" s="17" customFormat="1">
      <c r="A1257" s="12"/>
      <c r="B1257" s="13"/>
      <c r="C1257" s="14"/>
      <c r="D1257" s="15"/>
      <c r="E1257" s="16"/>
      <c r="F1257" s="16"/>
      <c r="I1257" s="18"/>
      <c r="J1257" s="12"/>
      <c r="K1257" s="12"/>
      <c r="L1257" s="13"/>
      <c r="M1257" s="14"/>
      <c r="N1257" s="15"/>
    </row>
    <row r="1258" spans="1:14" s="17" customFormat="1">
      <c r="A1258" s="12"/>
      <c r="B1258" s="13"/>
      <c r="C1258" s="14"/>
      <c r="D1258" s="15"/>
      <c r="E1258" s="16"/>
      <c r="F1258" s="16"/>
      <c r="I1258" s="18"/>
      <c r="J1258" s="12"/>
      <c r="K1258" s="12"/>
      <c r="L1258" s="13"/>
      <c r="M1258" s="14"/>
      <c r="N1258" s="15"/>
    </row>
    <row r="1259" spans="1:14" s="17" customFormat="1">
      <c r="A1259" s="12"/>
      <c r="B1259" s="13"/>
      <c r="C1259" s="14"/>
      <c r="D1259" s="15"/>
      <c r="E1259" s="16"/>
      <c r="F1259" s="16"/>
      <c r="I1259" s="18"/>
      <c r="J1259" s="12"/>
      <c r="K1259" s="12"/>
      <c r="L1259" s="13"/>
      <c r="M1259" s="14"/>
      <c r="N1259" s="15"/>
    </row>
    <row r="1260" spans="1:14" s="17" customFormat="1">
      <c r="A1260" s="12"/>
      <c r="B1260" s="13"/>
      <c r="C1260" s="14"/>
      <c r="D1260" s="15"/>
      <c r="E1260" s="16"/>
      <c r="F1260" s="16"/>
      <c r="I1260" s="18"/>
      <c r="J1260" s="12"/>
      <c r="K1260" s="12"/>
      <c r="L1260" s="13"/>
      <c r="M1260" s="14"/>
      <c r="N1260" s="15"/>
    </row>
    <row r="1261" spans="1:14" s="17" customFormat="1">
      <c r="A1261" s="12"/>
      <c r="B1261" s="13"/>
      <c r="C1261" s="14"/>
      <c r="D1261" s="15"/>
      <c r="E1261" s="16"/>
      <c r="F1261" s="16"/>
      <c r="I1261" s="18"/>
      <c r="J1261" s="12"/>
      <c r="K1261" s="12"/>
      <c r="L1261" s="13"/>
      <c r="M1261" s="14"/>
      <c r="N1261" s="15"/>
    </row>
    <row r="1262" spans="1:14" s="17" customFormat="1">
      <c r="A1262" s="12"/>
      <c r="B1262" s="13"/>
      <c r="C1262" s="14"/>
      <c r="D1262" s="15"/>
      <c r="E1262" s="16"/>
      <c r="F1262" s="16"/>
      <c r="I1262" s="18"/>
      <c r="J1262" s="12"/>
      <c r="K1262" s="12"/>
      <c r="L1262" s="13"/>
      <c r="M1262" s="14"/>
      <c r="N1262" s="15"/>
    </row>
    <row r="1263" spans="1:14" s="17" customFormat="1">
      <c r="A1263" s="12"/>
      <c r="B1263" s="13"/>
      <c r="C1263" s="14"/>
      <c r="D1263" s="15"/>
      <c r="E1263" s="16"/>
      <c r="F1263" s="16"/>
      <c r="I1263" s="18"/>
      <c r="J1263" s="12"/>
      <c r="K1263" s="12"/>
      <c r="L1263" s="13"/>
      <c r="M1263" s="14"/>
      <c r="N1263" s="15"/>
    </row>
    <row r="1264" spans="1:14" s="17" customFormat="1">
      <c r="A1264" s="12"/>
      <c r="B1264" s="13"/>
      <c r="C1264" s="14"/>
      <c r="D1264" s="15"/>
      <c r="E1264" s="16"/>
      <c r="F1264" s="16"/>
      <c r="I1264" s="18"/>
      <c r="J1264" s="12"/>
      <c r="K1264" s="12"/>
      <c r="L1264" s="13"/>
      <c r="M1264" s="14"/>
      <c r="N1264" s="15"/>
    </row>
    <row r="1265" spans="1:14" s="17" customFormat="1">
      <c r="A1265" s="12"/>
      <c r="B1265" s="13"/>
      <c r="C1265" s="14"/>
      <c r="D1265" s="15"/>
      <c r="E1265" s="16"/>
      <c r="F1265" s="16"/>
      <c r="I1265" s="18"/>
      <c r="J1265" s="12"/>
      <c r="K1265" s="12"/>
      <c r="L1265" s="13"/>
      <c r="M1265" s="14"/>
      <c r="N1265" s="15"/>
    </row>
    <row r="1266" spans="1:14" s="17" customFormat="1">
      <c r="A1266" s="12"/>
      <c r="B1266" s="13"/>
      <c r="C1266" s="14"/>
      <c r="D1266" s="15"/>
      <c r="E1266" s="16"/>
      <c r="F1266" s="16"/>
      <c r="I1266" s="18"/>
      <c r="J1266" s="12"/>
      <c r="K1266" s="12"/>
      <c r="L1266" s="13"/>
      <c r="M1266" s="14"/>
      <c r="N1266" s="15"/>
    </row>
    <row r="1267" spans="1:14" s="17" customFormat="1">
      <c r="A1267" s="12"/>
      <c r="B1267" s="13"/>
      <c r="C1267" s="14"/>
      <c r="D1267" s="15"/>
      <c r="E1267" s="16"/>
      <c r="F1267" s="16"/>
      <c r="I1267" s="18"/>
      <c r="J1267" s="12"/>
      <c r="K1267" s="12"/>
      <c r="L1267" s="13"/>
      <c r="M1267" s="14"/>
      <c r="N1267" s="15"/>
    </row>
    <row r="1268" spans="1:14" s="17" customFormat="1">
      <c r="A1268" s="12"/>
      <c r="B1268" s="13"/>
      <c r="C1268" s="14"/>
      <c r="D1268" s="15"/>
      <c r="E1268" s="16"/>
      <c r="F1268" s="16"/>
      <c r="I1268" s="18"/>
      <c r="J1268" s="12"/>
      <c r="K1268" s="12"/>
      <c r="L1268" s="13"/>
      <c r="M1268" s="14"/>
      <c r="N1268" s="15"/>
    </row>
    <row r="1269" spans="1:14" s="17" customFormat="1">
      <c r="A1269" s="12"/>
      <c r="B1269" s="13"/>
      <c r="C1269" s="14"/>
      <c r="D1269" s="15"/>
      <c r="E1269" s="16"/>
      <c r="F1269" s="16"/>
      <c r="I1269" s="18"/>
      <c r="J1269" s="12"/>
      <c r="K1269" s="12"/>
      <c r="L1269" s="13"/>
      <c r="M1269" s="14"/>
      <c r="N1269" s="15"/>
    </row>
    <row r="1270" spans="1:14" s="17" customFormat="1">
      <c r="A1270" s="12"/>
      <c r="B1270" s="13"/>
      <c r="C1270" s="14"/>
      <c r="D1270" s="15"/>
      <c r="E1270" s="16"/>
      <c r="F1270" s="16"/>
      <c r="I1270" s="18"/>
      <c r="J1270" s="12"/>
      <c r="K1270" s="12"/>
      <c r="L1270" s="13"/>
      <c r="M1270" s="14"/>
      <c r="N1270" s="15"/>
    </row>
    <row r="1271" spans="1:14" s="17" customFormat="1">
      <c r="A1271" s="12"/>
      <c r="B1271" s="13"/>
      <c r="C1271" s="14"/>
      <c r="D1271" s="15"/>
      <c r="E1271" s="16"/>
      <c r="F1271" s="16"/>
      <c r="I1271" s="18"/>
      <c r="J1271" s="12"/>
      <c r="K1271" s="12"/>
      <c r="L1271" s="13"/>
      <c r="M1271" s="14"/>
      <c r="N1271" s="15"/>
    </row>
    <row r="1272" spans="1:14" s="17" customFormat="1">
      <c r="A1272" s="12"/>
      <c r="B1272" s="13"/>
      <c r="C1272" s="14"/>
      <c r="D1272" s="15"/>
      <c r="E1272" s="16"/>
      <c r="F1272" s="16"/>
      <c r="I1272" s="18"/>
      <c r="J1272" s="12"/>
      <c r="K1272" s="12"/>
      <c r="L1272" s="13"/>
      <c r="M1272" s="14"/>
      <c r="N1272" s="15"/>
    </row>
    <row r="1273" spans="1:14" s="17" customFormat="1">
      <c r="A1273" s="12"/>
      <c r="B1273" s="13"/>
      <c r="C1273" s="14"/>
      <c r="D1273" s="15"/>
      <c r="E1273" s="16"/>
      <c r="F1273" s="16"/>
      <c r="I1273" s="18"/>
      <c r="J1273" s="12"/>
      <c r="K1273" s="12"/>
      <c r="L1273" s="13"/>
      <c r="M1273" s="14"/>
      <c r="N1273" s="15"/>
    </row>
    <row r="1274" spans="1:14" s="17" customFormat="1">
      <c r="A1274" s="12"/>
      <c r="B1274" s="13"/>
      <c r="C1274" s="14"/>
      <c r="D1274" s="15"/>
      <c r="E1274" s="16"/>
      <c r="F1274" s="16"/>
      <c r="I1274" s="18"/>
      <c r="J1274" s="12"/>
      <c r="K1274" s="12"/>
      <c r="L1274" s="13"/>
      <c r="M1274" s="14"/>
      <c r="N1274" s="15"/>
    </row>
    <row r="1275" spans="1:14" s="17" customFormat="1">
      <c r="A1275" s="12"/>
      <c r="B1275" s="13"/>
      <c r="C1275" s="14"/>
      <c r="D1275" s="15"/>
      <c r="E1275" s="16"/>
      <c r="F1275" s="16"/>
      <c r="I1275" s="18"/>
      <c r="J1275" s="12"/>
      <c r="K1275" s="12"/>
      <c r="L1275" s="13"/>
      <c r="M1275" s="14"/>
      <c r="N1275" s="15"/>
    </row>
    <row r="1276" spans="1:14" s="17" customFormat="1">
      <c r="A1276" s="12"/>
      <c r="B1276" s="13"/>
      <c r="C1276" s="14"/>
      <c r="D1276" s="15"/>
      <c r="E1276" s="16"/>
      <c r="F1276" s="16"/>
      <c r="I1276" s="18"/>
      <c r="J1276" s="12"/>
      <c r="K1276" s="12"/>
      <c r="L1276" s="13"/>
      <c r="M1276" s="14"/>
      <c r="N1276" s="15"/>
    </row>
    <row r="1277" spans="1:14" s="17" customFormat="1">
      <c r="A1277" s="12"/>
      <c r="B1277" s="13"/>
      <c r="C1277" s="14"/>
      <c r="D1277" s="15"/>
      <c r="E1277" s="16"/>
      <c r="F1277" s="16"/>
      <c r="I1277" s="18"/>
      <c r="J1277" s="12"/>
      <c r="K1277" s="12"/>
      <c r="L1277" s="13"/>
      <c r="M1277" s="14"/>
      <c r="N1277" s="15"/>
    </row>
    <row r="1278" spans="1:14" s="17" customFormat="1">
      <c r="A1278" s="12"/>
      <c r="B1278" s="13"/>
      <c r="C1278" s="14"/>
      <c r="D1278" s="15"/>
      <c r="E1278" s="16"/>
      <c r="F1278" s="16"/>
      <c r="I1278" s="18"/>
      <c r="J1278" s="12"/>
      <c r="K1278" s="12"/>
      <c r="L1278" s="13"/>
      <c r="M1278" s="14"/>
      <c r="N1278" s="15"/>
    </row>
    <row r="1279" spans="1:14" s="17" customFormat="1">
      <c r="A1279" s="12"/>
      <c r="B1279" s="13"/>
      <c r="C1279" s="14"/>
      <c r="D1279" s="15"/>
      <c r="E1279" s="16"/>
      <c r="F1279" s="16"/>
      <c r="I1279" s="18"/>
      <c r="J1279" s="12"/>
      <c r="K1279" s="12"/>
      <c r="L1279" s="13"/>
      <c r="M1279" s="14"/>
      <c r="N1279" s="15"/>
    </row>
    <row r="1280" spans="1:14" s="17" customFormat="1">
      <c r="A1280" s="12"/>
      <c r="B1280" s="13"/>
      <c r="C1280" s="14"/>
      <c r="D1280" s="15"/>
      <c r="E1280" s="16"/>
      <c r="F1280" s="16"/>
      <c r="I1280" s="18"/>
      <c r="J1280" s="12"/>
      <c r="K1280" s="12"/>
      <c r="L1280" s="13"/>
      <c r="M1280" s="14"/>
      <c r="N1280" s="15"/>
    </row>
    <row r="1281" spans="1:14" s="17" customFormat="1">
      <c r="A1281" s="12"/>
      <c r="B1281" s="13"/>
      <c r="C1281" s="14"/>
      <c r="D1281" s="15"/>
      <c r="E1281" s="16"/>
      <c r="F1281" s="16"/>
      <c r="I1281" s="18"/>
      <c r="J1281" s="12"/>
      <c r="K1281" s="12"/>
      <c r="L1281" s="13"/>
      <c r="M1281" s="14"/>
      <c r="N1281" s="15"/>
    </row>
    <row r="1282" spans="1:14" s="17" customFormat="1">
      <c r="A1282" s="12"/>
      <c r="B1282" s="13"/>
      <c r="C1282" s="14"/>
      <c r="D1282" s="15"/>
      <c r="E1282" s="16"/>
      <c r="F1282" s="16"/>
      <c r="I1282" s="18"/>
      <c r="J1282" s="12"/>
      <c r="K1282" s="12"/>
      <c r="L1282" s="13"/>
      <c r="M1282" s="14"/>
      <c r="N1282" s="15"/>
    </row>
    <row r="1283" spans="1:14" s="17" customFormat="1">
      <c r="A1283" s="12"/>
      <c r="B1283" s="13"/>
      <c r="C1283" s="14"/>
      <c r="D1283" s="15"/>
      <c r="E1283" s="16"/>
      <c r="F1283" s="16"/>
      <c r="I1283" s="18"/>
      <c r="J1283" s="12"/>
      <c r="K1283" s="12"/>
      <c r="L1283" s="13"/>
      <c r="M1283" s="14"/>
      <c r="N1283" s="15"/>
    </row>
    <row r="1284" spans="1:14" s="17" customFormat="1">
      <c r="A1284" s="12"/>
      <c r="B1284" s="13"/>
      <c r="C1284" s="14"/>
      <c r="D1284" s="15"/>
      <c r="E1284" s="16"/>
      <c r="F1284" s="16"/>
      <c r="I1284" s="18"/>
      <c r="J1284" s="12"/>
      <c r="K1284" s="12"/>
      <c r="L1284" s="13"/>
      <c r="M1284" s="14"/>
      <c r="N1284" s="15"/>
    </row>
    <row r="1285" spans="1:14" s="17" customFormat="1">
      <c r="A1285" s="12"/>
      <c r="B1285" s="13"/>
      <c r="C1285" s="14"/>
      <c r="D1285" s="15"/>
      <c r="E1285" s="16"/>
      <c r="F1285" s="16"/>
      <c r="I1285" s="18"/>
      <c r="J1285" s="12"/>
      <c r="K1285" s="12"/>
      <c r="L1285" s="13"/>
      <c r="M1285" s="14"/>
      <c r="N1285" s="15"/>
    </row>
    <row r="1286" spans="1:14" s="17" customFormat="1">
      <c r="A1286" s="12"/>
      <c r="B1286" s="13"/>
      <c r="C1286" s="14"/>
      <c r="D1286" s="15"/>
      <c r="E1286" s="16"/>
      <c r="F1286" s="16"/>
      <c r="I1286" s="18"/>
      <c r="J1286" s="12"/>
      <c r="K1286" s="12"/>
      <c r="L1286" s="13"/>
      <c r="M1286" s="14"/>
      <c r="N1286" s="15"/>
    </row>
    <row r="1287" spans="1:14" s="17" customFormat="1">
      <c r="A1287" s="12"/>
      <c r="B1287" s="13"/>
      <c r="C1287" s="14"/>
      <c r="D1287" s="15"/>
      <c r="E1287" s="16"/>
      <c r="F1287" s="16"/>
      <c r="I1287" s="18"/>
      <c r="J1287" s="12"/>
      <c r="K1287" s="12"/>
      <c r="L1287" s="13"/>
      <c r="M1287" s="14"/>
      <c r="N1287" s="15"/>
    </row>
    <row r="1288" spans="1:14" s="17" customFormat="1">
      <c r="A1288" s="12"/>
      <c r="B1288" s="13"/>
      <c r="C1288" s="14"/>
      <c r="D1288" s="15"/>
      <c r="E1288" s="16"/>
      <c r="F1288" s="16"/>
      <c r="I1288" s="18"/>
      <c r="J1288" s="12"/>
      <c r="K1288" s="12"/>
      <c r="L1288" s="13"/>
      <c r="M1288" s="14"/>
      <c r="N1288" s="15"/>
    </row>
    <row r="1289" spans="1:14" s="17" customFormat="1">
      <c r="A1289" s="12"/>
      <c r="B1289" s="13"/>
      <c r="C1289" s="14"/>
      <c r="D1289" s="15"/>
      <c r="E1289" s="16"/>
      <c r="F1289" s="16"/>
      <c r="I1289" s="18"/>
      <c r="J1289" s="12"/>
      <c r="K1289" s="12"/>
      <c r="L1289" s="13"/>
      <c r="M1289" s="14"/>
      <c r="N1289" s="15"/>
    </row>
    <row r="1290" spans="1:14" s="17" customFormat="1">
      <c r="A1290" s="12"/>
      <c r="B1290" s="13"/>
      <c r="C1290" s="14"/>
      <c r="D1290" s="15"/>
      <c r="E1290" s="16"/>
      <c r="F1290" s="16"/>
      <c r="I1290" s="18"/>
      <c r="J1290" s="12"/>
      <c r="K1290" s="12"/>
      <c r="L1290" s="13"/>
      <c r="M1290" s="14"/>
      <c r="N1290" s="15"/>
    </row>
    <row r="1291" spans="1:14" s="17" customFormat="1">
      <c r="A1291" s="12"/>
      <c r="B1291" s="13"/>
      <c r="C1291" s="14"/>
      <c r="D1291" s="15"/>
      <c r="E1291" s="16"/>
      <c r="F1291" s="16"/>
      <c r="I1291" s="18"/>
      <c r="J1291" s="12"/>
      <c r="K1291" s="12"/>
      <c r="L1291" s="13"/>
      <c r="M1291" s="14"/>
      <c r="N1291" s="15"/>
    </row>
    <row r="1292" spans="1:14" s="17" customFormat="1">
      <c r="A1292" s="12"/>
      <c r="B1292" s="13"/>
      <c r="C1292" s="14"/>
      <c r="D1292" s="15"/>
      <c r="E1292" s="16"/>
      <c r="F1292" s="16"/>
      <c r="I1292" s="18"/>
      <c r="J1292" s="12"/>
      <c r="K1292" s="12"/>
      <c r="L1292" s="13"/>
      <c r="M1292" s="14"/>
      <c r="N1292" s="15"/>
    </row>
    <row r="1293" spans="1:14" s="17" customFormat="1">
      <c r="A1293" s="12"/>
      <c r="B1293" s="13"/>
      <c r="C1293" s="14"/>
      <c r="D1293" s="15"/>
      <c r="E1293" s="16"/>
      <c r="F1293" s="16"/>
      <c r="I1293" s="18"/>
      <c r="J1293" s="12"/>
      <c r="K1293" s="12"/>
      <c r="L1293" s="13"/>
      <c r="M1293" s="14"/>
      <c r="N1293" s="15"/>
    </row>
    <row r="1294" spans="1:14" s="17" customFormat="1">
      <c r="A1294" s="12"/>
      <c r="B1294" s="13"/>
      <c r="C1294" s="14"/>
      <c r="D1294" s="15"/>
      <c r="E1294" s="16"/>
      <c r="F1294" s="16"/>
      <c r="I1294" s="18"/>
      <c r="J1294" s="12"/>
      <c r="K1294" s="12"/>
      <c r="L1294" s="13"/>
      <c r="M1294" s="14"/>
      <c r="N1294" s="15"/>
    </row>
    <row r="1295" spans="1:14" s="17" customFormat="1">
      <c r="A1295" s="12"/>
      <c r="B1295" s="13"/>
      <c r="C1295" s="14"/>
      <c r="D1295" s="15"/>
      <c r="E1295" s="16"/>
      <c r="F1295" s="16"/>
      <c r="I1295" s="18"/>
      <c r="J1295" s="12"/>
      <c r="K1295" s="12"/>
      <c r="L1295" s="13"/>
      <c r="M1295" s="14"/>
      <c r="N1295" s="15"/>
    </row>
    <row r="1296" spans="1:14" s="17" customFormat="1">
      <c r="A1296" s="12"/>
      <c r="B1296" s="13"/>
      <c r="C1296" s="14"/>
      <c r="D1296" s="15"/>
      <c r="E1296" s="16"/>
      <c r="F1296" s="16"/>
      <c r="I1296" s="18"/>
      <c r="J1296" s="12"/>
      <c r="K1296" s="12"/>
      <c r="L1296" s="13"/>
      <c r="M1296" s="14"/>
      <c r="N1296" s="15"/>
    </row>
    <row r="1297" spans="1:14" s="17" customFormat="1">
      <c r="A1297" s="12"/>
      <c r="B1297" s="13"/>
      <c r="C1297" s="14"/>
      <c r="D1297" s="15"/>
      <c r="E1297" s="16"/>
      <c r="F1297" s="16"/>
      <c r="I1297" s="18"/>
      <c r="J1297" s="12"/>
      <c r="K1297" s="12"/>
      <c r="L1297" s="13"/>
      <c r="M1297" s="14"/>
      <c r="N1297" s="15"/>
    </row>
    <row r="1298" spans="1:14" s="17" customFormat="1">
      <c r="A1298" s="12"/>
      <c r="B1298" s="13"/>
      <c r="C1298" s="14"/>
      <c r="D1298" s="15"/>
      <c r="E1298" s="16"/>
      <c r="F1298" s="16"/>
      <c r="I1298" s="18"/>
      <c r="J1298" s="12"/>
      <c r="K1298" s="12"/>
      <c r="L1298" s="13"/>
      <c r="M1298" s="14"/>
      <c r="N1298" s="15"/>
    </row>
    <row r="1299" spans="1:14" s="17" customFormat="1">
      <c r="A1299" s="12"/>
      <c r="B1299" s="13"/>
      <c r="C1299" s="14"/>
      <c r="D1299" s="15"/>
      <c r="E1299" s="16"/>
      <c r="F1299" s="16"/>
      <c r="I1299" s="18"/>
      <c r="J1299" s="12"/>
      <c r="K1299" s="12"/>
      <c r="L1299" s="13"/>
      <c r="M1299" s="14"/>
      <c r="N1299" s="15"/>
    </row>
    <row r="1300" spans="1:14" s="17" customFormat="1">
      <c r="A1300" s="12"/>
      <c r="B1300" s="13"/>
      <c r="C1300" s="14"/>
      <c r="D1300" s="15"/>
      <c r="E1300" s="16"/>
      <c r="F1300" s="16"/>
      <c r="I1300" s="18"/>
      <c r="J1300" s="12"/>
      <c r="K1300" s="12"/>
      <c r="L1300" s="13"/>
      <c r="M1300" s="14"/>
      <c r="N1300" s="15"/>
    </row>
    <row r="1301" spans="1:14" s="17" customFormat="1">
      <c r="A1301" s="12"/>
      <c r="B1301" s="13"/>
      <c r="C1301" s="14"/>
      <c r="D1301" s="15"/>
      <c r="E1301" s="16"/>
      <c r="F1301" s="16"/>
      <c r="I1301" s="18"/>
      <c r="J1301" s="12"/>
      <c r="K1301" s="12"/>
      <c r="L1301" s="13"/>
      <c r="M1301" s="14"/>
      <c r="N1301" s="15"/>
    </row>
    <row r="1302" spans="1:14" s="17" customFormat="1">
      <c r="A1302" s="12"/>
      <c r="B1302" s="13"/>
      <c r="C1302" s="14"/>
      <c r="D1302" s="15"/>
      <c r="E1302" s="16"/>
      <c r="F1302" s="16"/>
      <c r="I1302" s="18"/>
      <c r="J1302" s="12"/>
      <c r="K1302" s="12"/>
      <c r="L1302" s="13"/>
      <c r="M1302" s="14"/>
      <c r="N1302" s="15"/>
    </row>
    <row r="1303" spans="1:14" s="17" customFormat="1">
      <c r="A1303" s="12"/>
      <c r="B1303" s="13"/>
      <c r="C1303" s="14"/>
      <c r="D1303" s="15"/>
      <c r="E1303" s="16"/>
      <c r="F1303" s="16"/>
      <c r="I1303" s="18"/>
      <c r="J1303" s="12"/>
      <c r="K1303" s="12"/>
      <c r="L1303" s="13"/>
      <c r="M1303" s="14"/>
      <c r="N1303" s="15"/>
    </row>
    <row r="1304" spans="1:14" s="17" customFormat="1">
      <c r="A1304" s="12"/>
      <c r="B1304" s="13"/>
      <c r="C1304" s="14"/>
      <c r="D1304" s="15"/>
      <c r="E1304" s="16"/>
      <c r="F1304" s="16"/>
      <c r="I1304" s="18"/>
      <c r="J1304" s="12"/>
      <c r="K1304" s="12"/>
      <c r="L1304" s="13"/>
      <c r="M1304" s="14"/>
      <c r="N1304" s="15"/>
    </row>
    <row r="1305" spans="1:14" s="17" customFormat="1">
      <c r="A1305" s="12"/>
      <c r="B1305" s="13"/>
      <c r="C1305" s="14"/>
      <c r="D1305" s="15"/>
      <c r="E1305" s="16"/>
      <c r="F1305" s="16"/>
      <c r="I1305" s="18"/>
      <c r="J1305" s="12"/>
      <c r="K1305" s="12"/>
      <c r="L1305" s="13"/>
      <c r="M1305" s="14"/>
      <c r="N1305" s="15"/>
    </row>
    <row r="1306" spans="1:14" s="17" customFormat="1">
      <c r="A1306" s="12"/>
      <c r="B1306" s="13"/>
      <c r="C1306" s="14"/>
      <c r="D1306" s="15"/>
      <c r="E1306" s="16"/>
      <c r="F1306" s="16"/>
      <c r="I1306" s="18"/>
      <c r="J1306" s="12"/>
      <c r="K1306" s="12"/>
      <c r="L1306" s="13"/>
      <c r="M1306" s="14"/>
      <c r="N1306" s="15"/>
    </row>
    <row r="1307" spans="1:14" s="17" customFormat="1">
      <c r="A1307" s="12"/>
      <c r="B1307" s="13"/>
      <c r="C1307" s="14"/>
      <c r="D1307" s="15"/>
      <c r="E1307" s="16"/>
      <c r="F1307" s="16"/>
      <c r="I1307" s="18"/>
      <c r="J1307" s="12"/>
      <c r="K1307" s="12"/>
      <c r="L1307" s="13"/>
      <c r="M1307" s="14"/>
      <c r="N1307" s="15"/>
    </row>
    <row r="1308" spans="1:14" s="17" customFormat="1">
      <c r="A1308" s="12"/>
      <c r="B1308" s="13"/>
      <c r="C1308" s="14"/>
      <c r="D1308" s="15"/>
      <c r="E1308" s="16"/>
      <c r="F1308" s="16"/>
      <c r="I1308" s="18"/>
      <c r="J1308" s="12"/>
      <c r="K1308" s="12"/>
      <c r="L1308" s="13"/>
      <c r="M1308" s="14"/>
      <c r="N1308" s="15"/>
    </row>
    <row r="1309" spans="1:14" s="17" customFormat="1">
      <c r="A1309" s="12"/>
      <c r="B1309" s="13"/>
      <c r="C1309" s="14"/>
      <c r="D1309" s="15"/>
      <c r="E1309" s="16"/>
      <c r="F1309" s="16"/>
      <c r="I1309" s="18"/>
      <c r="J1309" s="12"/>
      <c r="K1309" s="12"/>
      <c r="L1309" s="13"/>
      <c r="M1309" s="14"/>
      <c r="N1309" s="15"/>
    </row>
    <row r="1310" spans="1:14" s="17" customFormat="1">
      <c r="A1310" s="12"/>
      <c r="B1310" s="13"/>
      <c r="C1310" s="14"/>
      <c r="D1310" s="15"/>
      <c r="E1310" s="16"/>
      <c r="F1310" s="16"/>
      <c r="I1310" s="18"/>
      <c r="J1310" s="12"/>
      <c r="K1310" s="12"/>
      <c r="L1310" s="13"/>
      <c r="M1310" s="14"/>
      <c r="N1310" s="15"/>
    </row>
    <row r="1311" spans="1:14" s="17" customFormat="1">
      <c r="A1311" s="12"/>
      <c r="B1311" s="13"/>
      <c r="C1311" s="14"/>
      <c r="D1311" s="15"/>
      <c r="E1311" s="16"/>
      <c r="F1311" s="16"/>
      <c r="I1311" s="18"/>
      <c r="J1311" s="12"/>
      <c r="K1311" s="12"/>
      <c r="L1311" s="13"/>
      <c r="M1311" s="14"/>
      <c r="N1311" s="15"/>
    </row>
    <row r="1312" spans="1:14" s="17" customFormat="1">
      <c r="A1312" s="12"/>
      <c r="B1312" s="13"/>
      <c r="C1312" s="14"/>
      <c r="D1312" s="15"/>
      <c r="E1312" s="16"/>
      <c r="F1312" s="16"/>
      <c r="I1312" s="18"/>
      <c r="J1312" s="12"/>
      <c r="K1312" s="12"/>
      <c r="L1312" s="13"/>
      <c r="M1312" s="14"/>
      <c r="N1312" s="15"/>
    </row>
    <row r="1313" spans="1:14" s="17" customFormat="1">
      <c r="A1313" s="12"/>
      <c r="B1313" s="13"/>
      <c r="C1313" s="14"/>
      <c r="D1313" s="15"/>
      <c r="E1313" s="16"/>
      <c r="F1313" s="16"/>
      <c r="I1313" s="18"/>
      <c r="J1313" s="12"/>
      <c r="K1313" s="12"/>
      <c r="L1313" s="13"/>
      <c r="M1313" s="14"/>
      <c r="N1313" s="15"/>
    </row>
    <row r="1314" spans="1:14" s="17" customFormat="1">
      <c r="A1314" s="12"/>
      <c r="B1314" s="13"/>
      <c r="C1314" s="14"/>
      <c r="D1314" s="15"/>
      <c r="E1314" s="16"/>
      <c r="F1314" s="16"/>
      <c r="I1314" s="18"/>
      <c r="J1314" s="12"/>
      <c r="K1314" s="12"/>
      <c r="L1314" s="13"/>
      <c r="M1314" s="14"/>
      <c r="N1314" s="15"/>
    </row>
    <row r="1315" spans="1:14" s="17" customFormat="1">
      <c r="A1315" s="12"/>
      <c r="B1315" s="13"/>
      <c r="C1315" s="14"/>
      <c r="D1315" s="15"/>
      <c r="E1315" s="16"/>
      <c r="F1315" s="16"/>
      <c r="I1315" s="18"/>
      <c r="J1315" s="12"/>
      <c r="K1315" s="12"/>
      <c r="L1315" s="13"/>
      <c r="M1315" s="14"/>
      <c r="N1315" s="15"/>
    </row>
    <row r="1316" spans="1:14" s="17" customFormat="1">
      <c r="A1316" s="12"/>
      <c r="B1316" s="13"/>
      <c r="C1316" s="14"/>
      <c r="D1316" s="15"/>
      <c r="E1316" s="16"/>
      <c r="F1316" s="16"/>
      <c r="I1316" s="18"/>
      <c r="J1316" s="12"/>
      <c r="K1316" s="12"/>
      <c r="L1316" s="13"/>
      <c r="M1316" s="14"/>
      <c r="N1316" s="15"/>
    </row>
    <row r="1317" spans="1:14" s="17" customFormat="1">
      <c r="A1317" s="12"/>
      <c r="B1317" s="13"/>
      <c r="C1317" s="14"/>
      <c r="D1317" s="15"/>
      <c r="E1317" s="16"/>
      <c r="F1317" s="16"/>
      <c r="I1317" s="18"/>
      <c r="J1317" s="12"/>
      <c r="K1317" s="12"/>
      <c r="L1317" s="13"/>
      <c r="M1317" s="14"/>
      <c r="N1317" s="15"/>
    </row>
    <row r="1318" spans="1:14" s="17" customFormat="1">
      <c r="A1318" s="12"/>
      <c r="B1318" s="13"/>
      <c r="C1318" s="14"/>
      <c r="D1318" s="15"/>
      <c r="E1318" s="16"/>
      <c r="F1318" s="16"/>
      <c r="I1318" s="18"/>
      <c r="J1318" s="12"/>
      <c r="K1318" s="12"/>
      <c r="L1318" s="13"/>
      <c r="M1318" s="14"/>
      <c r="N1318" s="15"/>
    </row>
    <row r="1319" spans="1:14" s="17" customFormat="1">
      <c r="A1319" s="12"/>
      <c r="B1319" s="13"/>
      <c r="C1319" s="14"/>
      <c r="D1319" s="15"/>
      <c r="E1319" s="16"/>
      <c r="F1319" s="16"/>
      <c r="I1319" s="18"/>
      <c r="J1319" s="12"/>
      <c r="K1319" s="12"/>
      <c r="L1319" s="13"/>
      <c r="M1319" s="14"/>
      <c r="N1319" s="15"/>
    </row>
    <row r="1320" spans="1:14" s="17" customFormat="1">
      <c r="A1320" s="12"/>
      <c r="B1320" s="13"/>
      <c r="C1320" s="14"/>
      <c r="D1320" s="15"/>
      <c r="E1320" s="16"/>
      <c r="F1320" s="16"/>
      <c r="I1320" s="18"/>
      <c r="J1320" s="12"/>
      <c r="K1320" s="12"/>
      <c r="L1320" s="13"/>
      <c r="M1320" s="14"/>
      <c r="N1320" s="15"/>
    </row>
    <row r="1321" spans="1:14" s="17" customFormat="1">
      <c r="A1321" s="12"/>
      <c r="B1321" s="13"/>
      <c r="C1321" s="14"/>
      <c r="D1321" s="15"/>
      <c r="E1321" s="16"/>
      <c r="F1321" s="16"/>
      <c r="I1321" s="18"/>
      <c r="J1321" s="12"/>
      <c r="K1321" s="12"/>
      <c r="L1321" s="13"/>
      <c r="M1321" s="14"/>
      <c r="N1321" s="15"/>
    </row>
    <row r="1322" spans="1:14" s="17" customFormat="1">
      <c r="A1322" s="12"/>
      <c r="B1322" s="13"/>
      <c r="C1322" s="14"/>
      <c r="D1322" s="15"/>
      <c r="E1322" s="16"/>
      <c r="F1322" s="16"/>
      <c r="I1322" s="18"/>
      <c r="J1322" s="12"/>
      <c r="K1322" s="12"/>
      <c r="L1322" s="13"/>
      <c r="M1322" s="14"/>
      <c r="N1322" s="15"/>
    </row>
    <row r="1323" spans="1:14" s="17" customFormat="1">
      <c r="A1323" s="12"/>
      <c r="B1323" s="13"/>
      <c r="C1323" s="14"/>
      <c r="D1323" s="15"/>
      <c r="E1323" s="16"/>
      <c r="F1323" s="16"/>
      <c r="I1323" s="18"/>
      <c r="J1323" s="12"/>
      <c r="K1323" s="12"/>
      <c r="L1323" s="13"/>
      <c r="M1323" s="14"/>
      <c r="N1323" s="15"/>
    </row>
    <row r="1324" spans="1:14" s="17" customFormat="1">
      <c r="A1324" s="12"/>
      <c r="B1324" s="13"/>
      <c r="C1324" s="14"/>
      <c r="D1324" s="15"/>
      <c r="E1324" s="16"/>
      <c r="F1324" s="16"/>
      <c r="I1324" s="18"/>
      <c r="J1324" s="12"/>
      <c r="K1324" s="12"/>
      <c r="L1324" s="13"/>
      <c r="M1324" s="14"/>
      <c r="N1324" s="15"/>
    </row>
    <row r="1325" spans="1:14" s="17" customFormat="1">
      <c r="A1325" s="12"/>
      <c r="B1325" s="13"/>
      <c r="C1325" s="14"/>
      <c r="D1325" s="15"/>
      <c r="E1325" s="16"/>
      <c r="F1325" s="16"/>
      <c r="I1325" s="18"/>
      <c r="J1325" s="12"/>
      <c r="K1325" s="12"/>
      <c r="L1325" s="13"/>
      <c r="M1325" s="14"/>
      <c r="N1325" s="15"/>
    </row>
    <row r="1326" spans="1:14" s="17" customFormat="1">
      <c r="A1326" s="12"/>
      <c r="B1326" s="13"/>
      <c r="C1326" s="14"/>
      <c r="D1326" s="15"/>
      <c r="E1326" s="16"/>
      <c r="F1326" s="16"/>
      <c r="I1326" s="18"/>
      <c r="J1326" s="12"/>
      <c r="K1326" s="12"/>
      <c r="L1326" s="13"/>
      <c r="M1326" s="14"/>
      <c r="N1326" s="15"/>
    </row>
    <row r="1327" spans="1:14" s="34" customFormat="1">
      <c r="A1327" s="12"/>
      <c r="B1327" s="13"/>
      <c r="C1327" s="14"/>
      <c r="D1327" s="15"/>
      <c r="E1327" s="16"/>
      <c r="F1327" s="16"/>
      <c r="G1327" s="17"/>
      <c r="H1327" s="17"/>
      <c r="I1327" s="18"/>
      <c r="J1327" s="12"/>
      <c r="K1327" s="12"/>
      <c r="L1327" s="13"/>
      <c r="M1327" s="14"/>
      <c r="N1327" s="15"/>
    </row>
    <row r="1328" spans="1:14" s="34" customFormat="1">
      <c r="A1328" s="12"/>
      <c r="B1328" s="13"/>
      <c r="C1328" s="14"/>
      <c r="D1328" s="15"/>
      <c r="E1328" s="16"/>
      <c r="F1328" s="16"/>
      <c r="G1328" s="17"/>
      <c r="H1328" s="17"/>
      <c r="I1328" s="18"/>
      <c r="J1328" s="12"/>
      <c r="K1328" s="12"/>
      <c r="L1328" s="13"/>
      <c r="M1328" s="14"/>
      <c r="N1328" s="15"/>
    </row>
    <row r="1329" spans="1:14">
      <c r="G1329" s="17"/>
      <c r="H1329" s="17"/>
      <c r="I1329" s="18"/>
    </row>
    <row r="1330" spans="1:14">
      <c r="G1330" s="17"/>
      <c r="H1330" s="17"/>
      <c r="I1330" s="18"/>
    </row>
    <row r="1331" spans="1:14" s="17" customFormat="1">
      <c r="A1331" s="12"/>
      <c r="B1331" s="13"/>
      <c r="C1331" s="14"/>
      <c r="D1331" s="15"/>
      <c r="E1331" s="16"/>
      <c r="F1331" s="16"/>
      <c r="I1331" s="18"/>
      <c r="J1331" s="12"/>
      <c r="K1331" s="12"/>
      <c r="L1331" s="13"/>
      <c r="M1331" s="14"/>
      <c r="N1331" s="15"/>
    </row>
    <row r="1332" spans="1:14" s="17" customFormat="1">
      <c r="A1332" s="12"/>
      <c r="B1332" s="13"/>
      <c r="C1332" s="14"/>
      <c r="D1332" s="15"/>
      <c r="E1332" s="16"/>
      <c r="F1332" s="16"/>
      <c r="I1332" s="18"/>
      <c r="J1332" s="12"/>
      <c r="K1332" s="12"/>
      <c r="L1332" s="13"/>
      <c r="M1332" s="14"/>
      <c r="N1332" s="15"/>
    </row>
    <row r="1333" spans="1:14" s="17" customFormat="1">
      <c r="A1333" s="12"/>
      <c r="B1333" s="13"/>
      <c r="C1333" s="14"/>
      <c r="D1333" s="15"/>
      <c r="E1333" s="16"/>
      <c r="F1333" s="16"/>
      <c r="I1333" s="18"/>
      <c r="J1333" s="12"/>
      <c r="K1333" s="12"/>
      <c r="L1333" s="13"/>
      <c r="M1333" s="14"/>
      <c r="N1333" s="15"/>
    </row>
    <row r="1334" spans="1:14" s="17" customFormat="1">
      <c r="A1334" s="12"/>
      <c r="B1334" s="13"/>
      <c r="C1334" s="14"/>
      <c r="D1334" s="15"/>
      <c r="E1334" s="16"/>
      <c r="F1334" s="16"/>
      <c r="I1334" s="18"/>
      <c r="J1334" s="12"/>
      <c r="K1334" s="12"/>
      <c r="L1334" s="13"/>
      <c r="M1334" s="14"/>
      <c r="N1334" s="15"/>
    </row>
    <row r="1335" spans="1:14" s="17" customFormat="1">
      <c r="A1335" s="12"/>
      <c r="B1335" s="13"/>
      <c r="C1335" s="14"/>
      <c r="D1335" s="15"/>
      <c r="E1335" s="16"/>
      <c r="F1335" s="16"/>
      <c r="I1335" s="18"/>
      <c r="J1335" s="12"/>
      <c r="K1335" s="12"/>
      <c r="L1335" s="13"/>
      <c r="M1335" s="14"/>
      <c r="N1335" s="15"/>
    </row>
    <row r="1336" spans="1:14" s="17" customFormat="1">
      <c r="A1336" s="12"/>
      <c r="B1336" s="13"/>
      <c r="C1336" s="14"/>
      <c r="D1336" s="15"/>
      <c r="E1336" s="16"/>
      <c r="F1336" s="16"/>
      <c r="I1336" s="18"/>
      <c r="J1336" s="12"/>
      <c r="K1336" s="12"/>
      <c r="L1336" s="13"/>
      <c r="M1336" s="14"/>
      <c r="N1336" s="15"/>
    </row>
    <row r="1337" spans="1:14" s="17" customFormat="1">
      <c r="A1337" s="12"/>
      <c r="B1337" s="13"/>
      <c r="C1337" s="14"/>
      <c r="D1337" s="15"/>
      <c r="E1337" s="16"/>
      <c r="F1337" s="16"/>
      <c r="I1337" s="18"/>
      <c r="J1337" s="12"/>
      <c r="K1337" s="12"/>
      <c r="L1337" s="13"/>
      <c r="M1337" s="14"/>
      <c r="N1337" s="15"/>
    </row>
    <row r="1338" spans="1:14" s="17" customFormat="1">
      <c r="A1338" s="12"/>
      <c r="B1338" s="13"/>
      <c r="C1338" s="14"/>
      <c r="D1338" s="15"/>
      <c r="E1338" s="16"/>
      <c r="F1338" s="16"/>
      <c r="I1338" s="18"/>
      <c r="J1338" s="12"/>
      <c r="K1338" s="12"/>
      <c r="L1338" s="13"/>
      <c r="M1338" s="14"/>
      <c r="N1338" s="15"/>
    </row>
    <row r="1339" spans="1:14" s="17" customFormat="1">
      <c r="A1339" s="12"/>
      <c r="B1339" s="13"/>
      <c r="C1339" s="14"/>
      <c r="D1339" s="15"/>
      <c r="E1339" s="16"/>
      <c r="F1339" s="16"/>
      <c r="I1339" s="18"/>
      <c r="J1339" s="12"/>
      <c r="K1339" s="12"/>
      <c r="L1339" s="13"/>
      <c r="M1339" s="14"/>
      <c r="N1339" s="15"/>
    </row>
    <row r="1340" spans="1:14" s="17" customFormat="1">
      <c r="A1340" s="12"/>
      <c r="B1340" s="13"/>
      <c r="C1340" s="14"/>
      <c r="D1340" s="15"/>
      <c r="E1340" s="16"/>
      <c r="F1340" s="16"/>
      <c r="I1340" s="18"/>
      <c r="J1340" s="12"/>
      <c r="K1340" s="12"/>
      <c r="L1340" s="13"/>
      <c r="M1340" s="14"/>
      <c r="N1340" s="15"/>
    </row>
    <row r="1341" spans="1:14" s="17" customFormat="1">
      <c r="A1341" s="12"/>
      <c r="B1341" s="13"/>
      <c r="C1341" s="14"/>
      <c r="D1341" s="15"/>
      <c r="E1341" s="16"/>
      <c r="F1341" s="16"/>
      <c r="I1341" s="18"/>
      <c r="J1341" s="12"/>
      <c r="K1341" s="12"/>
      <c r="L1341" s="13"/>
      <c r="M1341" s="14"/>
      <c r="N1341" s="15"/>
    </row>
    <row r="1342" spans="1:14" s="17" customFormat="1">
      <c r="A1342" s="12"/>
      <c r="B1342" s="13"/>
      <c r="C1342" s="14"/>
      <c r="D1342" s="15"/>
      <c r="E1342" s="16"/>
      <c r="F1342" s="16"/>
      <c r="I1342" s="18"/>
      <c r="J1342" s="12"/>
      <c r="K1342" s="12"/>
      <c r="L1342" s="13"/>
      <c r="M1342" s="14"/>
      <c r="N1342" s="15"/>
    </row>
    <row r="1343" spans="1:14" s="17" customFormat="1">
      <c r="A1343" s="12"/>
      <c r="B1343" s="13"/>
      <c r="C1343" s="14"/>
      <c r="D1343" s="15"/>
      <c r="E1343" s="16"/>
      <c r="F1343" s="16"/>
      <c r="I1343" s="18"/>
      <c r="J1343" s="12"/>
      <c r="K1343" s="12"/>
      <c r="L1343" s="13"/>
      <c r="M1343" s="14"/>
      <c r="N1343" s="15"/>
    </row>
    <row r="1344" spans="1:14" s="17" customFormat="1">
      <c r="A1344" s="12"/>
      <c r="B1344" s="13"/>
      <c r="C1344" s="14"/>
      <c r="D1344" s="15"/>
      <c r="E1344" s="16"/>
      <c r="F1344" s="16"/>
      <c r="I1344" s="18"/>
      <c r="J1344" s="12"/>
      <c r="K1344" s="12"/>
      <c r="L1344" s="13"/>
      <c r="M1344" s="14"/>
      <c r="N1344" s="15"/>
    </row>
    <row r="1345" spans="1:14" s="17" customFormat="1">
      <c r="A1345" s="12"/>
      <c r="B1345" s="13"/>
      <c r="C1345" s="14"/>
      <c r="D1345" s="15"/>
      <c r="E1345" s="16"/>
      <c r="F1345" s="16"/>
      <c r="I1345" s="18"/>
      <c r="J1345" s="12"/>
      <c r="K1345" s="12"/>
      <c r="L1345" s="13"/>
      <c r="M1345" s="14"/>
      <c r="N1345" s="15"/>
    </row>
    <row r="1346" spans="1:14" s="17" customFormat="1">
      <c r="A1346" s="12"/>
      <c r="B1346" s="13"/>
      <c r="C1346" s="14"/>
      <c r="D1346" s="15"/>
      <c r="E1346" s="16"/>
      <c r="F1346" s="16"/>
      <c r="I1346" s="18"/>
      <c r="J1346" s="12"/>
      <c r="K1346" s="12"/>
      <c r="L1346" s="13"/>
      <c r="M1346" s="14"/>
      <c r="N1346" s="15"/>
    </row>
    <row r="1347" spans="1:14" s="17" customFormat="1">
      <c r="A1347" s="12"/>
      <c r="B1347" s="13"/>
      <c r="C1347" s="14"/>
      <c r="D1347" s="15"/>
      <c r="E1347" s="16"/>
      <c r="F1347" s="16"/>
      <c r="I1347" s="18"/>
      <c r="J1347" s="12"/>
      <c r="K1347" s="12"/>
      <c r="L1347" s="13"/>
      <c r="M1347" s="14"/>
      <c r="N1347" s="15"/>
    </row>
    <row r="1348" spans="1:14" s="17" customFormat="1">
      <c r="A1348" s="12"/>
      <c r="B1348" s="13"/>
      <c r="C1348" s="14"/>
      <c r="D1348" s="15"/>
      <c r="E1348" s="16"/>
      <c r="F1348" s="16"/>
      <c r="I1348" s="18"/>
      <c r="J1348" s="12"/>
      <c r="K1348" s="12"/>
      <c r="L1348" s="13"/>
      <c r="M1348" s="14"/>
      <c r="N1348" s="15"/>
    </row>
    <row r="1349" spans="1:14" s="17" customFormat="1">
      <c r="A1349" s="12"/>
      <c r="B1349" s="13"/>
      <c r="C1349" s="14"/>
      <c r="D1349" s="15"/>
      <c r="E1349" s="16"/>
      <c r="F1349" s="16"/>
      <c r="I1349" s="18"/>
      <c r="J1349" s="12"/>
      <c r="K1349" s="12"/>
      <c r="L1349" s="13"/>
      <c r="M1349" s="14"/>
      <c r="N1349" s="15"/>
    </row>
    <row r="1350" spans="1:14" s="17" customFormat="1">
      <c r="A1350" s="12"/>
      <c r="B1350" s="13"/>
      <c r="C1350" s="14"/>
      <c r="D1350" s="15"/>
      <c r="E1350" s="16"/>
      <c r="F1350" s="16"/>
      <c r="I1350" s="18"/>
      <c r="J1350" s="12"/>
      <c r="K1350" s="12"/>
      <c r="L1350" s="13"/>
      <c r="M1350" s="14"/>
      <c r="N1350" s="15"/>
    </row>
    <row r="1351" spans="1:14" s="17" customFormat="1">
      <c r="A1351" s="12"/>
      <c r="B1351" s="13"/>
      <c r="C1351" s="14"/>
      <c r="D1351" s="15"/>
      <c r="E1351" s="16"/>
      <c r="F1351" s="16"/>
      <c r="I1351" s="18"/>
      <c r="J1351" s="12"/>
      <c r="K1351" s="12"/>
      <c r="L1351" s="13"/>
      <c r="M1351" s="14"/>
      <c r="N1351" s="15"/>
    </row>
    <row r="1352" spans="1:14" s="17" customFormat="1">
      <c r="A1352" s="12"/>
      <c r="B1352" s="13"/>
      <c r="C1352" s="14"/>
      <c r="D1352" s="15"/>
      <c r="E1352" s="16"/>
      <c r="F1352" s="16"/>
      <c r="I1352" s="18"/>
      <c r="J1352" s="12"/>
      <c r="K1352" s="12"/>
      <c r="L1352" s="13"/>
      <c r="M1352" s="14"/>
      <c r="N1352" s="15"/>
    </row>
    <row r="1353" spans="1:14" s="17" customFormat="1">
      <c r="A1353" s="12"/>
      <c r="B1353" s="13"/>
      <c r="C1353" s="14"/>
      <c r="D1353" s="15"/>
      <c r="E1353" s="16"/>
      <c r="F1353" s="16"/>
      <c r="I1353" s="18"/>
      <c r="J1353" s="12"/>
      <c r="K1353" s="12"/>
      <c r="L1353" s="13"/>
      <c r="M1353" s="14"/>
      <c r="N1353" s="15"/>
    </row>
    <row r="1354" spans="1:14" s="17" customFormat="1">
      <c r="A1354" s="12"/>
      <c r="B1354" s="13"/>
      <c r="C1354" s="14"/>
      <c r="D1354" s="15"/>
      <c r="E1354" s="16"/>
      <c r="F1354" s="16"/>
      <c r="I1354" s="18"/>
      <c r="J1354" s="12"/>
      <c r="K1354" s="12"/>
      <c r="L1354" s="13"/>
      <c r="M1354" s="14"/>
      <c r="N1354" s="15"/>
    </row>
    <row r="1355" spans="1:14" s="17" customFormat="1">
      <c r="A1355" s="12"/>
      <c r="B1355" s="13"/>
      <c r="C1355" s="14"/>
      <c r="D1355" s="15"/>
      <c r="E1355" s="16"/>
      <c r="F1355" s="16"/>
      <c r="I1355" s="18"/>
      <c r="J1355" s="12"/>
      <c r="K1355" s="12"/>
      <c r="L1355" s="13"/>
      <c r="M1355" s="14"/>
      <c r="N1355" s="15"/>
    </row>
    <row r="1356" spans="1:14" s="17" customFormat="1">
      <c r="A1356" s="12"/>
      <c r="B1356" s="13"/>
      <c r="C1356" s="14"/>
      <c r="D1356" s="15"/>
      <c r="E1356" s="16"/>
      <c r="F1356" s="16"/>
      <c r="I1356" s="18"/>
      <c r="J1356" s="12"/>
      <c r="K1356" s="12"/>
      <c r="L1356" s="13"/>
      <c r="M1356" s="14"/>
      <c r="N1356" s="15"/>
    </row>
    <row r="1357" spans="1:14" s="17" customFormat="1">
      <c r="A1357" s="12"/>
      <c r="B1357" s="13"/>
      <c r="C1357" s="14"/>
      <c r="D1357" s="15"/>
      <c r="E1357" s="16"/>
      <c r="F1357" s="16"/>
      <c r="I1357" s="18"/>
      <c r="J1357" s="12"/>
      <c r="K1357" s="12"/>
      <c r="L1357" s="13"/>
      <c r="M1357" s="14"/>
      <c r="N1357" s="15"/>
    </row>
    <row r="1358" spans="1:14" s="17" customFormat="1">
      <c r="A1358" s="12"/>
      <c r="B1358" s="13"/>
      <c r="C1358" s="14"/>
      <c r="D1358" s="15"/>
      <c r="E1358" s="16"/>
      <c r="F1358" s="16"/>
      <c r="I1358" s="18"/>
      <c r="J1358" s="12"/>
      <c r="K1358" s="12"/>
      <c r="L1358" s="13"/>
      <c r="M1358" s="14"/>
      <c r="N1358" s="15"/>
    </row>
    <row r="1359" spans="1:14" s="17" customFormat="1">
      <c r="A1359" s="12"/>
      <c r="B1359" s="13"/>
      <c r="C1359" s="14"/>
      <c r="D1359" s="15"/>
      <c r="E1359" s="16"/>
      <c r="F1359" s="16"/>
      <c r="I1359" s="18"/>
      <c r="J1359" s="12"/>
      <c r="K1359" s="12"/>
      <c r="L1359" s="13"/>
      <c r="M1359" s="14"/>
      <c r="N1359" s="15"/>
    </row>
    <row r="1360" spans="1:14" s="17" customFormat="1">
      <c r="A1360" s="12"/>
      <c r="B1360" s="13"/>
      <c r="C1360" s="14"/>
      <c r="D1360" s="15"/>
      <c r="E1360" s="16"/>
      <c r="F1360" s="16"/>
      <c r="I1360" s="18"/>
      <c r="J1360" s="12"/>
      <c r="K1360" s="12"/>
      <c r="L1360" s="13"/>
      <c r="M1360" s="14"/>
      <c r="N1360" s="15"/>
    </row>
    <row r="1361" spans="1:14" s="17" customFormat="1">
      <c r="A1361" s="12"/>
      <c r="B1361" s="13"/>
      <c r="C1361" s="14"/>
      <c r="D1361" s="15"/>
      <c r="E1361" s="16"/>
      <c r="F1361" s="16"/>
      <c r="I1361" s="18"/>
      <c r="J1361" s="12"/>
      <c r="K1361" s="12"/>
      <c r="L1361" s="13"/>
      <c r="M1361" s="14"/>
      <c r="N1361" s="15"/>
    </row>
    <row r="1362" spans="1:14" s="17" customFormat="1">
      <c r="A1362" s="12"/>
      <c r="B1362" s="13"/>
      <c r="C1362" s="14"/>
      <c r="D1362" s="15"/>
      <c r="E1362" s="16"/>
      <c r="F1362" s="16"/>
      <c r="I1362" s="18"/>
      <c r="J1362" s="12"/>
      <c r="K1362" s="12"/>
      <c r="L1362" s="13"/>
      <c r="M1362" s="14"/>
      <c r="N1362" s="15"/>
    </row>
    <row r="1363" spans="1:14" s="17" customFormat="1">
      <c r="A1363" s="12"/>
      <c r="B1363" s="13"/>
      <c r="C1363" s="14"/>
      <c r="D1363" s="15"/>
      <c r="E1363" s="16"/>
      <c r="F1363" s="16"/>
      <c r="I1363" s="18"/>
      <c r="J1363" s="12"/>
      <c r="K1363" s="12"/>
      <c r="L1363" s="13"/>
      <c r="M1363" s="14"/>
      <c r="N1363" s="15"/>
    </row>
    <row r="1364" spans="1:14" s="17" customFormat="1">
      <c r="A1364" s="12"/>
      <c r="B1364" s="13"/>
      <c r="C1364" s="14"/>
      <c r="D1364" s="15"/>
      <c r="E1364" s="16"/>
      <c r="F1364" s="16"/>
      <c r="I1364" s="18"/>
      <c r="J1364" s="12"/>
      <c r="K1364" s="12"/>
      <c r="L1364" s="13"/>
      <c r="M1364" s="14"/>
      <c r="N1364" s="15"/>
    </row>
    <row r="1365" spans="1:14" s="17" customFormat="1">
      <c r="A1365" s="12"/>
      <c r="B1365" s="13"/>
      <c r="C1365" s="14"/>
      <c r="D1365" s="15"/>
      <c r="E1365" s="16"/>
      <c r="F1365" s="16"/>
      <c r="I1365" s="18"/>
      <c r="J1365" s="12"/>
      <c r="K1365" s="12"/>
      <c r="L1365" s="13"/>
      <c r="M1365" s="14"/>
      <c r="N1365" s="15"/>
    </row>
    <row r="1366" spans="1:14" s="17" customFormat="1">
      <c r="A1366" s="12"/>
      <c r="B1366" s="13"/>
      <c r="C1366" s="14"/>
      <c r="D1366" s="15"/>
      <c r="E1366" s="16"/>
      <c r="F1366" s="16"/>
      <c r="I1366" s="18"/>
      <c r="J1366" s="12"/>
      <c r="K1366" s="12"/>
      <c r="L1366" s="13"/>
      <c r="M1366" s="14"/>
      <c r="N1366" s="15"/>
    </row>
    <row r="1367" spans="1:14" s="17" customFormat="1">
      <c r="A1367" s="12"/>
      <c r="B1367" s="13"/>
      <c r="C1367" s="14"/>
      <c r="D1367" s="15"/>
      <c r="E1367" s="16"/>
      <c r="F1367" s="16"/>
      <c r="I1367" s="18"/>
      <c r="J1367" s="12"/>
      <c r="K1367" s="12"/>
      <c r="L1367" s="13"/>
      <c r="M1367" s="14"/>
      <c r="N1367" s="15"/>
    </row>
    <row r="1368" spans="1:14" s="17" customFormat="1">
      <c r="A1368" s="12"/>
      <c r="B1368" s="13"/>
      <c r="C1368" s="14"/>
      <c r="D1368" s="15"/>
      <c r="E1368" s="16"/>
      <c r="F1368" s="16"/>
      <c r="I1368" s="18"/>
      <c r="J1368" s="12"/>
      <c r="K1368" s="12"/>
      <c r="L1368" s="13"/>
      <c r="M1368" s="14"/>
      <c r="N1368" s="15"/>
    </row>
    <row r="1369" spans="1:14" s="17" customFormat="1">
      <c r="A1369" s="12"/>
      <c r="B1369" s="13"/>
      <c r="C1369" s="14"/>
      <c r="D1369" s="15"/>
      <c r="E1369" s="16"/>
      <c r="F1369" s="16"/>
      <c r="I1369" s="18"/>
      <c r="J1369" s="12"/>
      <c r="K1369" s="12"/>
      <c r="L1369" s="13"/>
      <c r="M1369" s="14"/>
      <c r="N1369" s="15"/>
    </row>
    <row r="1370" spans="1:14" s="17" customFormat="1">
      <c r="A1370" s="12"/>
      <c r="B1370" s="13"/>
      <c r="C1370" s="14"/>
      <c r="D1370" s="15"/>
      <c r="E1370" s="16"/>
      <c r="F1370" s="16"/>
      <c r="I1370" s="18"/>
      <c r="J1370" s="12"/>
      <c r="K1370" s="12"/>
      <c r="L1370" s="13"/>
      <c r="M1370" s="14"/>
      <c r="N1370" s="15"/>
    </row>
    <row r="1371" spans="1:14" s="17" customFormat="1">
      <c r="A1371" s="12"/>
      <c r="B1371" s="13"/>
      <c r="C1371" s="14"/>
      <c r="D1371" s="15"/>
      <c r="E1371" s="16"/>
      <c r="F1371" s="16"/>
      <c r="I1371" s="18"/>
      <c r="J1371" s="12"/>
      <c r="K1371" s="12"/>
      <c r="L1371" s="13"/>
      <c r="M1371" s="14"/>
      <c r="N1371" s="15"/>
    </row>
    <row r="1372" spans="1:14" s="17" customFormat="1">
      <c r="A1372" s="12"/>
      <c r="B1372" s="13"/>
      <c r="C1372" s="14"/>
      <c r="D1372" s="15"/>
      <c r="E1372" s="16"/>
      <c r="F1372" s="16"/>
      <c r="I1372" s="18"/>
      <c r="J1372" s="12"/>
      <c r="K1372" s="12"/>
      <c r="L1372" s="13"/>
      <c r="M1372" s="14"/>
      <c r="N1372" s="15"/>
    </row>
    <row r="1373" spans="1:14" s="17" customFormat="1">
      <c r="A1373" s="12"/>
      <c r="B1373" s="13"/>
      <c r="C1373" s="14"/>
      <c r="D1373" s="15"/>
      <c r="E1373" s="16"/>
      <c r="F1373" s="16"/>
      <c r="I1373" s="18"/>
      <c r="J1373" s="12"/>
      <c r="K1373" s="12"/>
      <c r="L1373" s="13"/>
      <c r="M1373" s="14"/>
      <c r="N1373" s="15"/>
    </row>
    <row r="1374" spans="1:14" s="17" customFormat="1">
      <c r="A1374" s="12"/>
      <c r="B1374" s="13"/>
      <c r="C1374" s="14"/>
      <c r="D1374" s="15"/>
      <c r="E1374" s="16"/>
      <c r="F1374" s="16"/>
      <c r="I1374" s="18"/>
      <c r="J1374" s="12"/>
      <c r="K1374" s="12"/>
      <c r="L1374" s="13"/>
      <c r="M1374" s="14"/>
      <c r="N1374" s="15"/>
    </row>
    <row r="1375" spans="1:14" s="17" customFormat="1">
      <c r="A1375" s="12"/>
      <c r="B1375" s="13"/>
      <c r="C1375" s="14"/>
      <c r="D1375" s="15"/>
      <c r="E1375" s="16"/>
      <c r="F1375" s="16"/>
      <c r="I1375" s="18"/>
      <c r="J1375" s="12"/>
      <c r="K1375" s="12"/>
      <c r="L1375" s="13"/>
      <c r="M1375" s="14"/>
      <c r="N1375" s="15"/>
    </row>
    <row r="1376" spans="1:14" s="17" customFormat="1">
      <c r="A1376" s="12"/>
      <c r="B1376" s="13"/>
      <c r="C1376" s="14"/>
      <c r="D1376" s="15"/>
      <c r="E1376" s="16"/>
      <c r="F1376" s="16"/>
      <c r="I1376" s="18"/>
      <c r="J1376" s="12"/>
      <c r="K1376" s="12"/>
      <c r="L1376" s="13"/>
      <c r="M1376" s="14"/>
      <c r="N1376" s="15"/>
    </row>
    <row r="1377" spans="1:14" s="17" customFormat="1">
      <c r="A1377" s="12"/>
      <c r="B1377" s="13"/>
      <c r="C1377" s="14"/>
      <c r="D1377" s="15"/>
      <c r="E1377" s="16"/>
      <c r="F1377" s="16"/>
      <c r="I1377" s="18"/>
      <c r="J1377" s="12"/>
      <c r="K1377" s="12"/>
      <c r="L1377" s="13"/>
      <c r="M1377" s="14"/>
      <c r="N1377" s="15"/>
    </row>
    <row r="1378" spans="1:14" s="17" customFormat="1">
      <c r="A1378" s="12"/>
      <c r="B1378" s="13"/>
      <c r="C1378" s="14"/>
      <c r="D1378" s="15"/>
      <c r="E1378" s="16"/>
      <c r="F1378" s="16"/>
      <c r="I1378" s="18"/>
      <c r="J1378" s="12"/>
      <c r="K1378" s="12"/>
      <c r="L1378" s="13"/>
      <c r="M1378" s="14"/>
      <c r="N1378" s="15"/>
    </row>
    <row r="1379" spans="1:14" s="17" customFormat="1">
      <c r="A1379" s="12"/>
      <c r="B1379" s="13"/>
      <c r="C1379" s="14"/>
      <c r="D1379" s="15"/>
      <c r="E1379" s="16"/>
      <c r="F1379" s="16"/>
      <c r="I1379" s="18"/>
      <c r="J1379" s="12"/>
      <c r="K1379" s="12"/>
      <c r="L1379" s="13"/>
      <c r="M1379" s="14"/>
      <c r="N1379" s="15"/>
    </row>
    <row r="1380" spans="1:14" s="17" customFormat="1">
      <c r="A1380" s="12"/>
      <c r="B1380" s="13"/>
      <c r="C1380" s="14"/>
      <c r="D1380" s="15"/>
      <c r="E1380" s="16"/>
      <c r="F1380" s="16"/>
      <c r="I1380" s="18"/>
      <c r="J1380" s="12"/>
      <c r="K1380" s="12"/>
      <c r="L1380" s="13"/>
      <c r="M1380" s="14"/>
      <c r="N1380" s="15"/>
    </row>
    <row r="1381" spans="1:14" s="17" customFormat="1">
      <c r="A1381" s="12"/>
      <c r="B1381" s="13"/>
      <c r="C1381" s="14"/>
      <c r="D1381" s="15"/>
      <c r="E1381" s="16"/>
      <c r="F1381" s="16"/>
      <c r="I1381" s="18"/>
      <c r="J1381" s="12"/>
      <c r="K1381" s="12"/>
      <c r="L1381" s="13"/>
      <c r="M1381" s="14"/>
      <c r="N1381" s="15"/>
    </row>
    <row r="1382" spans="1:14" s="17" customFormat="1">
      <c r="A1382" s="12"/>
      <c r="B1382" s="13"/>
      <c r="C1382" s="14"/>
      <c r="D1382" s="15"/>
      <c r="E1382" s="16"/>
      <c r="F1382" s="16"/>
      <c r="I1382" s="18"/>
      <c r="J1382" s="12"/>
      <c r="K1382" s="12"/>
      <c r="L1382" s="13"/>
      <c r="M1382" s="14"/>
      <c r="N1382" s="15"/>
    </row>
    <row r="1383" spans="1:14" s="17" customFormat="1">
      <c r="A1383" s="12"/>
      <c r="B1383" s="13"/>
      <c r="C1383" s="14"/>
      <c r="D1383" s="15"/>
      <c r="E1383" s="16"/>
      <c r="F1383" s="16"/>
      <c r="I1383" s="18"/>
      <c r="J1383" s="12"/>
      <c r="K1383" s="12"/>
      <c r="L1383" s="13"/>
      <c r="M1383" s="14"/>
      <c r="N1383" s="15"/>
    </row>
    <row r="1384" spans="1:14" s="17" customFormat="1">
      <c r="A1384" s="12"/>
      <c r="B1384" s="13"/>
      <c r="C1384" s="14"/>
      <c r="D1384" s="15"/>
      <c r="E1384" s="16"/>
      <c r="F1384" s="16"/>
      <c r="I1384" s="18"/>
      <c r="J1384" s="12"/>
      <c r="K1384" s="12"/>
      <c r="L1384" s="13"/>
      <c r="M1384" s="14"/>
      <c r="N1384" s="15"/>
    </row>
    <row r="1385" spans="1:14" s="17" customFormat="1">
      <c r="A1385" s="12"/>
      <c r="B1385" s="13"/>
      <c r="C1385" s="14"/>
      <c r="D1385" s="15"/>
      <c r="E1385" s="16"/>
      <c r="F1385" s="16"/>
      <c r="I1385" s="18"/>
      <c r="J1385" s="12"/>
      <c r="K1385" s="12"/>
      <c r="L1385" s="13"/>
      <c r="M1385" s="14"/>
      <c r="N1385" s="15"/>
    </row>
    <row r="1386" spans="1:14" s="17" customFormat="1">
      <c r="A1386" s="12"/>
      <c r="B1386" s="13"/>
      <c r="C1386" s="14"/>
      <c r="D1386" s="15"/>
      <c r="E1386" s="16"/>
      <c r="F1386" s="16"/>
      <c r="I1386" s="18"/>
      <c r="J1386" s="12"/>
      <c r="K1386" s="12"/>
      <c r="L1386" s="13"/>
      <c r="M1386" s="14"/>
      <c r="N1386" s="15"/>
    </row>
    <row r="1387" spans="1:14" s="17" customFormat="1">
      <c r="A1387" s="12"/>
      <c r="B1387" s="13"/>
      <c r="C1387" s="14"/>
      <c r="D1387" s="15"/>
      <c r="E1387" s="16"/>
      <c r="F1387" s="16"/>
      <c r="I1387" s="18"/>
      <c r="J1387" s="12"/>
      <c r="K1387" s="12"/>
      <c r="L1387" s="13"/>
      <c r="M1387" s="14"/>
      <c r="N1387" s="15"/>
    </row>
    <row r="1388" spans="1:14" s="17" customFormat="1">
      <c r="A1388" s="12"/>
      <c r="B1388" s="13"/>
      <c r="C1388" s="14"/>
      <c r="D1388" s="15"/>
      <c r="E1388" s="16"/>
      <c r="F1388" s="16"/>
      <c r="I1388" s="18"/>
      <c r="J1388" s="12"/>
      <c r="K1388" s="12"/>
      <c r="L1388" s="13"/>
      <c r="M1388" s="14"/>
      <c r="N1388" s="15"/>
    </row>
    <row r="1389" spans="1:14" s="17" customFormat="1">
      <c r="A1389" s="12"/>
      <c r="B1389" s="13"/>
      <c r="C1389" s="14"/>
      <c r="D1389" s="15"/>
      <c r="E1389" s="16"/>
      <c r="F1389" s="16"/>
      <c r="I1389" s="18"/>
      <c r="J1389" s="12"/>
      <c r="K1389" s="12"/>
      <c r="L1389" s="13"/>
      <c r="M1389" s="14"/>
      <c r="N1389" s="15"/>
    </row>
    <row r="1390" spans="1:14" s="17" customFormat="1">
      <c r="A1390" s="12"/>
      <c r="B1390" s="13"/>
      <c r="C1390" s="14"/>
      <c r="D1390" s="15"/>
      <c r="E1390" s="16"/>
      <c r="F1390" s="16"/>
      <c r="I1390" s="18"/>
      <c r="J1390" s="12"/>
      <c r="K1390" s="12"/>
      <c r="L1390" s="13"/>
      <c r="M1390" s="14"/>
      <c r="N1390" s="15"/>
    </row>
    <row r="1391" spans="1:14" s="17" customFormat="1">
      <c r="A1391" s="12"/>
      <c r="B1391" s="13"/>
      <c r="C1391" s="14"/>
      <c r="D1391" s="15"/>
      <c r="E1391" s="16"/>
      <c r="F1391" s="16"/>
      <c r="I1391" s="18"/>
      <c r="J1391" s="12"/>
      <c r="K1391" s="12"/>
      <c r="L1391" s="13"/>
      <c r="M1391" s="14"/>
      <c r="N1391" s="15"/>
    </row>
    <row r="1392" spans="1:14" s="17" customFormat="1">
      <c r="A1392" s="12"/>
      <c r="B1392" s="13"/>
      <c r="C1392" s="14"/>
      <c r="D1392" s="15"/>
      <c r="E1392" s="16"/>
      <c r="F1392" s="16"/>
      <c r="I1392" s="18"/>
      <c r="J1392" s="12"/>
      <c r="K1392" s="12"/>
      <c r="L1392" s="13"/>
      <c r="M1392" s="14"/>
      <c r="N1392" s="15"/>
    </row>
    <row r="1393" spans="1:14" s="17" customFormat="1">
      <c r="A1393" s="12"/>
      <c r="B1393" s="13"/>
      <c r="C1393" s="14"/>
      <c r="D1393" s="15"/>
      <c r="E1393" s="16"/>
      <c r="F1393" s="16"/>
      <c r="I1393" s="18"/>
      <c r="J1393" s="12"/>
      <c r="K1393" s="12"/>
      <c r="L1393" s="13"/>
      <c r="M1393" s="14"/>
      <c r="N1393" s="15"/>
    </row>
    <row r="1394" spans="1:14" s="17" customFormat="1">
      <c r="A1394" s="12"/>
      <c r="B1394" s="13"/>
      <c r="C1394" s="14"/>
      <c r="D1394" s="15"/>
      <c r="E1394" s="16"/>
      <c r="F1394" s="16"/>
      <c r="I1394" s="18"/>
      <c r="J1394" s="12"/>
      <c r="K1394" s="12"/>
      <c r="L1394" s="13"/>
      <c r="M1394" s="14"/>
      <c r="N1394" s="15"/>
    </row>
    <row r="1395" spans="1:14" s="17" customFormat="1">
      <c r="A1395" s="12"/>
      <c r="B1395" s="13"/>
      <c r="C1395" s="14"/>
      <c r="D1395" s="15"/>
      <c r="E1395" s="16"/>
      <c r="F1395" s="16"/>
      <c r="I1395" s="18"/>
      <c r="J1395" s="12"/>
      <c r="K1395" s="12"/>
      <c r="L1395" s="13"/>
      <c r="M1395" s="14"/>
      <c r="N1395" s="15"/>
    </row>
    <row r="1396" spans="1:14" s="17" customFormat="1">
      <c r="A1396" s="12"/>
      <c r="B1396" s="13"/>
      <c r="C1396" s="14"/>
      <c r="D1396" s="15"/>
      <c r="E1396" s="16"/>
      <c r="F1396" s="16"/>
      <c r="I1396" s="18"/>
      <c r="J1396" s="12"/>
      <c r="K1396" s="12"/>
      <c r="L1396" s="13"/>
      <c r="M1396" s="14"/>
      <c r="N1396" s="15"/>
    </row>
    <row r="1397" spans="1:14" s="17" customFormat="1">
      <c r="A1397" s="12"/>
      <c r="B1397" s="13"/>
      <c r="C1397" s="14"/>
      <c r="D1397" s="15"/>
      <c r="E1397" s="16"/>
      <c r="F1397" s="16"/>
      <c r="I1397" s="18"/>
      <c r="J1397" s="12"/>
      <c r="K1397" s="12"/>
      <c r="L1397" s="13"/>
      <c r="M1397" s="14"/>
      <c r="N1397" s="15"/>
    </row>
    <row r="1398" spans="1:14" s="17" customFormat="1">
      <c r="A1398" s="12"/>
      <c r="B1398" s="13"/>
      <c r="C1398" s="14"/>
      <c r="D1398" s="15"/>
      <c r="E1398" s="16"/>
      <c r="F1398" s="16"/>
      <c r="I1398" s="18"/>
      <c r="J1398" s="12"/>
      <c r="K1398" s="12"/>
      <c r="L1398" s="13"/>
      <c r="M1398" s="14"/>
      <c r="N1398" s="15"/>
    </row>
    <row r="1399" spans="1:14" s="17" customFormat="1">
      <c r="A1399" s="12"/>
      <c r="B1399" s="13"/>
      <c r="C1399" s="14"/>
      <c r="D1399" s="15"/>
      <c r="E1399" s="16"/>
      <c r="F1399" s="16"/>
      <c r="I1399" s="18"/>
      <c r="J1399" s="12"/>
      <c r="K1399" s="12"/>
      <c r="L1399" s="13"/>
      <c r="M1399" s="14"/>
      <c r="N1399" s="15"/>
    </row>
    <row r="1400" spans="1:14" s="17" customFormat="1">
      <c r="A1400" s="12"/>
      <c r="B1400" s="13"/>
      <c r="C1400" s="14"/>
      <c r="D1400" s="15"/>
      <c r="E1400" s="16"/>
      <c r="F1400" s="16"/>
      <c r="I1400" s="18"/>
      <c r="J1400" s="12"/>
      <c r="K1400" s="12"/>
      <c r="L1400" s="13"/>
      <c r="M1400" s="14"/>
      <c r="N1400" s="15"/>
    </row>
    <row r="1401" spans="1:14" s="17" customFormat="1">
      <c r="A1401" s="12"/>
      <c r="B1401" s="13"/>
      <c r="C1401" s="14"/>
      <c r="D1401" s="15"/>
      <c r="E1401" s="16"/>
      <c r="F1401" s="16"/>
      <c r="I1401" s="18"/>
      <c r="J1401" s="12"/>
      <c r="K1401" s="12"/>
      <c r="L1401" s="13"/>
      <c r="M1401" s="14"/>
      <c r="N1401" s="15"/>
    </row>
    <row r="1402" spans="1:14" s="17" customFormat="1">
      <c r="A1402" s="12"/>
      <c r="B1402" s="13"/>
      <c r="C1402" s="14"/>
      <c r="D1402" s="15"/>
      <c r="E1402" s="16"/>
      <c r="F1402" s="16"/>
      <c r="I1402" s="18"/>
      <c r="J1402" s="12"/>
      <c r="K1402" s="12"/>
      <c r="L1402" s="13"/>
      <c r="M1402" s="14"/>
      <c r="N1402" s="15"/>
    </row>
    <row r="1403" spans="1:14" s="17" customFormat="1">
      <c r="A1403" s="12"/>
      <c r="B1403" s="13"/>
      <c r="C1403" s="14"/>
      <c r="D1403" s="15"/>
      <c r="E1403" s="16"/>
      <c r="F1403" s="16"/>
      <c r="I1403" s="18"/>
      <c r="J1403" s="12"/>
      <c r="K1403" s="12"/>
      <c r="L1403" s="13"/>
      <c r="M1403" s="14"/>
      <c r="N1403" s="15"/>
    </row>
    <row r="1404" spans="1:14" s="17" customFormat="1">
      <c r="A1404" s="12"/>
      <c r="B1404" s="13"/>
      <c r="C1404" s="14"/>
      <c r="D1404" s="15"/>
      <c r="E1404" s="16"/>
      <c r="F1404" s="16"/>
      <c r="I1404" s="18"/>
      <c r="J1404" s="12"/>
      <c r="K1404" s="12"/>
      <c r="L1404" s="13"/>
      <c r="M1404" s="14"/>
      <c r="N1404" s="15"/>
    </row>
    <row r="1405" spans="1:14" s="17" customFormat="1">
      <c r="A1405" s="12"/>
      <c r="B1405" s="13"/>
      <c r="C1405" s="14"/>
      <c r="D1405" s="15"/>
      <c r="E1405" s="16"/>
      <c r="F1405" s="16"/>
      <c r="I1405" s="18"/>
      <c r="J1405" s="12"/>
      <c r="K1405" s="12"/>
      <c r="L1405" s="13"/>
      <c r="M1405" s="14"/>
      <c r="N1405" s="15"/>
    </row>
    <row r="1406" spans="1:14" s="17" customFormat="1">
      <c r="A1406" s="12"/>
      <c r="B1406" s="13"/>
      <c r="C1406" s="14"/>
      <c r="D1406" s="15"/>
      <c r="E1406" s="16"/>
      <c r="F1406" s="16"/>
      <c r="I1406" s="18"/>
      <c r="J1406" s="12"/>
      <c r="K1406" s="12"/>
      <c r="L1406" s="13"/>
      <c r="M1406" s="14"/>
      <c r="N1406" s="15"/>
    </row>
    <row r="1407" spans="1:14" s="17" customFormat="1">
      <c r="A1407" s="12"/>
      <c r="B1407" s="13"/>
      <c r="C1407" s="14"/>
      <c r="D1407" s="15"/>
      <c r="E1407" s="16"/>
      <c r="F1407" s="16"/>
      <c r="I1407" s="18"/>
      <c r="J1407" s="12"/>
      <c r="K1407" s="12"/>
      <c r="L1407" s="13"/>
      <c r="M1407" s="14"/>
      <c r="N1407" s="15"/>
    </row>
    <row r="1408" spans="1:14" s="17" customFormat="1">
      <c r="A1408" s="12"/>
      <c r="B1408" s="13"/>
      <c r="C1408" s="14"/>
      <c r="D1408" s="15"/>
      <c r="E1408" s="16"/>
      <c r="F1408" s="16"/>
      <c r="I1408" s="18"/>
      <c r="J1408" s="12"/>
      <c r="K1408" s="12"/>
      <c r="L1408" s="13"/>
      <c r="M1408" s="14"/>
      <c r="N1408" s="15"/>
    </row>
    <row r="1409" spans="1:14" s="17" customFormat="1">
      <c r="A1409" s="12"/>
      <c r="B1409" s="13"/>
      <c r="C1409" s="14"/>
      <c r="D1409" s="15"/>
      <c r="E1409" s="16"/>
      <c r="F1409" s="16"/>
      <c r="I1409" s="18"/>
      <c r="J1409" s="12"/>
      <c r="K1409" s="12"/>
      <c r="L1409" s="13"/>
      <c r="M1409" s="14"/>
      <c r="N1409" s="15"/>
    </row>
    <row r="1410" spans="1:14" s="17" customFormat="1">
      <c r="A1410" s="12"/>
      <c r="B1410" s="13"/>
      <c r="C1410" s="14"/>
      <c r="D1410" s="15"/>
      <c r="E1410" s="16"/>
      <c r="F1410" s="16"/>
      <c r="I1410" s="18"/>
      <c r="J1410" s="12"/>
      <c r="K1410" s="12"/>
      <c r="L1410" s="13"/>
      <c r="M1410" s="14"/>
      <c r="N1410" s="15"/>
    </row>
    <row r="1411" spans="1:14" s="17" customFormat="1">
      <c r="A1411" s="12"/>
      <c r="B1411" s="13"/>
      <c r="C1411" s="14"/>
      <c r="D1411" s="15"/>
      <c r="E1411" s="16"/>
      <c r="F1411" s="16"/>
      <c r="I1411" s="18"/>
      <c r="J1411" s="12"/>
      <c r="K1411" s="12"/>
      <c r="L1411" s="13"/>
      <c r="M1411" s="14"/>
      <c r="N1411" s="15"/>
    </row>
    <row r="1412" spans="1:14" s="17" customFormat="1">
      <c r="A1412" s="12"/>
      <c r="B1412" s="13"/>
      <c r="C1412" s="14"/>
      <c r="D1412" s="15"/>
      <c r="E1412" s="16"/>
      <c r="F1412" s="16"/>
      <c r="I1412" s="18"/>
      <c r="J1412" s="12"/>
      <c r="K1412" s="12"/>
      <c r="L1412" s="13"/>
      <c r="M1412" s="14"/>
      <c r="N1412" s="15"/>
    </row>
    <row r="1413" spans="1:14" s="17" customFormat="1">
      <c r="A1413" s="12"/>
      <c r="B1413" s="13"/>
      <c r="C1413" s="14"/>
      <c r="D1413" s="15"/>
      <c r="E1413" s="16"/>
      <c r="F1413" s="16"/>
      <c r="I1413" s="18"/>
      <c r="J1413" s="12"/>
      <c r="K1413" s="12"/>
      <c r="L1413" s="13"/>
      <c r="M1413" s="14"/>
      <c r="N1413" s="15"/>
    </row>
    <row r="1414" spans="1:14" s="17" customFormat="1">
      <c r="A1414" s="12"/>
      <c r="B1414" s="13"/>
      <c r="C1414" s="14"/>
      <c r="D1414" s="15"/>
      <c r="E1414" s="16"/>
      <c r="F1414" s="16"/>
      <c r="I1414" s="18"/>
      <c r="J1414" s="12"/>
      <c r="K1414" s="12"/>
      <c r="L1414" s="13"/>
      <c r="M1414" s="14"/>
      <c r="N1414" s="15"/>
    </row>
    <row r="1415" spans="1:14" s="17" customFormat="1">
      <c r="A1415" s="12"/>
      <c r="B1415" s="13"/>
      <c r="C1415" s="14"/>
      <c r="D1415" s="15"/>
      <c r="E1415" s="16"/>
      <c r="F1415" s="16"/>
      <c r="I1415" s="18"/>
      <c r="J1415" s="12"/>
      <c r="K1415" s="12"/>
      <c r="L1415" s="13"/>
      <c r="M1415" s="14"/>
      <c r="N1415" s="15"/>
    </row>
    <row r="1416" spans="1:14" s="17" customFormat="1">
      <c r="A1416" s="12"/>
      <c r="B1416" s="13"/>
      <c r="C1416" s="14"/>
      <c r="D1416" s="15"/>
      <c r="E1416" s="16"/>
      <c r="F1416" s="16"/>
      <c r="I1416" s="18"/>
      <c r="J1416" s="12"/>
      <c r="K1416" s="12"/>
      <c r="L1416" s="13"/>
      <c r="M1416" s="14"/>
      <c r="N1416" s="15"/>
    </row>
    <row r="1417" spans="1:14" s="17" customFormat="1">
      <c r="A1417" s="12"/>
      <c r="B1417" s="13"/>
      <c r="C1417" s="14"/>
      <c r="D1417" s="15"/>
      <c r="E1417" s="16"/>
      <c r="F1417" s="16"/>
      <c r="I1417" s="18"/>
      <c r="J1417" s="12"/>
      <c r="K1417" s="12"/>
      <c r="L1417" s="13"/>
      <c r="M1417" s="14"/>
      <c r="N1417" s="15"/>
    </row>
    <row r="1418" spans="1:14" s="17" customFormat="1">
      <c r="A1418" s="12"/>
      <c r="B1418" s="13"/>
      <c r="C1418" s="14"/>
      <c r="D1418" s="15"/>
      <c r="E1418" s="16"/>
      <c r="F1418" s="16"/>
      <c r="I1418" s="18"/>
      <c r="J1418" s="12"/>
      <c r="K1418" s="12"/>
      <c r="L1418" s="13"/>
      <c r="M1418" s="14"/>
      <c r="N1418" s="15"/>
    </row>
    <row r="1419" spans="1:14" s="17" customFormat="1">
      <c r="A1419" s="12"/>
      <c r="B1419" s="13"/>
      <c r="C1419" s="14"/>
      <c r="D1419" s="15"/>
      <c r="E1419" s="16"/>
      <c r="F1419" s="16"/>
      <c r="I1419" s="18"/>
      <c r="J1419" s="12"/>
      <c r="K1419" s="12"/>
      <c r="L1419" s="13"/>
      <c r="M1419" s="14"/>
      <c r="N1419" s="15"/>
    </row>
    <row r="1420" spans="1:14" s="17" customFormat="1">
      <c r="A1420" s="12"/>
      <c r="B1420" s="13"/>
      <c r="C1420" s="14"/>
      <c r="D1420" s="15"/>
      <c r="E1420" s="16"/>
      <c r="F1420" s="16"/>
      <c r="I1420" s="18"/>
      <c r="J1420" s="12"/>
      <c r="K1420" s="12"/>
      <c r="L1420" s="13"/>
      <c r="M1420" s="14"/>
      <c r="N1420" s="15"/>
    </row>
    <row r="1421" spans="1:14" s="17" customFormat="1">
      <c r="A1421" s="12"/>
      <c r="B1421" s="13"/>
      <c r="C1421" s="14"/>
      <c r="D1421" s="15"/>
      <c r="E1421" s="16"/>
      <c r="F1421" s="16"/>
      <c r="I1421" s="18"/>
      <c r="J1421" s="12"/>
      <c r="K1421" s="12"/>
      <c r="L1421" s="13"/>
      <c r="M1421" s="14"/>
      <c r="N1421" s="15"/>
    </row>
    <row r="1422" spans="1:14" s="17" customFormat="1">
      <c r="A1422" s="12"/>
      <c r="B1422" s="13"/>
      <c r="C1422" s="14"/>
      <c r="D1422" s="15"/>
      <c r="E1422" s="16"/>
      <c r="F1422" s="16"/>
      <c r="I1422" s="18"/>
      <c r="J1422" s="12"/>
      <c r="K1422" s="12"/>
      <c r="L1422" s="13"/>
      <c r="M1422" s="14"/>
      <c r="N1422" s="15"/>
    </row>
    <row r="1423" spans="1:14" s="17" customFormat="1">
      <c r="A1423" s="12"/>
      <c r="B1423" s="13"/>
      <c r="C1423" s="14"/>
      <c r="D1423" s="15"/>
      <c r="E1423" s="16"/>
      <c r="F1423" s="16"/>
      <c r="I1423" s="18"/>
      <c r="J1423" s="12"/>
      <c r="K1423" s="12"/>
      <c r="L1423" s="13"/>
      <c r="M1423" s="14"/>
      <c r="N1423" s="15"/>
    </row>
    <row r="1424" spans="1:14" s="17" customFormat="1">
      <c r="A1424" s="12"/>
      <c r="B1424" s="13"/>
      <c r="C1424" s="14"/>
      <c r="D1424" s="15"/>
      <c r="E1424" s="16"/>
      <c r="F1424" s="16"/>
      <c r="I1424" s="18"/>
      <c r="J1424" s="12"/>
      <c r="K1424" s="12"/>
      <c r="L1424" s="13"/>
      <c r="M1424" s="14"/>
      <c r="N1424" s="15"/>
    </row>
    <row r="1425" spans="1:14" s="17" customFormat="1">
      <c r="A1425" s="12"/>
      <c r="B1425" s="13"/>
      <c r="C1425" s="14"/>
      <c r="D1425" s="15"/>
      <c r="E1425" s="16"/>
      <c r="F1425" s="16"/>
      <c r="I1425" s="18"/>
      <c r="J1425" s="12"/>
      <c r="K1425" s="12"/>
      <c r="L1425" s="13"/>
      <c r="M1425" s="14"/>
      <c r="N1425" s="15"/>
    </row>
    <row r="1426" spans="1:14" s="17" customFormat="1">
      <c r="A1426" s="12"/>
      <c r="B1426" s="13"/>
      <c r="C1426" s="14"/>
      <c r="D1426" s="15"/>
      <c r="E1426" s="16"/>
      <c r="F1426" s="16"/>
      <c r="I1426" s="18"/>
      <c r="J1426" s="12"/>
      <c r="K1426" s="12"/>
      <c r="L1426" s="13"/>
      <c r="M1426" s="14"/>
      <c r="N1426" s="15"/>
    </row>
    <row r="1427" spans="1:14" s="17" customFormat="1">
      <c r="A1427" s="12"/>
      <c r="B1427" s="13"/>
      <c r="C1427" s="14"/>
      <c r="D1427" s="15"/>
      <c r="E1427" s="16"/>
      <c r="F1427" s="16"/>
      <c r="I1427" s="18"/>
      <c r="J1427" s="12"/>
      <c r="K1427" s="12"/>
      <c r="L1427" s="13"/>
      <c r="M1427" s="14"/>
      <c r="N1427" s="15"/>
    </row>
    <row r="1428" spans="1:14" s="17" customFormat="1">
      <c r="A1428" s="12"/>
      <c r="B1428" s="13"/>
      <c r="C1428" s="14"/>
      <c r="D1428" s="15"/>
      <c r="E1428" s="16"/>
      <c r="F1428" s="16"/>
      <c r="I1428" s="18"/>
      <c r="J1428" s="12"/>
      <c r="K1428" s="12"/>
      <c r="L1428" s="13"/>
      <c r="M1428" s="14"/>
      <c r="N1428" s="15"/>
    </row>
    <row r="1429" spans="1:14" s="17" customFormat="1">
      <c r="A1429" s="12"/>
      <c r="B1429" s="13"/>
      <c r="C1429" s="14"/>
      <c r="D1429" s="15"/>
      <c r="E1429" s="16"/>
      <c r="F1429" s="16"/>
      <c r="I1429" s="18"/>
      <c r="J1429" s="12"/>
      <c r="K1429" s="12"/>
      <c r="L1429" s="13"/>
      <c r="M1429" s="14"/>
      <c r="N1429" s="15"/>
    </row>
    <row r="1430" spans="1:14" s="17" customFormat="1">
      <c r="A1430" s="12"/>
      <c r="B1430" s="13"/>
      <c r="C1430" s="14"/>
      <c r="D1430" s="15"/>
      <c r="E1430" s="16"/>
      <c r="F1430" s="16"/>
      <c r="I1430" s="18"/>
      <c r="J1430" s="12"/>
      <c r="K1430" s="12"/>
      <c r="L1430" s="13"/>
      <c r="M1430" s="14"/>
      <c r="N1430" s="15"/>
    </row>
    <row r="1431" spans="1:14" s="17" customFormat="1">
      <c r="A1431" s="12"/>
      <c r="B1431" s="13"/>
      <c r="C1431" s="14"/>
      <c r="D1431" s="15"/>
      <c r="E1431" s="16"/>
      <c r="F1431" s="16"/>
      <c r="I1431" s="18"/>
      <c r="J1431" s="12"/>
      <c r="K1431" s="12"/>
      <c r="L1431" s="13"/>
      <c r="M1431" s="14"/>
      <c r="N1431" s="15"/>
    </row>
    <row r="1432" spans="1:14" s="17" customFormat="1">
      <c r="A1432" s="12"/>
      <c r="B1432" s="13"/>
      <c r="C1432" s="14"/>
      <c r="D1432" s="15"/>
      <c r="E1432" s="16"/>
      <c r="F1432" s="16"/>
      <c r="I1432" s="18"/>
      <c r="J1432" s="12"/>
      <c r="K1432" s="12"/>
      <c r="L1432" s="13"/>
      <c r="M1432" s="14"/>
      <c r="N1432" s="15"/>
    </row>
    <row r="1433" spans="1:14" s="17" customFormat="1">
      <c r="A1433" s="12"/>
      <c r="B1433" s="13"/>
      <c r="C1433" s="14"/>
      <c r="D1433" s="15"/>
      <c r="E1433" s="16"/>
      <c r="F1433" s="16"/>
      <c r="I1433" s="18"/>
      <c r="J1433" s="12"/>
      <c r="K1433" s="12"/>
      <c r="L1433" s="13"/>
      <c r="M1433" s="14"/>
      <c r="N1433" s="15"/>
    </row>
    <row r="1434" spans="1:14" s="17" customFormat="1">
      <c r="A1434" s="12"/>
      <c r="B1434" s="13"/>
      <c r="C1434" s="14"/>
      <c r="D1434" s="15"/>
      <c r="E1434" s="16"/>
      <c r="F1434" s="16"/>
      <c r="I1434" s="18"/>
      <c r="J1434" s="12"/>
      <c r="K1434" s="12"/>
      <c r="L1434" s="13"/>
      <c r="M1434" s="14"/>
      <c r="N1434" s="15"/>
    </row>
    <row r="1435" spans="1:14" s="17" customFormat="1">
      <c r="A1435" s="12"/>
      <c r="B1435" s="13"/>
      <c r="C1435" s="14"/>
      <c r="D1435" s="15"/>
      <c r="E1435" s="16"/>
      <c r="F1435" s="16"/>
      <c r="I1435" s="18"/>
      <c r="J1435" s="12"/>
      <c r="K1435" s="12"/>
      <c r="L1435" s="13"/>
      <c r="M1435" s="14"/>
      <c r="N1435" s="15"/>
    </row>
    <row r="1436" spans="1:14" s="17" customFormat="1">
      <c r="A1436" s="12"/>
      <c r="B1436" s="13"/>
      <c r="C1436" s="14"/>
      <c r="D1436" s="15"/>
      <c r="E1436" s="16"/>
      <c r="F1436" s="16"/>
      <c r="I1436" s="18"/>
      <c r="J1436" s="12"/>
      <c r="K1436" s="12"/>
      <c r="L1436" s="13"/>
      <c r="M1436" s="14"/>
      <c r="N1436" s="15"/>
    </row>
    <row r="1437" spans="1:14" s="17" customFormat="1">
      <c r="A1437" s="12"/>
      <c r="B1437" s="13"/>
      <c r="C1437" s="14"/>
      <c r="D1437" s="15"/>
      <c r="E1437" s="16"/>
      <c r="F1437" s="16"/>
      <c r="I1437" s="18"/>
      <c r="J1437" s="12"/>
      <c r="K1437" s="12"/>
      <c r="L1437" s="13"/>
      <c r="M1437" s="14"/>
      <c r="N1437" s="15"/>
    </row>
    <row r="1438" spans="1:14" s="17" customFormat="1">
      <c r="A1438" s="12"/>
      <c r="B1438" s="13"/>
      <c r="C1438" s="14"/>
      <c r="D1438" s="15"/>
      <c r="E1438" s="16"/>
      <c r="F1438" s="16"/>
      <c r="I1438" s="18"/>
      <c r="J1438" s="12"/>
      <c r="K1438" s="12"/>
      <c r="L1438" s="13"/>
      <c r="M1438" s="14"/>
      <c r="N1438" s="15"/>
    </row>
    <row r="1439" spans="1:14" s="17" customFormat="1">
      <c r="A1439" s="12"/>
      <c r="B1439" s="13"/>
      <c r="C1439" s="14"/>
      <c r="D1439" s="15"/>
      <c r="E1439" s="16"/>
      <c r="F1439" s="16"/>
      <c r="I1439" s="18"/>
      <c r="J1439" s="12"/>
      <c r="K1439" s="12"/>
      <c r="L1439" s="13"/>
      <c r="M1439" s="14"/>
      <c r="N1439" s="15"/>
    </row>
    <row r="1440" spans="1:14" s="17" customFormat="1">
      <c r="A1440" s="12"/>
      <c r="B1440" s="13"/>
      <c r="C1440" s="14"/>
      <c r="D1440" s="15"/>
      <c r="E1440" s="16"/>
      <c r="F1440" s="16"/>
      <c r="I1440" s="18"/>
      <c r="J1440" s="12"/>
      <c r="K1440" s="12"/>
      <c r="L1440" s="13"/>
      <c r="M1440" s="14"/>
      <c r="N1440" s="15"/>
    </row>
    <row r="1441" spans="1:14" s="17" customFormat="1">
      <c r="A1441" s="12"/>
      <c r="B1441" s="13"/>
      <c r="C1441" s="14"/>
      <c r="D1441" s="15"/>
      <c r="E1441" s="16"/>
      <c r="F1441" s="16"/>
      <c r="I1441" s="18"/>
      <c r="J1441" s="12"/>
      <c r="K1441" s="12"/>
      <c r="L1441" s="13"/>
      <c r="M1441" s="14"/>
      <c r="N1441" s="15"/>
    </row>
    <row r="1442" spans="1:14" s="17" customFormat="1">
      <c r="A1442" s="12"/>
      <c r="B1442" s="13"/>
      <c r="C1442" s="14"/>
      <c r="D1442" s="15"/>
      <c r="E1442" s="16"/>
      <c r="F1442" s="16"/>
      <c r="I1442" s="18"/>
      <c r="J1442" s="12"/>
      <c r="K1442" s="12"/>
      <c r="L1442" s="13"/>
      <c r="M1442" s="14"/>
      <c r="N1442" s="15"/>
    </row>
    <row r="1443" spans="1:14" s="17" customFormat="1">
      <c r="A1443" s="12"/>
      <c r="B1443" s="13"/>
      <c r="C1443" s="14"/>
      <c r="D1443" s="15"/>
      <c r="E1443" s="16"/>
      <c r="F1443" s="16"/>
      <c r="G1443" s="25"/>
      <c r="H1443" s="25"/>
      <c r="I1443" s="95"/>
      <c r="J1443" s="12"/>
      <c r="K1443" s="12"/>
      <c r="L1443" s="13"/>
      <c r="M1443" s="14"/>
      <c r="N1443" s="15"/>
    </row>
    <row r="1444" spans="1:14" s="17" customFormat="1">
      <c r="A1444" s="12"/>
      <c r="B1444" s="13"/>
      <c r="C1444" s="14"/>
      <c r="D1444" s="15"/>
      <c r="E1444" s="16"/>
      <c r="F1444" s="16"/>
      <c r="G1444" s="25"/>
      <c r="H1444" s="25"/>
      <c r="I1444" s="95"/>
      <c r="J1444" s="12"/>
      <c r="K1444" s="12"/>
      <c r="L1444" s="13"/>
      <c r="M1444" s="14"/>
      <c r="N1444" s="15"/>
    </row>
    <row r="1445" spans="1:14" s="17" customFormat="1">
      <c r="A1445" s="12"/>
      <c r="B1445" s="13"/>
      <c r="C1445" s="14"/>
      <c r="D1445" s="15"/>
      <c r="E1445" s="16"/>
      <c r="F1445" s="16"/>
      <c r="G1445" s="34"/>
      <c r="H1445" s="34"/>
      <c r="I1445" s="95"/>
      <c r="J1445" s="12"/>
      <c r="K1445" s="12"/>
      <c r="L1445" s="13"/>
      <c r="M1445" s="14"/>
      <c r="N1445" s="15"/>
    </row>
    <row r="1446" spans="1:14" s="17" customFormat="1">
      <c r="A1446" s="12"/>
      <c r="B1446" s="13"/>
      <c r="C1446" s="14"/>
      <c r="D1446" s="15"/>
      <c r="E1446" s="16"/>
      <c r="F1446" s="16"/>
      <c r="G1446" s="34"/>
      <c r="H1446" s="34"/>
      <c r="I1446" s="95"/>
      <c r="J1446" s="12"/>
      <c r="K1446" s="12"/>
      <c r="L1446" s="13"/>
      <c r="M1446" s="14"/>
      <c r="N1446" s="15"/>
    </row>
    <row r="1447" spans="1:14" s="17" customFormat="1">
      <c r="A1447" s="12"/>
      <c r="B1447" s="13"/>
      <c r="C1447" s="14"/>
      <c r="D1447" s="15"/>
      <c r="E1447" s="16"/>
      <c r="F1447" s="16"/>
      <c r="G1447" s="25"/>
      <c r="H1447" s="25"/>
      <c r="I1447" s="95"/>
      <c r="J1447" s="12"/>
      <c r="K1447" s="12"/>
      <c r="L1447" s="13"/>
      <c r="M1447" s="14"/>
      <c r="N1447" s="15"/>
    </row>
    <row r="1448" spans="1:14" s="17" customFormat="1">
      <c r="A1448" s="12"/>
      <c r="B1448" s="13"/>
      <c r="C1448" s="14"/>
      <c r="D1448" s="15"/>
      <c r="E1448" s="16"/>
      <c r="F1448" s="16"/>
      <c r="G1448" s="25"/>
      <c r="H1448" s="25"/>
      <c r="I1448" s="95"/>
      <c r="J1448" s="12"/>
      <c r="K1448" s="12"/>
      <c r="L1448" s="13"/>
      <c r="M1448" s="14"/>
      <c r="N1448" s="15"/>
    </row>
    <row r="1449" spans="1:14" s="17" customFormat="1">
      <c r="A1449" s="12"/>
      <c r="B1449" s="13"/>
      <c r="C1449" s="14"/>
      <c r="D1449" s="15"/>
      <c r="E1449" s="16"/>
      <c r="F1449" s="16"/>
      <c r="I1449" s="18"/>
      <c r="J1449" s="12"/>
      <c r="K1449" s="12"/>
      <c r="L1449" s="13"/>
      <c r="M1449" s="14"/>
      <c r="N1449" s="15"/>
    </row>
    <row r="1450" spans="1:14" s="17" customFormat="1">
      <c r="A1450" s="12"/>
      <c r="B1450" s="13"/>
      <c r="C1450" s="14"/>
      <c r="D1450" s="15"/>
      <c r="E1450" s="16"/>
      <c r="F1450" s="16"/>
      <c r="I1450" s="18"/>
      <c r="J1450" s="12"/>
      <c r="K1450" s="12"/>
      <c r="L1450" s="13"/>
      <c r="M1450" s="14"/>
      <c r="N1450" s="15"/>
    </row>
    <row r="1451" spans="1:14" s="17" customFormat="1">
      <c r="A1451" s="12"/>
      <c r="B1451" s="13"/>
      <c r="C1451" s="14"/>
      <c r="D1451" s="15"/>
      <c r="E1451" s="16"/>
      <c r="F1451" s="16"/>
      <c r="I1451" s="18"/>
      <c r="J1451" s="12"/>
      <c r="K1451" s="12"/>
      <c r="L1451" s="13"/>
      <c r="M1451" s="14"/>
      <c r="N1451" s="15"/>
    </row>
    <row r="1452" spans="1:14" s="17" customFormat="1">
      <c r="A1452" s="12"/>
      <c r="B1452" s="13"/>
      <c r="C1452" s="14"/>
      <c r="D1452" s="15"/>
      <c r="E1452" s="16"/>
      <c r="F1452" s="16"/>
      <c r="I1452" s="18"/>
      <c r="J1452" s="12"/>
      <c r="K1452" s="12"/>
      <c r="L1452" s="13"/>
      <c r="M1452" s="14"/>
      <c r="N1452" s="15"/>
    </row>
    <row r="1453" spans="1:14" s="17" customFormat="1">
      <c r="A1453" s="12"/>
      <c r="B1453" s="13"/>
      <c r="C1453" s="14"/>
      <c r="D1453" s="15"/>
      <c r="E1453" s="16"/>
      <c r="F1453" s="16"/>
      <c r="I1453" s="18"/>
      <c r="J1453" s="12"/>
      <c r="K1453" s="12"/>
      <c r="L1453" s="13"/>
      <c r="M1453" s="14"/>
      <c r="N1453" s="15"/>
    </row>
    <row r="1454" spans="1:14" s="17" customFormat="1">
      <c r="A1454" s="12"/>
      <c r="B1454" s="13"/>
      <c r="C1454" s="14"/>
      <c r="D1454" s="15"/>
      <c r="E1454" s="16"/>
      <c r="F1454" s="16"/>
      <c r="I1454" s="18"/>
      <c r="J1454" s="12"/>
      <c r="K1454" s="12"/>
      <c r="L1454" s="13"/>
      <c r="M1454" s="14"/>
      <c r="N1454" s="15"/>
    </row>
    <row r="1455" spans="1:14" s="17" customFormat="1">
      <c r="A1455" s="12"/>
      <c r="B1455" s="13"/>
      <c r="C1455" s="14"/>
      <c r="D1455" s="15"/>
      <c r="E1455" s="16"/>
      <c r="F1455" s="16"/>
      <c r="I1455" s="18"/>
      <c r="J1455" s="12"/>
      <c r="K1455" s="12"/>
      <c r="L1455" s="13"/>
      <c r="M1455" s="14"/>
      <c r="N1455" s="15"/>
    </row>
    <row r="1456" spans="1:14" s="17" customFormat="1">
      <c r="A1456" s="12"/>
      <c r="B1456" s="13"/>
      <c r="C1456" s="14"/>
      <c r="D1456" s="15"/>
      <c r="E1456" s="16"/>
      <c r="F1456" s="16"/>
      <c r="I1456" s="18"/>
      <c r="J1456" s="12"/>
      <c r="K1456" s="12"/>
      <c r="L1456" s="13"/>
      <c r="M1456" s="14"/>
      <c r="N1456" s="15"/>
    </row>
    <row r="1457" spans="1:14" s="17" customFormat="1">
      <c r="A1457" s="12"/>
      <c r="B1457" s="13"/>
      <c r="C1457" s="14"/>
      <c r="D1457" s="15"/>
      <c r="E1457" s="16"/>
      <c r="F1457" s="16"/>
      <c r="I1457" s="18"/>
      <c r="J1457" s="12"/>
      <c r="K1457" s="12"/>
      <c r="L1457" s="13"/>
      <c r="M1457" s="14"/>
      <c r="N1457" s="15"/>
    </row>
    <row r="1458" spans="1:14" s="17" customFormat="1">
      <c r="A1458" s="12"/>
      <c r="B1458" s="13"/>
      <c r="C1458" s="14"/>
      <c r="D1458" s="15"/>
      <c r="E1458" s="16"/>
      <c r="F1458" s="16"/>
      <c r="I1458" s="18"/>
      <c r="J1458" s="12"/>
      <c r="K1458" s="12"/>
      <c r="L1458" s="13"/>
      <c r="M1458" s="14"/>
      <c r="N1458" s="15"/>
    </row>
    <row r="1459" spans="1:14" s="17" customFormat="1">
      <c r="A1459" s="12"/>
      <c r="B1459" s="13"/>
      <c r="C1459" s="14"/>
      <c r="D1459" s="15"/>
      <c r="E1459" s="16"/>
      <c r="F1459" s="16"/>
      <c r="I1459" s="18"/>
      <c r="J1459" s="12"/>
      <c r="K1459" s="12"/>
      <c r="L1459" s="13"/>
      <c r="M1459" s="14"/>
      <c r="N1459" s="15"/>
    </row>
    <row r="1460" spans="1:14" s="17" customFormat="1">
      <c r="A1460" s="12"/>
      <c r="B1460" s="13"/>
      <c r="C1460" s="14"/>
      <c r="D1460" s="15"/>
      <c r="E1460" s="16"/>
      <c r="F1460" s="16"/>
      <c r="I1460" s="18"/>
      <c r="J1460" s="12"/>
      <c r="K1460" s="12"/>
      <c r="L1460" s="13"/>
      <c r="M1460" s="14"/>
      <c r="N1460" s="15"/>
    </row>
    <row r="1461" spans="1:14" s="17" customFormat="1">
      <c r="A1461" s="12"/>
      <c r="B1461" s="13"/>
      <c r="C1461" s="14"/>
      <c r="D1461" s="15"/>
      <c r="E1461" s="16"/>
      <c r="F1461" s="16"/>
      <c r="I1461" s="18"/>
      <c r="J1461" s="12"/>
      <c r="K1461" s="12"/>
      <c r="L1461" s="13"/>
      <c r="M1461" s="14"/>
      <c r="N1461" s="15"/>
    </row>
    <row r="1462" spans="1:14" s="17" customFormat="1">
      <c r="A1462" s="12"/>
      <c r="B1462" s="13"/>
      <c r="C1462" s="14"/>
      <c r="D1462" s="15"/>
      <c r="E1462" s="16"/>
      <c r="F1462" s="16"/>
      <c r="I1462" s="18"/>
      <c r="J1462" s="12"/>
      <c r="K1462" s="12"/>
      <c r="L1462" s="13"/>
      <c r="M1462" s="14"/>
      <c r="N1462" s="15"/>
    </row>
    <row r="1463" spans="1:14" s="17" customFormat="1">
      <c r="A1463" s="12"/>
      <c r="B1463" s="13"/>
      <c r="C1463" s="14"/>
      <c r="D1463" s="15"/>
      <c r="E1463" s="16"/>
      <c r="F1463" s="16"/>
      <c r="I1463" s="18"/>
      <c r="J1463" s="12"/>
      <c r="K1463" s="12"/>
      <c r="L1463" s="13"/>
      <c r="M1463" s="14"/>
      <c r="N1463" s="15"/>
    </row>
    <row r="1464" spans="1:14" s="17" customFormat="1">
      <c r="A1464" s="12"/>
      <c r="B1464" s="13"/>
      <c r="C1464" s="14"/>
      <c r="D1464" s="15"/>
      <c r="E1464" s="16"/>
      <c r="F1464" s="16"/>
      <c r="I1464" s="18"/>
      <c r="J1464" s="12"/>
      <c r="K1464" s="12"/>
      <c r="L1464" s="13"/>
      <c r="M1464" s="14"/>
      <c r="N1464" s="15"/>
    </row>
    <row r="1465" spans="1:14" s="17" customFormat="1">
      <c r="A1465" s="12"/>
      <c r="B1465" s="13"/>
      <c r="C1465" s="14"/>
      <c r="D1465" s="15"/>
      <c r="E1465" s="16"/>
      <c r="F1465" s="16"/>
      <c r="I1465" s="18"/>
      <c r="J1465" s="12"/>
      <c r="K1465" s="12"/>
      <c r="L1465" s="13"/>
      <c r="M1465" s="14"/>
      <c r="N1465" s="15"/>
    </row>
    <row r="1466" spans="1:14" s="17" customFormat="1">
      <c r="A1466" s="12"/>
      <c r="B1466" s="13"/>
      <c r="C1466" s="14"/>
      <c r="D1466" s="15"/>
      <c r="E1466" s="16"/>
      <c r="F1466" s="16"/>
      <c r="I1466" s="18"/>
      <c r="J1466" s="12"/>
      <c r="K1466" s="12"/>
      <c r="L1466" s="13"/>
      <c r="M1466" s="14"/>
      <c r="N1466" s="15"/>
    </row>
    <row r="1467" spans="1:14" s="17" customFormat="1">
      <c r="A1467" s="12"/>
      <c r="B1467" s="13"/>
      <c r="C1467" s="14"/>
      <c r="D1467" s="15"/>
      <c r="E1467" s="16"/>
      <c r="F1467" s="16"/>
      <c r="I1467" s="18"/>
      <c r="J1467" s="12"/>
      <c r="K1467" s="12"/>
      <c r="L1467" s="13"/>
      <c r="M1467" s="14"/>
      <c r="N1467" s="15"/>
    </row>
    <row r="1468" spans="1:14" s="17" customFormat="1">
      <c r="A1468" s="12"/>
      <c r="B1468" s="13"/>
      <c r="C1468" s="14"/>
      <c r="D1468" s="15"/>
      <c r="E1468" s="16"/>
      <c r="F1468" s="16"/>
      <c r="I1468" s="18"/>
      <c r="J1468" s="12"/>
      <c r="K1468" s="12"/>
      <c r="L1468" s="13"/>
      <c r="M1468" s="14"/>
      <c r="N1468" s="15"/>
    </row>
    <row r="1469" spans="1:14" s="17" customFormat="1">
      <c r="A1469" s="12"/>
      <c r="B1469" s="13"/>
      <c r="C1469" s="14"/>
      <c r="D1469" s="15"/>
      <c r="E1469" s="16"/>
      <c r="F1469" s="16"/>
      <c r="I1469" s="18"/>
      <c r="J1469" s="12"/>
      <c r="K1469" s="12"/>
      <c r="L1469" s="13"/>
      <c r="M1469" s="14"/>
      <c r="N1469" s="15"/>
    </row>
    <row r="1470" spans="1:14" s="17" customFormat="1">
      <c r="A1470" s="12"/>
      <c r="B1470" s="13"/>
      <c r="C1470" s="14"/>
      <c r="D1470" s="15"/>
      <c r="E1470" s="16"/>
      <c r="F1470" s="16"/>
      <c r="I1470" s="18"/>
      <c r="J1470" s="12"/>
      <c r="K1470" s="12"/>
      <c r="L1470" s="13"/>
      <c r="M1470" s="14"/>
      <c r="N1470" s="15"/>
    </row>
    <row r="1471" spans="1:14" s="17" customFormat="1">
      <c r="A1471" s="12"/>
      <c r="B1471" s="13"/>
      <c r="C1471" s="14"/>
      <c r="D1471" s="15"/>
      <c r="E1471" s="16"/>
      <c r="F1471" s="16"/>
      <c r="I1471" s="18"/>
      <c r="J1471" s="12"/>
      <c r="K1471" s="12"/>
      <c r="L1471" s="13"/>
      <c r="M1471" s="14"/>
      <c r="N1471" s="15"/>
    </row>
    <row r="1472" spans="1:14" s="17" customFormat="1">
      <c r="A1472" s="12"/>
      <c r="B1472" s="13"/>
      <c r="C1472" s="14"/>
      <c r="D1472" s="15"/>
      <c r="E1472" s="16"/>
      <c r="F1472" s="16"/>
      <c r="I1472" s="18"/>
      <c r="J1472" s="12"/>
      <c r="K1472" s="12"/>
      <c r="L1472" s="13"/>
      <c r="M1472" s="14"/>
      <c r="N1472" s="15"/>
    </row>
    <row r="1473" spans="1:14" s="17" customFormat="1">
      <c r="A1473" s="12"/>
      <c r="B1473" s="13"/>
      <c r="C1473" s="14"/>
      <c r="D1473" s="15"/>
      <c r="E1473" s="16"/>
      <c r="F1473" s="16"/>
      <c r="I1473" s="18"/>
      <c r="J1473" s="12"/>
      <c r="K1473" s="12"/>
      <c r="L1473" s="13"/>
      <c r="M1473" s="14"/>
      <c r="N1473" s="15"/>
    </row>
    <row r="1474" spans="1:14" s="17" customFormat="1">
      <c r="A1474" s="12"/>
      <c r="B1474" s="13"/>
      <c r="C1474" s="14"/>
      <c r="D1474" s="15"/>
      <c r="E1474" s="16"/>
      <c r="F1474" s="16"/>
      <c r="I1474" s="18"/>
      <c r="J1474" s="12"/>
      <c r="K1474" s="12"/>
      <c r="L1474" s="13"/>
      <c r="M1474" s="14"/>
      <c r="N1474" s="15"/>
    </row>
    <row r="1475" spans="1:14" s="17" customFormat="1">
      <c r="A1475" s="12"/>
      <c r="B1475" s="13"/>
      <c r="C1475" s="14"/>
      <c r="D1475" s="15"/>
      <c r="E1475" s="16"/>
      <c r="F1475" s="16"/>
      <c r="I1475" s="18"/>
      <c r="J1475" s="12"/>
      <c r="K1475" s="12"/>
      <c r="L1475" s="13"/>
      <c r="M1475" s="14"/>
      <c r="N1475" s="15"/>
    </row>
    <row r="1476" spans="1:14" s="17" customFormat="1">
      <c r="A1476" s="12"/>
      <c r="B1476" s="13"/>
      <c r="C1476" s="14"/>
      <c r="D1476" s="15"/>
      <c r="E1476" s="16"/>
      <c r="F1476" s="16"/>
      <c r="I1476" s="18"/>
      <c r="J1476" s="12"/>
      <c r="K1476" s="12"/>
      <c r="L1476" s="13"/>
      <c r="M1476" s="14"/>
      <c r="N1476" s="15"/>
    </row>
    <row r="1477" spans="1:14" s="17" customFormat="1">
      <c r="A1477" s="12"/>
      <c r="B1477" s="13"/>
      <c r="C1477" s="14"/>
      <c r="D1477" s="15"/>
      <c r="E1477" s="16"/>
      <c r="F1477" s="16"/>
      <c r="I1477" s="18"/>
      <c r="J1477" s="12"/>
      <c r="K1477" s="12"/>
      <c r="L1477" s="13"/>
      <c r="M1477" s="14"/>
      <c r="N1477" s="15"/>
    </row>
    <row r="1478" spans="1:14" s="17" customFormat="1">
      <c r="A1478" s="12"/>
      <c r="B1478" s="13"/>
      <c r="C1478" s="14"/>
      <c r="D1478" s="15"/>
      <c r="E1478" s="16"/>
      <c r="F1478" s="16"/>
      <c r="I1478" s="18"/>
      <c r="J1478" s="12"/>
      <c r="K1478" s="12"/>
      <c r="L1478" s="13"/>
      <c r="M1478" s="14"/>
      <c r="N1478" s="15"/>
    </row>
    <row r="1479" spans="1:14" s="17" customFormat="1">
      <c r="A1479" s="12"/>
      <c r="B1479" s="13"/>
      <c r="C1479" s="14"/>
      <c r="D1479" s="15"/>
      <c r="E1479" s="16"/>
      <c r="F1479" s="16"/>
      <c r="I1479" s="18"/>
      <c r="J1479" s="12"/>
      <c r="K1479" s="12"/>
      <c r="L1479" s="13"/>
      <c r="M1479" s="14"/>
      <c r="N1479" s="15"/>
    </row>
    <row r="1480" spans="1:14" s="17" customFormat="1">
      <c r="A1480" s="12"/>
      <c r="B1480" s="13"/>
      <c r="C1480" s="14"/>
      <c r="D1480" s="15"/>
      <c r="E1480" s="16"/>
      <c r="F1480" s="16"/>
      <c r="I1480" s="18"/>
      <c r="J1480" s="12"/>
      <c r="K1480" s="12"/>
      <c r="L1480" s="13"/>
      <c r="M1480" s="14"/>
      <c r="N1480" s="15"/>
    </row>
    <row r="1481" spans="1:14" s="17" customFormat="1">
      <c r="A1481" s="12"/>
      <c r="B1481" s="13"/>
      <c r="C1481" s="14"/>
      <c r="D1481" s="15"/>
      <c r="E1481" s="16"/>
      <c r="F1481" s="16"/>
      <c r="I1481" s="18"/>
      <c r="J1481" s="12"/>
      <c r="K1481" s="12"/>
      <c r="L1481" s="13"/>
      <c r="M1481" s="14"/>
      <c r="N1481" s="15"/>
    </row>
    <row r="1482" spans="1:14" s="17" customFormat="1">
      <c r="A1482" s="12"/>
      <c r="B1482" s="13"/>
      <c r="C1482" s="14"/>
      <c r="D1482" s="15"/>
      <c r="E1482" s="16"/>
      <c r="F1482" s="16"/>
      <c r="I1482" s="18"/>
      <c r="J1482" s="12"/>
      <c r="K1482" s="12"/>
      <c r="L1482" s="13"/>
      <c r="M1482" s="14"/>
      <c r="N1482" s="15"/>
    </row>
    <row r="1483" spans="1:14" s="17" customFormat="1">
      <c r="A1483" s="12"/>
      <c r="B1483" s="13"/>
      <c r="C1483" s="14"/>
      <c r="D1483" s="15"/>
      <c r="E1483" s="16"/>
      <c r="F1483" s="16"/>
      <c r="I1483" s="18"/>
      <c r="J1483" s="12"/>
      <c r="K1483" s="12"/>
      <c r="L1483" s="13"/>
      <c r="M1483" s="14"/>
      <c r="N1483" s="15"/>
    </row>
    <row r="1484" spans="1:14" s="17" customFormat="1">
      <c r="A1484" s="12"/>
      <c r="B1484" s="13"/>
      <c r="C1484" s="14"/>
      <c r="D1484" s="15"/>
      <c r="E1484" s="16"/>
      <c r="F1484" s="16"/>
      <c r="I1484" s="18"/>
      <c r="J1484" s="12"/>
      <c r="K1484" s="12"/>
      <c r="L1484" s="13"/>
      <c r="M1484" s="14"/>
      <c r="N1484" s="15"/>
    </row>
    <row r="1485" spans="1:14" s="17" customFormat="1">
      <c r="A1485" s="12"/>
      <c r="B1485" s="13"/>
      <c r="C1485" s="14"/>
      <c r="D1485" s="15"/>
      <c r="E1485" s="16"/>
      <c r="F1485" s="16"/>
      <c r="I1485" s="18"/>
      <c r="J1485" s="12"/>
      <c r="K1485" s="12"/>
      <c r="L1485" s="13"/>
      <c r="M1485" s="14"/>
      <c r="N1485" s="15"/>
    </row>
    <row r="1486" spans="1:14" s="17" customFormat="1">
      <c r="A1486" s="12"/>
      <c r="B1486" s="13"/>
      <c r="C1486" s="14"/>
      <c r="D1486" s="15"/>
      <c r="E1486" s="16"/>
      <c r="F1486" s="16"/>
      <c r="I1486" s="18"/>
      <c r="J1486" s="12"/>
      <c r="K1486" s="12"/>
      <c r="L1486" s="13"/>
      <c r="M1486" s="14"/>
      <c r="N1486" s="15"/>
    </row>
    <row r="1487" spans="1:14" s="17" customFormat="1">
      <c r="A1487" s="12"/>
      <c r="B1487" s="13"/>
      <c r="C1487" s="14"/>
      <c r="D1487" s="15"/>
      <c r="E1487" s="16"/>
      <c r="F1487" s="16"/>
      <c r="I1487" s="18"/>
      <c r="J1487" s="12"/>
      <c r="K1487" s="12"/>
      <c r="L1487" s="13"/>
      <c r="M1487" s="14"/>
      <c r="N1487" s="15"/>
    </row>
    <row r="1488" spans="1:14" s="17" customFormat="1">
      <c r="A1488" s="12"/>
      <c r="B1488" s="13"/>
      <c r="C1488" s="14"/>
      <c r="D1488" s="15"/>
      <c r="E1488" s="16"/>
      <c r="F1488" s="16"/>
      <c r="I1488" s="18"/>
      <c r="J1488" s="12"/>
      <c r="K1488" s="12"/>
      <c r="L1488" s="13"/>
      <c r="M1488" s="14"/>
      <c r="N1488" s="15"/>
    </row>
    <row r="1489" spans="1:14" s="17" customFormat="1">
      <c r="A1489" s="12"/>
      <c r="B1489" s="13"/>
      <c r="C1489" s="14"/>
      <c r="D1489" s="15"/>
      <c r="E1489" s="16"/>
      <c r="F1489" s="16"/>
      <c r="I1489" s="18"/>
      <c r="J1489" s="12"/>
      <c r="K1489" s="12"/>
      <c r="L1489" s="13"/>
      <c r="M1489" s="14"/>
      <c r="N1489" s="15"/>
    </row>
    <row r="1490" spans="1:14" s="17" customFormat="1">
      <c r="A1490" s="12"/>
      <c r="B1490" s="13"/>
      <c r="C1490" s="14"/>
      <c r="D1490" s="15"/>
      <c r="E1490" s="16"/>
      <c r="F1490" s="16"/>
      <c r="I1490" s="18"/>
      <c r="J1490" s="12"/>
      <c r="K1490" s="12"/>
      <c r="L1490" s="13"/>
      <c r="M1490" s="14"/>
      <c r="N1490" s="15"/>
    </row>
    <row r="1491" spans="1:14" s="17" customFormat="1">
      <c r="A1491" s="12"/>
      <c r="B1491" s="13"/>
      <c r="C1491" s="14"/>
      <c r="D1491" s="15"/>
      <c r="E1491" s="16"/>
      <c r="F1491" s="16"/>
      <c r="I1491" s="18"/>
      <c r="J1491" s="12"/>
      <c r="K1491" s="12"/>
      <c r="L1491" s="13"/>
      <c r="M1491" s="14"/>
      <c r="N1491" s="15"/>
    </row>
    <row r="1492" spans="1:14" s="17" customFormat="1">
      <c r="A1492" s="12"/>
      <c r="B1492" s="13"/>
      <c r="C1492" s="14"/>
      <c r="D1492" s="15"/>
      <c r="E1492" s="16"/>
      <c r="F1492" s="16"/>
      <c r="I1492" s="18"/>
      <c r="J1492" s="12"/>
      <c r="K1492" s="12"/>
      <c r="L1492" s="13"/>
      <c r="M1492" s="14"/>
      <c r="N1492" s="15"/>
    </row>
    <row r="1493" spans="1:14" s="17" customFormat="1">
      <c r="A1493" s="12"/>
      <c r="B1493" s="13"/>
      <c r="C1493" s="14"/>
      <c r="D1493" s="15"/>
      <c r="E1493" s="16"/>
      <c r="F1493" s="16"/>
      <c r="I1493" s="18"/>
      <c r="J1493" s="12"/>
      <c r="K1493" s="12"/>
      <c r="L1493" s="13"/>
      <c r="M1493" s="14"/>
      <c r="N1493" s="15"/>
    </row>
    <row r="1494" spans="1:14" s="17" customFormat="1">
      <c r="A1494" s="12"/>
      <c r="B1494" s="13"/>
      <c r="C1494" s="14"/>
      <c r="D1494" s="15"/>
      <c r="E1494" s="16"/>
      <c r="F1494" s="16"/>
      <c r="I1494" s="18"/>
      <c r="J1494" s="12"/>
      <c r="K1494" s="12"/>
      <c r="L1494" s="13"/>
      <c r="M1494" s="14"/>
      <c r="N1494" s="15"/>
    </row>
    <row r="1495" spans="1:14" s="17" customFormat="1">
      <c r="A1495" s="12"/>
      <c r="B1495" s="13"/>
      <c r="C1495" s="14"/>
      <c r="D1495" s="15"/>
      <c r="E1495" s="16"/>
      <c r="F1495" s="16"/>
      <c r="I1495" s="18"/>
      <c r="J1495" s="12"/>
      <c r="K1495" s="12"/>
      <c r="L1495" s="13"/>
      <c r="M1495" s="14"/>
      <c r="N1495" s="15"/>
    </row>
    <row r="1496" spans="1:14" s="17" customFormat="1">
      <c r="A1496" s="12"/>
      <c r="B1496" s="13"/>
      <c r="C1496" s="14"/>
      <c r="D1496" s="15"/>
      <c r="E1496" s="16"/>
      <c r="F1496" s="16"/>
      <c r="I1496" s="18"/>
      <c r="J1496" s="12"/>
      <c r="K1496" s="12"/>
      <c r="L1496" s="13"/>
      <c r="M1496" s="14"/>
      <c r="N1496" s="15"/>
    </row>
    <row r="1497" spans="1:14" s="17" customFormat="1">
      <c r="A1497" s="12"/>
      <c r="B1497" s="13"/>
      <c r="C1497" s="14"/>
      <c r="D1497" s="15"/>
      <c r="E1497" s="16"/>
      <c r="F1497" s="16"/>
      <c r="I1497" s="18"/>
      <c r="J1497" s="12"/>
      <c r="K1497" s="12"/>
      <c r="L1497" s="13"/>
      <c r="M1497" s="14"/>
      <c r="N1497" s="15"/>
    </row>
    <row r="1498" spans="1:14" s="17" customFormat="1">
      <c r="A1498" s="12"/>
      <c r="B1498" s="13"/>
      <c r="C1498" s="14"/>
      <c r="D1498" s="15"/>
      <c r="E1498" s="16"/>
      <c r="F1498" s="16"/>
      <c r="I1498" s="18"/>
      <c r="J1498" s="12"/>
      <c r="K1498" s="12"/>
      <c r="L1498" s="13"/>
      <c r="M1498" s="14"/>
      <c r="N1498" s="15"/>
    </row>
    <row r="1499" spans="1:14" s="17" customFormat="1">
      <c r="A1499" s="12"/>
      <c r="B1499" s="13"/>
      <c r="C1499" s="14"/>
      <c r="D1499" s="15"/>
      <c r="E1499" s="16"/>
      <c r="F1499" s="16"/>
      <c r="I1499" s="18"/>
      <c r="J1499" s="12"/>
      <c r="K1499" s="12"/>
      <c r="L1499" s="13"/>
      <c r="M1499" s="14"/>
      <c r="N1499" s="15"/>
    </row>
    <row r="1500" spans="1:14" s="17" customFormat="1">
      <c r="A1500" s="12"/>
      <c r="B1500" s="13"/>
      <c r="C1500" s="14"/>
      <c r="D1500" s="15"/>
      <c r="E1500" s="16"/>
      <c r="F1500" s="16"/>
      <c r="I1500" s="18"/>
      <c r="J1500" s="12"/>
      <c r="K1500" s="12"/>
      <c r="L1500" s="13"/>
      <c r="M1500" s="14"/>
      <c r="N1500" s="15"/>
    </row>
    <row r="1501" spans="1:14" s="17" customFormat="1">
      <c r="A1501" s="12"/>
      <c r="B1501" s="13"/>
      <c r="C1501" s="14"/>
      <c r="D1501" s="15"/>
      <c r="E1501" s="16"/>
      <c r="F1501" s="16"/>
      <c r="I1501" s="18"/>
      <c r="J1501" s="12"/>
      <c r="K1501" s="12"/>
      <c r="L1501" s="13"/>
      <c r="M1501" s="14"/>
      <c r="N1501" s="15"/>
    </row>
    <row r="1502" spans="1:14" s="17" customFormat="1">
      <c r="A1502" s="12"/>
      <c r="B1502" s="13"/>
      <c r="C1502" s="14"/>
      <c r="D1502" s="15"/>
      <c r="E1502" s="16"/>
      <c r="F1502" s="16"/>
      <c r="I1502" s="18"/>
      <c r="J1502" s="12"/>
      <c r="K1502" s="12"/>
      <c r="L1502" s="13"/>
      <c r="M1502" s="14"/>
      <c r="N1502" s="15"/>
    </row>
    <row r="1503" spans="1:14" s="17" customFormat="1">
      <c r="A1503" s="12"/>
      <c r="B1503" s="13"/>
      <c r="C1503" s="14"/>
      <c r="D1503" s="15"/>
      <c r="E1503" s="16"/>
      <c r="F1503" s="16"/>
      <c r="I1503" s="18"/>
      <c r="J1503" s="12"/>
      <c r="K1503" s="12"/>
      <c r="L1503" s="13"/>
      <c r="M1503" s="14"/>
      <c r="N1503" s="15"/>
    </row>
    <row r="1504" spans="1:14" s="17" customFormat="1">
      <c r="A1504" s="12"/>
      <c r="B1504" s="13"/>
      <c r="C1504" s="14"/>
      <c r="D1504" s="15"/>
      <c r="E1504" s="16"/>
      <c r="F1504" s="16"/>
      <c r="I1504" s="18"/>
      <c r="J1504" s="12"/>
      <c r="K1504" s="12"/>
      <c r="L1504" s="13"/>
      <c r="M1504" s="14"/>
      <c r="N1504" s="15"/>
    </row>
    <row r="1505" spans="1:14" s="17" customFormat="1">
      <c r="A1505" s="12"/>
      <c r="B1505" s="13"/>
      <c r="C1505" s="14"/>
      <c r="D1505" s="15"/>
      <c r="E1505" s="16"/>
      <c r="F1505" s="16"/>
      <c r="I1505" s="18"/>
      <c r="J1505" s="12"/>
      <c r="K1505" s="12"/>
      <c r="L1505" s="13"/>
      <c r="M1505" s="14"/>
      <c r="N1505" s="15"/>
    </row>
    <row r="1506" spans="1:14" s="17" customFormat="1">
      <c r="A1506" s="12"/>
      <c r="B1506" s="13"/>
      <c r="C1506" s="14"/>
      <c r="D1506" s="15"/>
      <c r="E1506" s="16"/>
      <c r="F1506" s="16"/>
      <c r="I1506" s="18"/>
      <c r="J1506" s="12"/>
      <c r="K1506" s="12"/>
      <c r="L1506" s="13"/>
      <c r="M1506" s="14"/>
      <c r="N1506" s="15"/>
    </row>
    <row r="1507" spans="1:14" s="17" customFormat="1">
      <c r="A1507" s="12"/>
      <c r="B1507" s="13"/>
      <c r="C1507" s="14"/>
      <c r="D1507" s="15"/>
      <c r="E1507" s="16"/>
      <c r="F1507" s="16"/>
      <c r="I1507" s="18"/>
      <c r="J1507" s="12"/>
      <c r="K1507" s="12"/>
      <c r="L1507" s="13"/>
      <c r="M1507" s="14"/>
      <c r="N1507" s="15"/>
    </row>
    <row r="1508" spans="1:14" s="17" customFormat="1">
      <c r="A1508" s="12"/>
      <c r="B1508" s="13"/>
      <c r="C1508" s="14"/>
      <c r="D1508" s="15"/>
      <c r="E1508" s="16"/>
      <c r="F1508" s="16"/>
      <c r="I1508" s="18"/>
      <c r="J1508" s="12"/>
      <c r="K1508" s="12"/>
      <c r="L1508" s="13"/>
      <c r="M1508" s="14"/>
      <c r="N1508" s="15"/>
    </row>
    <row r="1509" spans="1:14" s="17" customFormat="1">
      <c r="A1509" s="12"/>
      <c r="B1509" s="13"/>
      <c r="C1509" s="14"/>
      <c r="D1509" s="15"/>
      <c r="E1509" s="16"/>
      <c r="F1509" s="16"/>
      <c r="I1509" s="18"/>
      <c r="J1509" s="12"/>
      <c r="K1509" s="12"/>
      <c r="L1509" s="13"/>
      <c r="M1509" s="14"/>
      <c r="N1509" s="15"/>
    </row>
    <row r="1510" spans="1:14" s="17" customFormat="1">
      <c r="A1510" s="12"/>
      <c r="B1510" s="13"/>
      <c r="C1510" s="14"/>
      <c r="D1510" s="15"/>
      <c r="E1510" s="16"/>
      <c r="F1510" s="16"/>
      <c r="I1510" s="18"/>
      <c r="J1510" s="12"/>
      <c r="K1510" s="12"/>
      <c r="L1510" s="13"/>
      <c r="M1510" s="14"/>
      <c r="N1510" s="15"/>
    </row>
    <row r="1511" spans="1:14" s="17" customFormat="1">
      <c r="A1511" s="12"/>
      <c r="B1511" s="13"/>
      <c r="C1511" s="14"/>
      <c r="D1511" s="15"/>
      <c r="E1511" s="16"/>
      <c r="F1511" s="16"/>
      <c r="I1511" s="18"/>
      <c r="J1511" s="12"/>
      <c r="K1511" s="12"/>
      <c r="L1511" s="13"/>
      <c r="M1511" s="14"/>
      <c r="N1511" s="15"/>
    </row>
    <row r="1512" spans="1:14" s="17" customFormat="1">
      <c r="A1512" s="12"/>
      <c r="B1512" s="13"/>
      <c r="C1512" s="14"/>
      <c r="D1512" s="15"/>
      <c r="E1512" s="16"/>
      <c r="F1512" s="16"/>
      <c r="I1512" s="18"/>
      <c r="J1512" s="12"/>
      <c r="K1512" s="12"/>
      <c r="L1512" s="13"/>
      <c r="M1512" s="14"/>
      <c r="N1512" s="15"/>
    </row>
    <row r="1513" spans="1:14" s="17" customFormat="1">
      <c r="A1513" s="12"/>
      <c r="B1513" s="13"/>
      <c r="C1513" s="14"/>
      <c r="D1513" s="15"/>
      <c r="E1513" s="16"/>
      <c r="F1513" s="16"/>
      <c r="G1513" s="25"/>
      <c r="H1513" s="25"/>
      <c r="I1513" s="95"/>
      <c r="J1513" s="12"/>
      <c r="K1513" s="12"/>
      <c r="L1513" s="13"/>
      <c r="M1513" s="14"/>
      <c r="N1513" s="15"/>
    </row>
    <row r="1514" spans="1:14" s="17" customFormat="1">
      <c r="A1514" s="12"/>
      <c r="B1514" s="13"/>
      <c r="C1514" s="14"/>
      <c r="D1514" s="15"/>
      <c r="E1514" s="16"/>
      <c r="F1514" s="16"/>
      <c r="G1514" s="25"/>
      <c r="H1514" s="25"/>
      <c r="I1514" s="95"/>
      <c r="J1514" s="12"/>
      <c r="K1514" s="12"/>
      <c r="L1514" s="13"/>
      <c r="M1514" s="14"/>
      <c r="N1514" s="15"/>
    </row>
    <row r="1515" spans="1:14" s="17" customFormat="1">
      <c r="A1515" s="12"/>
      <c r="B1515" s="13"/>
      <c r="C1515" s="14"/>
      <c r="D1515" s="15"/>
      <c r="E1515" s="16"/>
      <c r="F1515" s="16"/>
      <c r="G1515" s="34"/>
      <c r="H1515" s="34"/>
      <c r="I1515" s="95"/>
      <c r="J1515" s="12"/>
      <c r="K1515" s="12"/>
      <c r="L1515" s="13"/>
      <c r="M1515" s="14"/>
      <c r="N1515" s="15"/>
    </row>
    <row r="1516" spans="1:14" s="17" customFormat="1">
      <c r="A1516" s="12"/>
      <c r="B1516" s="13"/>
      <c r="C1516" s="14"/>
      <c r="D1516" s="15"/>
      <c r="E1516" s="16"/>
      <c r="F1516" s="16"/>
      <c r="G1516" s="34"/>
      <c r="H1516" s="34"/>
      <c r="I1516" s="95"/>
      <c r="J1516" s="12"/>
      <c r="K1516" s="12"/>
      <c r="L1516" s="13"/>
      <c r="M1516" s="14"/>
      <c r="N1516" s="15"/>
    </row>
    <row r="1517" spans="1:14" s="17" customFormat="1">
      <c r="A1517" s="12"/>
      <c r="B1517" s="13"/>
      <c r="C1517" s="14"/>
      <c r="D1517" s="15"/>
      <c r="E1517" s="16"/>
      <c r="F1517" s="16"/>
      <c r="G1517" s="34"/>
      <c r="H1517" s="34"/>
      <c r="I1517" s="95"/>
      <c r="J1517" s="12"/>
      <c r="K1517" s="12"/>
      <c r="L1517" s="13"/>
      <c r="M1517" s="14"/>
      <c r="N1517" s="15"/>
    </row>
    <row r="1518" spans="1:14" s="17" customFormat="1">
      <c r="A1518" s="12"/>
      <c r="B1518" s="13"/>
      <c r="C1518" s="14"/>
      <c r="D1518" s="15"/>
      <c r="E1518" s="16"/>
      <c r="F1518" s="16"/>
      <c r="G1518" s="34"/>
      <c r="H1518" s="34"/>
      <c r="I1518" s="95"/>
      <c r="J1518" s="12"/>
      <c r="K1518" s="12"/>
      <c r="L1518" s="13"/>
      <c r="M1518" s="14"/>
      <c r="N1518" s="15"/>
    </row>
    <row r="1519" spans="1:14" s="17" customFormat="1">
      <c r="A1519" s="12"/>
      <c r="B1519" s="13"/>
      <c r="C1519" s="14"/>
      <c r="D1519" s="15"/>
      <c r="E1519" s="16"/>
      <c r="F1519" s="16"/>
      <c r="G1519" s="34"/>
      <c r="H1519" s="34"/>
      <c r="I1519" s="95"/>
      <c r="J1519" s="12"/>
      <c r="K1519" s="12"/>
      <c r="L1519" s="13"/>
      <c r="M1519" s="14"/>
      <c r="N1519" s="15"/>
    </row>
    <row r="1520" spans="1:14" s="17" customFormat="1">
      <c r="A1520" s="12"/>
      <c r="B1520" s="13"/>
      <c r="C1520" s="14"/>
      <c r="D1520" s="15"/>
      <c r="E1520" s="16"/>
      <c r="F1520" s="16"/>
      <c r="G1520" s="34"/>
      <c r="H1520" s="34"/>
      <c r="I1520" s="95"/>
      <c r="J1520" s="12"/>
      <c r="K1520" s="12"/>
      <c r="L1520" s="13"/>
      <c r="M1520" s="14"/>
      <c r="N1520" s="15"/>
    </row>
    <row r="1521" spans="1:14" s="17" customFormat="1">
      <c r="A1521" s="12"/>
      <c r="B1521" s="13"/>
      <c r="C1521" s="14"/>
      <c r="D1521" s="15"/>
      <c r="E1521" s="16"/>
      <c r="F1521" s="16"/>
      <c r="G1521" s="34"/>
      <c r="H1521" s="34"/>
      <c r="I1521" s="95"/>
      <c r="J1521" s="12"/>
      <c r="K1521" s="12"/>
      <c r="L1521" s="13"/>
      <c r="M1521" s="14"/>
      <c r="N1521" s="15"/>
    </row>
    <row r="1522" spans="1:14" s="17" customFormat="1">
      <c r="A1522" s="12"/>
      <c r="B1522" s="13"/>
      <c r="C1522" s="14"/>
      <c r="D1522" s="15"/>
      <c r="E1522" s="16"/>
      <c r="F1522" s="16"/>
      <c r="I1522" s="18"/>
      <c r="J1522" s="12"/>
      <c r="K1522" s="12"/>
      <c r="L1522" s="13"/>
      <c r="M1522" s="14"/>
      <c r="N1522" s="15"/>
    </row>
    <row r="1523" spans="1:14" s="17" customFormat="1">
      <c r="A1523" s="12"/>
      <c r="B1523" s="13"/>
      <c r="C1523" s="14"/>
      <c r="D1523" s="15"/>
      <c r="E1523" s="16"/>
      <c r="F1523" s="16"/>
      <c r="I1523" s="18"/>
      <c r="J1523" s="12"/>
      <c r="K1523" s="12"/>
      <c r="L1523" s="13"/>
      <c r="M1523" s="14"/>
      <c r="N1523" s="15"/>
    </row>
    <row r="1524" spans="1:14" s="17" customFormat="1">
      <c r="A1524" s="12"/>
      <c r="B1524" s="13"/>
      <c r="C1524" s="14"/>
      <c r="D1524" s="15"/>
      <c r="E1524" s="16"/>
      <c r="F1524" s="16"/>
      <c r="I1524" s="18"/>
      <c r="J1524" s="12"/>
      <c r="K1524" s="12"/>
      <c r="L1524" s="13"/>
      <c r="M1524" s="14"/>
      <c r="N1524" s="15"/>
    </row>
    <row r="1525" spans="1:14" s="17" customFormat="1">
      <c r="A1525" s="12"/>
      <c r="B1525" s="13"/>
      <c r="C1525" s="14"/>
      <c r="D1525" s="15"/>
      <c r="E1525" s="16"/>
      <c r="F1525" s="16"/>
      <c r="I1525" s="18"/>
      <c r="J1525" s="12"/>
      <c r="K1525" s="12"/>
      <c r="L1525" s="13"/>
      <c r="M1525" s="14"/>
      <c r="N1525" s="15"/>
    </row>
    <row r="1526" spans="1:14" s="17" customFormat="1">
      <c r="A1526" s="12"/>
      <c r="B1526" s="13"/>
      <c r="C1526" s="14"/>
      <c r="D1526" s="15"/>
      <c r="E1526" s="16"/>
      <c r="F1526" s="16"/>
      <c r="I1526" s="18"/>
      <c r="J1526" s="12"/>
      <c r="K1526" s="12"/>
      <c r="L1526" s="13"/>
      <c r="M1526" s="14"/>
      <c r="N1526" s="15"/>
    </row>
    <row r="1527" spans="1:14" s="17" customFormat="1">
      <c r="A1527" s="12"/>
      <c r="B1527" s="13"/>
      <c r="C1527" s="14"/>
      <c r="D1527" s="15"/>
      <c r="E1527" s="16"/>
      <c r="F1527" s="16"/>
      <c r="I1527" s="18"/>
      <c r="J1527" s="12"/>
      <c r="K1527" s="12"/>
      <c r="L1527" s="13"/>
      <c r="M1527" s="14"/>
      <c r="N1527" s="15"/>
    </row>
    <row r="1528" spans="1:14" s="17" customFormat="1">
      <c r="A1528" s="12"/>
      <c r="B1528" s="13"/>
      <c r="C1528" s="14"/>
      <c r="D1528" s="15"/>
      <c r="E1528" s="16"/>
      <c r="F1528" s="16"/>
      <c r="I1528" s="18"/>
      <c r="J1528" s="12"/>
      <c r="K1528" s="12"/>
      <c r="L1528" s="13"/>
      <c r="M1528" s="14"/>
      <c r="N1528" s="15"/>
    </row>
    <row r="1529" spans="1:14" s="17" customFormat="1">
      <c r="A1529" s="12"/>
      <c r="B1529" s="13"/>
      <c r="C1529" s="14"/>
      <c r="D1529" s="15"/>
      <c r="E1529" s="16"/>
      <c r="F1529" s="16"/>
      <c r="I1529" s="18"/>
      <c r="J1529" s="12"/>
      <c r="K1529" s="12"/>
      <c r="L1529" s="13"/>
      <c r="M1529" s="14"/>
      <c r="N1529" s="15"/>
    </row>
    <row r="1530" spans="1:14" s="17" customFormat="1">
      <c r="A1530" s="12"/>
      <c r="B1530" s="13"/>
      <c r="C1530" s="14"/>
      <c r="D1530" s="15"/>
      <c r="E1530" s="16"/>
      <c r="F1530" s="16"/>
      <c r="I1530" s="18"/>
      <c r="J1530" s="12"/>
      <c r="K1530" s="12"/>
      <c r="L1530" s="13"/>
      <c r="M1530" s="14"/>
      <c r="N1530" s="15"/>
    </row>
    <row r="1531" spans="1:14" s="17" customFormat="1">
      <c r="A1531" s="12"/>
      <c r="B1531" s="13"/>
      <c r="C1531" s="14"/>
      <c r="D1531" s="15"/>
      <c r="E1531" s="16"/>
      <c r="F1531" s="16"/>
      <c r="I1531" s="18"/>
      <c r="J1531" s="12"/>
      <c r="K1531" s="12"/>
      <c r="L1531" s="13"/>
      <c r="M1531" s="14"/>
      <c r="N1531" s="15"/>
    </row>
    <row r="1532" spans="1:14" s="17" customFormat="1">
      <c r="A1532" s="12"/>
      <c r="B1532" s="13"/>
      <c r="C1532" s="14"/>
      <c r="D1532" s="15"/>
      <c r="E1532" s="16"/>
      <c r="F1532" s="16"/>
      <c r="I1532" s="18"/>
      <c r="J1532" s="12"/>
      <c r="K1532" s="12"/>
      <c r="L1532" s="13"/>
      <c r="M1532" s="14"/>
      <c r="N1532" s="15"/>
    </row>
    <row r="1533" spans="1:14" s="17" customFormat="1">
      <c r="A1533" s="12"/>
      <c r="B1533" s="13"/>
      <c r="C1533" s="14"/>
      <c r="D1533" s="15"/>
      <c r="E1533" s="16"/>
      <c r="F1533" s="16"/>
      <c r="I1533" s="18"/>
      <c r="J1533" s="12"/>
      <c r="K1533" s="12"/>
      <c r="L1533" s="13"/>
      <c r="M1533" s="14"/>
      <c r="N1533" s="15"/>
    </row>
    <row r="1534" spans="1:14" s="17" customFormat="1">
      <c r="A1534" s="12"/>
      <c r="B1534" s="13"/>
      <c r="C1534" s="14"/>
      <c r="D1534" s="15"/>
      <c r="E1534" s="16"/>
      <c r="F1534" s="16"/>
      <c r="I1534" s="18"/>
      <c r="J1534" s="12"/>
      <c r="K1534" s="12"/>
      <c r="L1534" s="13"/>
      <c r="M1534" s="14"/>
      <c r="N1534" s="15"/>
    </row>
    <row r="1535" spans="1:14" s="17" customFormat="1">
      <c r="A1535" s="12"/>
      <c r="B1535" s="13"/>
      <c r="C1535" s="14"/>
      <c r="D1535" s="15"/>
      <c r="E1535" s="16"/>
      <c r="F1535" s="16"/>
      <c r="I1535" s="18"/>
      <c r="J1535" s="12"/>
      <c r="K1535" s="12"/>
      <c r="L1535" s="13"/>
      <c r="M1535" s="14"/>
      <c r="N1535" s="15"/>
    </row>
    <row r="1536" spans="1:14" s="17" customFormat="1">
      <c r="A1536" s="12"/>
      <c r="B1536" s="13"/>
      <c r="C1536" s="14"/>
      <c r="D1536" s="15"/>
      <c r="E1536" s="16"/>
      <c r="F1536" s="16"/>
      <c r="I1536" s="18"/>
      <c r="J1536" s="12"/>
      <c r="K1536" s="12"/>
      <c r="L1536" s="13"/>
      <c r="M1536" s="14"/>
      <c r="N1536" s="15"/>
    </row>
    <row r="1537" spans="1:14" s="17" customFormat="1">
      <c r="A1537" s="12"/>
      <c r="B1537" s="13"/>
      <c r="C1537" s="14"/>
      <c r="D1537" s="15"/>
      <c r="E1537" s="16"/>
      <c r="F1537" s="16"/>
      <c r="I1537" s="18"/>
      <c r="J1537" s="12"/>
      <c r="K1537" s="12"/>
      <c r="L1537" s="13"/>
      <c r="M1537" s="14"/>
      <c r="N1537" s="15"/>
    </row>
    <row r="1538" spans="1:14" s="17" customFormat="1">
      <c r="A1538" s="12"/>
      <c r="B1538" s="13"/>
      <c r="C1538" s="14"/>
      <c r="D1538" s="15"/>
      <c r="E1538" s="16"/>
      <c r="F1538" s="16"/>
      <c r="I1538" s="18"/>
      <c r="J1538" s="12"/>
      <c r="K1538" s="12"/>
      <c r="L1538" s="13"/>
      <c r="M1538" s="14"/>
      <c r="N1538" s="15"/>
    </row>
    <row r="1539" spans="1:14" s="17" customFormat="1">
      <c r="A1539" s="12"/>
      <c r="B1539" s="13"/>
      <c r="C1539" s="14"/>
      <c r="D1539" s="15"/>
      <c r="E1539" s="16"/>
      <c r="F1539" s="16"/>
      <c r="I1539" s="18"/>
      <c r="J1539" s="12"/>
      <c r="K1539" s="12"/>
      <c r="L1539" s="13"/>
      <c r="M1539" s="14"/>
      <c r="N1539" s="15"/>
    </row>
    <row r="1540" spans="1:14" s="17" customFormat="1">
      <c r="A1540" s="12"/>
      <c r="B1540" s="13"/>
      <c r="C1540" s="14"/>
      <c r="D1540" s="15"/>
      <c r="E1540" s="16"/>
      <c r="F1540" s="16"/>
      <c r="I1540" s="18"/>
      <c r="J1540" s="12"/>
      <c r="K1540" s="12"/>
      <c r="L1540" s="13"/>
      <c r="M1540" s="14"/>
      <c r="N1540" s="15"/>
    </row>
    <row r="1541" spans="1:14" s="17" customFormat="1">
      <c r="A1541" s="12"/>
      <c r="B1541" s="13"/>
      <c r="C1541" s="14"/>
      <c r="D1541" s="15"/>
      <c r="E1541" s="16"/>
      <c r="F1541" s="16"/>
      <c r="I1541" s="18"/>
      <c r="J1541" s="12"/>
      <c r="K1541" s="12"/>
      <c r="L1541" s="13"/>
      <c r="M1541" s="14"/>
      <c r="N1541" s="15"/>
    </row>
    <row r="1542" spans="1:14" s="17" customFormat="1">
      <c r="A1542" s="12"/>
      <c r="B1542" s="13"/>
      <c r="C1542" s="14"/>
      <c r="D1542" s="15"/>
      <c r="E1542" s="16"/>
      <c r="F1542" s="16"/>
      <c r="I1542" s="18"/>
      <c r="J1542" s="12"/>
      <c r="K1542" s="12"/>
      <c r="L1542" s="13"/>
      <c r="M1542" s="14"/>
      <c r="N1542" s="15"/>
    </row>
    <row r="1543" spans="1:14" s="17" customFormat="1">
      <c r="A1543" s="12"/>
      <c r="B1543" s="13"/>
      <c r="C1543" s="14"/>
      <c r="D1543" s="15"/>
      <c r="E1543" s="16"/>
      <c r="F1543" s="16"/>
      <c r="I1543" s="18"/>
      <c r="J1543" s="12"/>
      <c r="K1543" s="12"/>
      <c r="L1543" s="13"/>
      <c r="M1543" s="14"/>
      <c r="N1543" s="15"/>
    </row>
    <row r="1544" spans="1:14" s="17" customFormat="1">
      <c r="A1544" s="12"/>
      <c r="B1544" s="13"/>
      <c r="C1544" s="14"/>
      <c r="D1544" s="15"/>
      <c r="E1544" s="16"/>
      <c r="F1544" s="16"/>
      <c r="I1544" s="18"/>
      <c r="J1544" s="12"/>
      <c r="K1544" s="12"/>
      <c r="L1544" s="13"/>
      <c r="M1544" s="14"/>
      <c r="N1544" s="15"/>
    </row>
    <row r="1545" spans="1:14" s="17" customFormat="1">
      <c r="A1545" s="12"/>
      <c r="B1545" s="13"/>
      <c r="C1545" s="14"/>
      <c r="D1545" s="15"/>
      <c r="E1545" s="16"/>
      <c r="F1545" s="16"/>
      <c r="I1545" s="18"/>
      <c r="J1545" s="12"/>
      <c r="K1545" s="12"/>
      <c r="L1545" s="13"/>
      <c r="M1545" s="14"/>
      <c r="N1545" s="15"/>
    </row>
    <row r="1546" spans="1:14" s="17" customFormat="1">
      <c r="A1546" s="12"/>
      <c r="B1546" s="13"/>
      <c r="C1546" s="14"/>
      <c r="D1546" s="15"/>
      <c r="E1546" s="16"/>
      <c r="F1546" s="16"/>
      <c r="I1546" s="18"/>
      <c r="J1546" s="12"/>
      <c r="K1546" s="12"/>
      <c r="L1546" s="13"/>
      <c r="M1546" s="14"/>
      <c r="N1546" s="15"/>
    </row>
    <row r="1547" spans="1:14" s="17" customFormat="1">
      <c r="A1547" s="12"/>
      <c r="B1547" s="13"/>
      <c r="C1547" s="14"/>
      <c r="D1547" s="15"/>
      <c r="E1547" s="16"/>
      <c r="F1547" s="16"/>
      <c r="I1547" s="18"/>
      <c r="J1547" s="12"/>
      <c r="K1547" s="12"/>
      <c r="L1547" s="13"/>
      <c r="M1547" s="14"/>
      <c r="N1547" s="15"/>
    </row>
    <row r="1548" spans="1:14" s="17" customFormat="1">
      <c r="A1548" s="12"/>
      <c r="B1548" s="13"/>
      <c r="C1548" s="14"/>
      <c r="D1548" s="15"/>
      <c r="E1548" s="16"/>
      <c r="F1548" s="16"/>
      <c r="I1548" s="18"/>
      <c r="J1548" s="12"/>
      <c r="K1548" s="12"/>
      <c r="L1548" s="13"/>
      <c r="M1548" s="14"/>
      <c r="N1548" s="15"/>
    </row>
    <row r="1549" spans="1:14" s="17" customFormat="1">
      <c r="A1549" s="12"/>
      <c r="B1549" s="13"/>
      <c r="C1549" s="14"/>
      <c r="D1549" s="15"/>
      <c r="E1549" s="16"/>
      <c r="F1549" s="16"/>
      <c r="I1549" s="18"/>
      <c r="J1549" s="12"/>
      <c r="K1549" s="12"/>
      <c r="L1549" s="13"/>
      <c r="M1549" s="14"/>
      <c r="N1549" s="15"/>
    </row>
    <row r="1550" spans="1:14" s="17" customFormat="1">
      <c r="A1550" s="12"/>
      <c r="B1550" s="13"/>
      <c r="C1550" s="14"/>
      <c r="D1550" s="15"/>
      <c r="E1550" s="16"/>
      <c r="F1550" s="16"/>
      <c r="I1550" s="18"/>
      <c r="J1550" s="12"/>
      <c r="K1550" s="12"/>
      <c r="L1550" s="13"/>
      <c r="M1550" s="14"/>
      <c r="N1550" s="15"/>
    </row>
    <row r="1551" spans="1:14" s="17" customFormat="1">
      <c r="A1551" s="12"/>
      <c r="B1551" s="13"/>
      <c r="C1551" s="14"/>
      <c r="D1551" s="15"/>
      <c r="E1551" s="16"/>
      <c r="F1551" s="16"/>
      <c r="I1551" s="18"/>
      <c r="J1551" s="12"/>
      <c r="K1551" s="12"/>
      <c r="L1551" s="13"/>
      <c r="M1551" s="14"/>
      <c r="N1551" s="15"/>
    </row>
    <row r="1552" spans="1:14" s="17" customFormat="1">
      <c r="A1552" s="12"/>
      <c r="B1552" s="13"/>
      <c r="C1552" s="14"/>
      <c r="D1552" s="15"/>
      <c r="E1552" s="16"/>
      <c r="F1552" s="16"/>
      <c r="I1552" s="18"/>
      <c r="J1552" s="12"/>
      <c r="K1552" s="12"/>
      <c r="L1552" s="13"/>
      <c r="M1552" s="14"/>
      <c r="N1552" s="15"/>
    </row>
    <row r="1553" spans="1:14" s="17" customFormat="1">
      <c r="A1553" s="12"/>
      <c r="B1553" s="13"/>
      <c r="C1553" s="14"/>
      <c r="D1553" s="15"/>
      <c r="E1553" s="16"/>
      <c r="F1553" s="16"/>
      <c r="I1553" s="18"/>
      <c r="J1553" s="12"/>
      <c r="K1553" s="12"/>
      <c r="L1553" s="13"/>
      <c r="M1553" s="14"/>
      <c r="N1553" s="15"/>
    </row>
    <row r="1554" spans="1:14" s="17" customFormat="1">
      <c r="A1554" s="12"/>
      <c r="B1554" s="13"/>
      <c r="C1554" s="14"/>
      <c r="D1554" s="15"/>
      <c r="E1554" s="16"/>
      <c r="F1554" s="16"/>
      <c r="I1554" s="18"/>
      <c r="J1554" s="12"/>
      <c r="K1554" s="12"/>
      <c r="L1554" s="13"/>
      <c r="M1554" s="14"/>
      <c r="N1554" s="15"/>
    </row>
    <row r="1555" spans="1:14" s="17" customFormat="1">
      <c r="A1555" s="12"/>
      <c r="B1555" s="13"/>
      <c r="C1555" s="14"/>
      <c r="D1555" s="15"/>
      <c r="E1555" s="16"/>
      <c r="F1555" s="16"/>
      <c r="I1555" s="18"/>
      <c r="J1555" s="12"/>
      <c r="K1555" s="12"/>
      <c r="L1555" s="13"/>
      <c r="M1555" s="14"/>
      <c r="N1555" s="15"/>
    </row>
    <row r="1556" spans="1:14" s="17" customFormat="1">
      <c r="A1556" s="12"/>
      <c r="B1556" s="13"/>
      <c r="C1556" s="14"/>
      <c r="D1556" s="15"/>
      <c r="E1556" s="16"/>
      <c r="F1556" s="16"/>
      <c r="I1556" s="18"/>
      <c r="J1556" s="12"/>
      <c r="K1556" s="12"/>
      <c r="L1556" s="13"/>
      <c r="M1556" s="14"/>
      <c r="N1556" s="15"/>
    </row>
    <row r="1557" spans="1:14" s="17" customFormat="1">
      <c r="A1557" s="12"/>
      <c r="B1557" s="13"/>
      <c r="C1557" s="14"/>
      <c r="D1557" s="15"/>
      <c r="E1557" s="16"/>
      <c r="F1557" s="16"/>
      <c r="I1557" s="18"/>
      <c r="J1557" s="12"/>
      <c r="K1557" s="12"/>
      <c r="L1557" s="13"/>
      <c r="M1557" s="14"/>
      <c r="N1557" s="15"/>
    </row>
    <row r="1558" spans="1:14" s="17" customFormat="1">
      <c r="A1558" s="12"/>
      <c r="B1558" s="13"/>
      <c r="C1558" s="14"/>
      <c r="D1558" s="15"/>
      <c r="E1558" s="16"/>
      <c r="F1558" s="16"/>
      <c r="I1558" s="18"/>
      <c r="J1558" s="12"/>
      <c r="K1558" s="12"/>
      <c r="L1558" s="13"/>
      <c r="M1558" s="14"/>
      <c r="N1558" s="15"/>
    </row>
    <row r="1559" spans="1:14" s="17" customFormat="1">
      <c r="A1559" s="12"/>
      <c r="B1559" s="13"/>
      <c r="C1559" s="14"/>
      <c r="D1559" s="15"/>
      <c r="E1559" s="16"/>
      <c r="F1559" s="16"/>
      <c r="I1559" s="18"/>
      <c r="J1559" s="12"/>
      <c r="K1559" s="12"/>
      <c r="L1559" s="13"/>
      <c r="M1559" s="14"/>
      <c r="N1559" s="15"/>
    </row>
    <row r="1560" spans="1:14" s="17" customFormat="1">
      <c r="A1560" s="12"/>
      <c r="B1560" s="13"/>
      <c r="C1560" s="14"/>
      <c r="D1560" s="15"/>
      <c r="E1560" s="16"/>
      <c r="F1560" s="16"/>
      <c r="I1560" s="18"/>
      <c r="J1560" s="12"/>
      <c r="K1560" s="12"/>
      <c r="L1560" s="13"/>
      <c r="M1560" s="14"/>
      <c r="N1560" s="15"/>
    </row>
    <row r="1561" spans="1:14" s="17" customFormat="1">
      <c r="A1561" s="12"/>
      <c r="B1561" s="13"/>
      <c r="C1561" s="14"/>
      <c r="D1561" s="15"/>
      <c r="E1561" s="16"/>
      <c r="F1561" s="16"/>
      <c r="I1561" s="18"/>
      <c r="J1561" s="12"/>
      <c r="K1561" s="12"/>
      <c r="L1561" s="13"/>
      <c r="M1561" s="14"/>
      <c r="N1561" s="15"/>
    </row>
    <row r="1562" spans="1:14" s="17" customFormat="1">
      <c r="A1562" s="12"/>
      <c r="B1562" s="13"/>
      <c r="C1562" s="14"/>
      <c r="D1562" s="15"/>
      <c r="E1562" s="16"/>
      <c r="F1562" s="16"/>
      <c r="I1562" s="18"/>
      <c r="J1562" s="12"/>
      <c r="K1562" s="12"/>
      <c r="L1562" s="13"/>
      <c r="M1562" s="14"/>
      <c r="N1562" s="15"/>
    </row>
    <row r="1563" spans="1:14" s="17" customFormat="1">
      <c r="A1563" s="12"/>
      <c r="B1563" s="13"/>
      <c r="C1563" s="14"/>
      <c r="D1563" s="15"/>
      <c r="E1563" s="16"/>
      <c r="F1563" s="16"/>
      <c r="I1563" s="18"/>
      <c r="J1563" s="12"/>
      <c r="K1563" s="12"/>
      <c r="L1563" s="13"/>
      <c r="M1563" s="14"/>
      <c r="N1563" s="15"/>
    </row>
    <row r="1564" spans="1:14" s="17" customFormat="1">
      <c r="A1564" s="12"/>
      <c r="B1564" s="13"/>
      <c r="C1564" s="14"/>
      <c r="D1564" s="15"/>
      <c r="E1564" s="16"/>
      <c r="F1564" s="16"/>
      <c r="I1564" s="18"/>
      <c r="J1564" s="12"/>
      <c r="K1564" s="12"/>
      <c r="L1564" s="13"/>
      <c r="M1564" s="14"/>
      <c r="N1564" s="15"/>
    </row>
    <row r="1565" spans="1:14">
      <c r="G1565" s="17"/>
      <c r="H1565" s="17"/>
      <c r="I1565" s="18"/>
    </row>
    <row r="1566" spans="1:14">
      <c r="G1566" s="17"/>
      <c r="H1566" s="17"/>
      <c r="I1566" s="18"/>
    </row>
    <row r="1567" spans="1:14" s="34" customFormat="1">
      <c r="A1567" s="12"/>
      <c r="B1567" s="13"/>
      <c r="C1567" s="14"/>
      <c r="D1567" s="15"/>
      <c r="E1567" s="16"/>
      <c r="F1567" s="16"/>
      <c r="G1567" s="17"/>
      <c r="H1567" s="17"/>
      <c r="I1567" s="18"/>
      <c r="J1567" s="12"/>
      <c r="K1567" s="12"/>
      <c r="L1567" s="13"/>
      <c r="M1567" s="14"/>
      <c r="N1567" s="15"/>
    </row>
    <row r="1568" spans="1:14" s="34" customFormat="1">
      <c r="A1568" s="12"/>
      <c r="B1568" s="13"/>
      <c r="C1568" s="14"/>
      <c r="D1568" s="15"/>
      <c r="E1568" s="16"/>
      <c r="F1568" s="16"/>
      <c r="G1568" s="17"/>
      <c r="H1568" s="17"/>
      <c r="I1568" s="18"/>
      <c r="J1568" s="12"/>
      <c r="K1568" s="12"/>
      <c r="L1568" s="13"/>
      <c r="M1568" s="14"/>
      <c r="N1568" s="15"/>
    </row>
    <row r="1569" spans="1:14">
      <c r="G1569" s="17"/>
      <c r="H1569" s="17"/>
      <c r="I1569" s="18"/>
    </row>
    <row r="1570" spans="1:14">
      <c r="G1570" s="17"/>
      <c r="H1570" s="17"/>
      <c r="I1570" s="18"/>
    </row>
    <row r="1571" spans="1:14" s="17" customFormat="1">
      <c r="A1571" s="12"/>
      <c r="B1571" s="13"/>
      <c r="C1571" s="14"/>
      <c r="D1571" s="15"/>
      <c r="E1571" s="16"/>
      <c r="F1571" s="16"/>
      <c r="I1571" s="18"/>
      <c r="J1571" s="12"/>
      <c r="K1571" s="12"/>
      <c r="L1571" s="13"/>
      <c r="M1571" s="14"/>
      <c r="N1571" s="15"/>
    </row>
    <row r="1572" spans="1:14" s="17" customFormat="1">
      <c r="A1572" s="12"/>
      <c r="B1572" s="13"/>
      <c r="C1572" s="14"/>
      <c r="D1572" s="15"/>
      <c r="E1572" s="16"/>
      <c r="F1572" s="16"/>
      <c r="I1572" s="18"/>
      <c r="J1572" s="12"/>
      <c r="K1572" s="12"/>
      <c r="L1572" s="13"/>
      <c r="M1572" s="14"/>
      <c r="N1572" s="15"/>
    </row>
    <row r="1573" spans="1:14" s="17" customFormat="1">
      <c r="A1573" s="12"/>
      <c r="B1573" s="13"/>
      <c r="C1573" s="14"/>
      <c r="D1573" s="15"/>
      <c r="E1573" s="16"/>
      <c r="F1573" s="16"/>
      <c r="I1573" s="18"/>
      <c r="J1573" s="12"/>
      <c r="K1573" s="12"/>
      <c r="L1573" s="13"/>
      <c r="M1573" s="14"/>
      <c r="N1573" s="15"/>
    </row>
    <row r="1574" spans="1:14" s="17" customFormat="1">
      <c r="A1574" s="12"/>
      <c r="B1574" s="13"/>
      <c r="C1574" s="14"/>
      <c r="D1574" s="15"/>
      <c r="E1574" s="16"/>
      <c r="F1574" s="16"/>
      <c r="I1574" s="18"/>
      <c r="J1574" s="12"/>
      <c r="K1574" s="12"/>
      <c r="L1574" s="13"/>
      <c r="M1574" s="14"/>
      <c r="N1574" s="15"/>
    </row>
    <row r="1575" spans="1:14" s="17" customFormat="1">
      <c r="A1575" s="12"/>
      <c r="B1575" s="13"/>
      <c r="C1575" s="14"/>
      <c r="D1575" s="15"/>
      <c r="E1575" s="16"/>
      <c r="F1575" s="16"/>
      <c r="I1575" s="18"/>
      <c r="J1575" s="12"/>
      <c r="K1575" s="12"/>
      <c r="L1575" s="13"/>
      <c r="M1575" s="14"/>
      <c r="N1575" s="15"/>
    </row>
    <row r="1576" spans="1:14" s="17" customFormat="1">
      <c r="A1576" s="12"/>
      <c r="B1576" s="13"/>
      <c r="C1576" s="14"/>
      <c r="D1576" s="15"/>
      <c r="E1576" s="16"/>
      <c r="F1576" s="16"/>
      <c r="I1576" s="18"/>
      <c r="J1576" s="12"/>
      <c r="K1576" s="12"/>
      <c r="L1576" s="13"/>
      <c r="M1576" s="14"/>
      <c r="N1576" s="15"/>
    </row>
    <row r="1577" spans="1:14" s="17" customFormat="1">
      <c r="A1577" s="12"/>
      <c r="B1577" s="13"/>
      <c r="C1577" s="14"/>
      <c r="D1577" s="15"/>
      <c r="E1577" s="16"/>
      <c r="F1577" s="16"/>
      <c r="I1577" s="18"/>
      <c r="J1577" s="12"/>
      <c r="K1577" s="12"/>
      <c r="L1577" s="13"/>
      <c r="M1577" s="14"/>
      <c r="N1577" s="15"/>
    </row>
    <row r="1578" spans="1:14" s="17" customFormat="1">
      <c r="A1578" s="12"/>
      <c r="B1578" s="13"/>
      <c r="C1578" s="14"/>
      <c r="D1578" s="15"/>
      <c r="E1578" s="16"/>
      <c r="F1578" s="16"/>
      <c r="I1578" s="18"/>
      <c r="J1578" s="12"/>
      <c r="K1578" s="12"/>
      <c r="L1578" s="13"/>
      <c r="M1578" s="14"/>
      <c r="N1578" s="15"/>
    </row>
    <row r="1579" spans="1:14" s="17" customFormat="1">
      <c r="A1579" s="12"/>
      <c r="B1579" s="13"/>
      <c r="C1579" s="14"/>
      <c r="D1579" s="15"/>
      <c r="E1579" s="16"/>
      <c r="F1579" s="16"/>
      <c r="I1579" s="18"/>
      <c r="J1579" s="12"/>
      <c r="K1579" s="12"/>
      <c r="L1579" s="13"/>
      <c r="M1579" s="14"/>
      <c r="N1579" s="15"/>
    </row>
    <row r="1580" spans="1:14" s="17" customFormat="1">
      <c r="A1580" s="12"/>
      <c r="B1580" s="13"/>
      <c r="C1580" s="14"/>
      <c r="D1580" s="15"/>
      <c r="E1580" s="16"/>
      <c r="F1580" s="16"/>
      <c r="I1580" s="18"/>
      <c r="J1580" s="12"/>
      <c r="K1580" s="12"/>
      <c r="L1580" s="13"/>
      <c r="M1580" s="14"/>
      <c r="N1580" s="15"/>
    </row>
    <row r="1581" spans="1:14" s="17" customFormat="1">
      <c r="A1581" s="12"/>
      <c r="B1581" s="13"/>
      <c r="C1581" s="14"/>
      <c r="D1581" s="15"/>
      <c r="E1581" s="16"/>
      <c r="F1581" s="16"/>
      <c r="I1581" s="18"/>
      <c r="J1581" s="12"/>
      <c r="K1581" s="12"/>
      <c r="L1581" s="13"/>
      <c r="M1581" s="14"/>
      <c r="N1581" s="15"/>
    </row>
    <row r="1582" spans="1:14" s="17" customFormat="1">
      <c r="A1582" s="12"/>
      <c r="B1582" s="13"/>
      <c r="C1582" s="14"/>
      <c r="D1582" s="15"/>
      <c r="E1582" s="16"/>
      <c r="F1582" s="16"/>
      <c r="I1582" s="18"/>
      <c r="J1582" s="12"/>
      <c r="K1582" s="12"/>
      <c r="L1582" s="13"/>
      <c r="M1582" s="14"/>
      <c r="N1582" s="15"/>
    </row>
    <row r="1583" spans="1:14" s="17" customFormat="1">
      <c r="A1583" s="12"/>
      <c r="B1583" s="13"/>
      <c r="C1583" s="14"/>
      <c r="D1583" s="15"/>
      <c r="E1583" s="16"/>
      <c r="F1583" s="16"/>
      <c r="I1583" s="18"/>
      <c r="J1583" s="12"/>
      <c r="K1583" s="12"/>
      <c r="L1583" s="13"/>
      <c r="M1583" s="14"/>
      <c r="N1583" s="15"/>
    </row>
    <row r="1584" spans="1:14" s="17" customFormat="1">
      <c r="A1584" s="12"/>
      <c r="B1584" s="13"/>
      <c r="C1584" s="14"/>
      <c r="D1584" s="15"/>
      <c r="E1584" s="16"/>
      <c r="F1584" s="16"/>
      <c r="I1584" s="18"/>
      <c r="J1584" s="12"/>
      <c r="K1584" s="12"/>
      <c r="L1584" s="13"/>
      <c r="M1584" s="14"/>
      <c r="N1584" s="15"/>
    </row>
    <row r="1585" spans="1:14" s="17" customFormat="1">
      <c r="A1585" s="12"/>
      <c r="B1585" s="13"/>
      <c r="C1585" s="14"/>
      <c r="D1585" s="15"/>
      <c r="E1585" s="16"/>
      <c r="F1585" s="16"/>
      <c r="I1585" s="18"/>
      <c r="J1585" s="12"/>
      <c r="K1585" s="12"/>
      <c r="L1585" s="13"/>
      <c r="M1585" s="14"/>
      <c r="N1585" s="15"/>
    </row>
    <row r="1586" spans="1:14" s="17" customFormat="1">
      <c r="A1586" s="12"/>
      <c r="B1586" s="13"/>
      <c r="C1586" s="14"/>
      <c r="D1586" s="15"/>
      <c r="E1586" s="16"/>
      <c r="F1586" s="16"/>
      <c r="I1586" s="18"/>
      <c r="J1586" s="12"/>
      <c r="K1586" s="12"/>
      <c r="L1586" s="13"/>
      <c r="M1586" s="14"/>
      <c r="N1586" s="15"/>
    </row>
    <row r="1587" spans="1:14" s="17" customFormat="1">
      <c r="A1587" s="12"/>
      <c r="B1587" s="13"/>
      <c r="C1587" s="14"/>
      <c r="D1587" s="15"/>
      <c r="E1587" s="16"/>
      <c r="F1587" s="16"/>
      <c r="I1587" s="18"/>
      <c r="J1587" s="12"/>
      <c r="K1587" s="12"/>
      <c r="L1587" s="13"/>
      <c r="M1587" s="14"/>
      <c r="N1587" s="15"/>
    </row>
    <row r="1588" spans="1:14" s="17" customFormat="1">
      <c r="A1588" s="12"/>
      <c r="B1588" s="13"/>
      <c r="C1588" s="14"/>
      <c r="D1588" s="15"/>
      <c r="E1588" s="16"/>
      <c r="F1588" s="16"/>
      <c r="I1588" s="18"/>
      <c r="J1588" s="12"/>
      <c r="K1588" s="12"/>
      <c r="L1588" s="13"/>
      <c r="M1588" s="14"/>
      <c r="N1588" s="15"/>
    </row>
    <row r="1589" spans="1:14" s="17" customFormat="1">
      <c r="A1589" s="12"/>
      <c r="B1589" s="13"/>
      <c r="C1589" s="14"/>
      <c r="D1589" s="15"/>
      <c r="E1589" s="16"/>
      <c r="F1589" s="16"/>
      <c r="I1589" s="18"/>
      <c r="J1589" s="12"/>
      <c r="K1589" s="12"/>
      <c r="L1589" s="13"/>
      <c r="M1589" s="14"/>
      <c r="N1589" s="15"/>
    </row>
    <row r="1590" spans="1:14" s="17" customFormat="1">
      <c r="A1590" s="12"/>
      <c r="B1590" s="13"/>
      <c r="C1590" s="14"/>
      <c r="D1590" s="15"/>
      <c r="E1590" s="16"/>
      <c r="F1590" s="16"/>
      <c r="I1590" s="18"/>
      <c r="J1590" s="12"/>
      <c r="K1590" s="12"/>
      <c r="L1590" s="13"/>
      <c r="M1590" s="14"/>
      <c r="N1590" s="15"/>
    </row>
    <row r="1591" spans="1:14" s="17" customFormat="1">
      <c r="A1591" s="12"/>
      <c r="B1591" s="13"/>
      <c r="C1591" s="14"/>
      <c r="D1591" s="15"/>
      <c r="E1591" s="16"/>
      <c r="F1591" s="16"/>
      <c r="I1591" s="18"/>
      <c r="J1591" s="12"/>
      <c r="K1591" s="12"/>
      <c r="L1591" s="13"/>
      <c r="M1591" s="14"/>
      <c r="N1591" s="15"/>
    </row>
    <row r="1592" spans="1:14" s="17" customFormat="1">
      <c r="A1592" s="12"/>
      <c r="B1592" s="13"/>
      <c r="C1592" s="14"/>
      <c r="D1592" s="15"/>
      <c r="E1592" s="16"/>
      <c r="F1592" s="16"/>
      <c r="I1592" s="18"/>
      <c r="J1592" s="12"/>
      <c r="K1592" s="12"/>
      <c r="L1592" s="13"/>
      <c r="M1592" s="14"/>
      <c r="N1592" s="15"/>
    </row>
    <row r="1593" spans="1:14" s="17" customFormat="1">
      <c r="A1593" s="12"/>
      <c r="B1593" s="13"/>
      <c r="C1593" s="14"/>
      <c r="D1593" s="15"/>
      <c r="E1593" s="16"/>
      <c r="F1593" s="16"/>
      <c r="I1593" s="18"/>
      <c r="J1593" s="12"/>
      <c r="K1593" s="12"/>
      <c r="L1593" s="13"/>
      <c r="M1593" s="14"/>
      <c r="N1593" s="15"/>
    </row>
    <row r="1594" spans="1:14" s="17" customFormat="1">
      <c r="A1594" s="12"/>
      <c r="B1594" s="13"/>
      <c r="C1594" s="14"/>
      <c r="D1594" s="15"/>
      <c r="E1594" s="16"/>
      <c r="F1594" s="16"/>
      <c r="I1594" s="18"/>
      <c r="J1594" s="12"/>
      <c r="K1594" s="12"/>
      <c r="L1594" s="13"/>
      <c r="M1594" s="14"/>
      <c r="N1594" s="15"/>
    </row>
    <row r="1595" spans="1:14" s="17" customFormat="1">
      <c r="A1595" s="12"/>
      <c r="B1595" s="13"/>
      <c r="C1595" s="14"/>
      <c r="D1595" s="15"/>
      <c r="E1595" s="16"/>
      <c r="F1595" s="16"/>
      <c r="I1595" s="18"/>
      <c r="J1595" s="12"/>
      <c r="K1595" s="12"/>
      <c r="L1595" s="13"/>
      <c r="M1595" s="14"/>
      <c r="N1595" s="15"/>
    </row>
    <row r="1596" spans="1:14" s="17" customFormat="1">
      <c r="A1596" s="12"/>
      <c r="B1596" s="13"/>
      <c r="C1596" s="14"/>
      <c r="D1596" s="15"/>
      <c r="E1596" s="16"/>
      <c r="F1596" s="16"/>
      <c r="I1596" s="18"/>
      <c r="J1596" s="12"/>
      <c r="K1596" s="12"/>
      <c r="L1596" s="13"/>
      <c r="M1596" s="14"/>
      <c r="N1596" s="15"/>
    </row>
    <row r="1597" spans="1:14" s="17" customFormat="1">
      <c r="A1597" s="12"/>
      <c r="B1597" s="13"/>
      <c r="C1597" s="14"/>
      <c r="D1597" s="15"/>
      <c r="E1597" s="16"/>
      <c r="F1597" s="16"/>
      <c r="I1597" s="18"/>
      <c r="J1597" s="12"/>
      <c r="K1597" s="12"/>
      <c r="L1597" s="13"/>
      <c r="M1597" s="14"/>
      <c r="N1597" s="15"/>
    </row>
    <row r="1598" spans="1:14" s="17" customFormat="1">
      <c r="A1598" s="12"/>
      <c r="B1598" s="13"/>
      <c r="C1598" s="14"/>
      <c r="D1598" s="15"/>
      <c r="E1598" s="16"/>
      <c r="F1598" s="16"/>
      <c r="I1598" s="18"/>
      <c r="J1598" s="12"/>
      <c r="K1598" s="12"/>
      <c r="L1598" s="13"/>
      <c r="M1598" s="14"/>
      <c r="N1598" s="15"/>
    </row>
    <row r="1599" spans="1:14" s="17" customFormat="1">
      <c r="A1599" s="12"/>
      <c r="B1599" s="13"/>
      <c r="C1599" s="14"/>
      <c r="D1599" s="15"/>
      <c r="E1599" s="16"/>
      <c r="F1599" s="16"/>
      <c r="I1599" s="18"/>
      <c r="J1599" s="12"/>
      <c r="K1599" s="12"/>
      <c r="L1599" s="13"/>
      <c r="M1599" s="14"/>
      <c r="N1599" s="15"/>
    </row>
    <row r="1600" spans="1:14" s="17" customFormat="1">
      <c r="A1600" s="12"/>
      <c r="B1600" s="13"/>
      <c r="C1600" s="14"/>
      <c r="D1600" s="15"/>
      <c r="E1600" s="16"/>
      <c r="F1600" s="16"/>
      <c r="I1600" s="18"/>
      <c r="J1600" s="12"/>
      <c r="K1600" s="12"/>
      <c r="L1600" s="13"/>
      <c r="M1600" s="14"/>
      <c r="N1600" s="15"/>
    </row>
    <row r="1601" spans="1:14" s="17" customFormat="1">
      <c r="A1601" s="12"/>
      <c r="B1601" s="13"/>
      <c r="C1601" s="14"/>
      <c r="D1601" s="15"/>
      <c r="E1601" s="16"/>
      <c r="F1601" s="16"/>
      <c r="I1601" s="18"/>
      <c r="J1601" s="12"/>
      <c r="K1601" s="12"/>
      <c r="L1601" s="13"/>
      <c r="M1601" s="14"/>
      <c r="N1601" s="15"/>
    </row>
    <row r="1602" spans="1:14" s="17" customFormat="1">
      <c r="A1602" s="12"/>
      <c r="B1602" s="13"/>
      <c r="C1602" s="14"/>
      <c r="D1602" s="15"/>
      <c r="E1602" s="16"/>
      <c r="F1602" s="16"/>
      <c r="I1602" s="18"/>
      <c r="J1602" s="12"/>
      <c r="K1602" s="12"/>
      <c r="L1602" s="13"/>
      <c r="M1602" s="14"/>
      <c r="N1602" s="15"/>
    </row>
    <row r="1603" spans="1:14" s="17" customFormat="1">
      <c r="A1603" s="12"/>
      <c r="B1603" s="13"/>
      <c r="C1603" s="14"/>
      <c r="D1603" s="15"/>
      <c r="E1603" s="16"/>
      <c r="F1603" s="16"/>
      <c r="I1603" s="18"/>
      <c r="J1603" s="12"/>
      <c r="K1603" s="12"/>
      <c r="L1603" s="13"/>
      <c r="M1603" s="14"/>
      <c r="N1603" s="15"/>
    </row>
    <row r="1604" spans="1:14" s="17" customFormat="1">
      <c r="A1604" s="12"/>
      <c r="B1604" s="13"/>
      <c r="C1604" s="14"/>
      <c r="D1604" s="15"/>
      <c r="E1604" s="16"/>
      <c r="F1604" s="16"/>
      <c r="I1604" s="18"/>
      <c r="J1604" s="12"/>
      <c r="K1604" s="12"/>
      <c r="L1604" s="13"/>
      <c r="M1604" s="14"/>
      <c r="N1604" s="15"/>
    </row>
    <row r="1605" spans="1:14" s="17" customFormat="1">
      <c r="A1605" s="12"/>
      <c r="B1605" s="13"/>
      <c r="C1605" s="14"/>
      <c r="D1605" s="15"/>
      <c r="E1605" s="16"/>
      <c r="F1605" s="16"/>
      <c r="I1605" s="18"/>
      <c r="J1605" s="12"/>
      <c r="K1605" s="12"/>
      <c r="L1605" s="13"/>
      <c r="M1605" s="14"/>
      <c r="N1605" s="15"/>
    </row>
    <row r="1606" spans="1:14" s="17" customFormat="1">
      <c r="A1606" s="12"/>
      <c r="B1606" s="13"/>
      <c r="C1606" s="14"/>
      <c r="D1606" s="15"/>
      <c r="E1606" s="16"/>
      <c r="F1606" s="16"/>
      <c r="I1606" s="18"/>
      <c r="J1606" s="12"/>
      <c r="K1606" s="12"/>
      <c r="L1606" s="13"/>
      <c r="M1606" s="14"/>
      <c r="N1606" s="15"/>
    </row>
    <row r="1607" spans="1:14" s="17" customFormat="1">
      <c r="A1607" s="12"/>
      <c r="B1607" s="13"/>
      <c r="C1607" s="14"/>
      <c r="D1607" s="15"/>
      <c r="E1607" s="16"/>
      <c r="F1607" s="16"/>
      <c r="I1607" s="18"/>
      <c r="J1607" s="12"/>
      <c r="K1607" s="12"/>
      <c r="L1607" s="13"/>
      <c r="M1607" s="14"/>
      <c r="N1607" s="15"/>
    </row>
    <row r="1608" spans="1:14" s="17" customFormat="1">
      <c r="A1608" s="12"/>
      <c r="B1608" s="13"/>
      <c r="C1608" s="14"/>
      <c r="D1608" s="15"/>
      <c r="E1608" s="16"/>
      <c r="F1608" s="16"/>
      <c r="I1608" s="18"/>
      <c r="J1608" s="12"/>
      <c r="K1608" s="12"/>
      <c r="L1608" s="13"/>
      <c r="M1608" s="14"/>
      <c r="N1608" s="15"/>
    </row>
    <row r="1609" spans="1:14" s="17" customFormat="1">
      <c r="A1609" s="12"/>
      <c r="B1609" s="13"/>
      <c r="C1609" s="14"/>
      <c r="D1609" s="15"/>
      <c r="E1609" s="16"/>
      <c r="F1609" s="16"/>
      <c r="I1609" s="18"/>
      <c r="J1609" s="12"/>
      <c r="K1609" s="12"/>
      <c r="L1609" s="13"/>
      <c r="M1609" s="14"/>
      <c r="N1609" s="15"/>
    </row>
    <row r="1610" spans="1:14" s="17" customFormat="1">
      <c r="A1610" s="12"/>
      <c r="B1610" s="13"/>
      <c r="C1610" s="14"/>
      <c r="D1610" s="15"/>
      <c r="E1610" s="16"/>
      <c r="F1610" s="16"/>
      <c r="I1610" s="18"/>
      <c r="J1610" s="12"/>
      <c r="K1610" s="12"/>
      <c r="L1610" s="13"/>
      <c r="M1610" s="14"/>
      <c r="N1610" s="15"/>
    </row>
    <row r="1611" spans="1:14" s="17" customFormat="1">
      <c r="A1611" s="12"/>
      <c r="B1611" s="13"/>
      <c r="C1611" s="14"/>
      <c r="D1611" s="15"/>
      <c r="E1611" s="16"/>
      <c r="F1611" s="16"/>
      <c r="I1611" s="18"/>
      <c r="J1611" s="12"/>
      <c r="K1611" s="12"/>
      <c r="L1611" s="13"/>
      <c r="M1611" s="14"/>
      <c r="N1611" s="15"/>
    </row>
    <row r="1612" spans="1:14" s="17" customFormat="1">
      <c r="A1612" s="12"/>
      <c r="B1612" s="13"/>
      <c r="C1612" s="14"/>
      <c r="D1612" s="15"/>
      <c r="E1612" s="16"/>
      <c r="F1612" s="16"/>
      <c r="I1612" s="18"/>
      <c r="J1612" s="12"/>
      <c r="K1612" s="12"/>
      <c r="L1612" s="13"/>
      <c r="M1612" s="14"/>
      <c r="N1612" s="15"/>
    </row>
    <row r="1613" spans="1:14" s="17" customFormat="1">
      <c r="A1613" s="12"/>
      <c r="B1613" s="13"/>
      <c r="C1613" s="14"/>
      <c r="D1613" s="15"/>
      <c r="E1613" s="16"/>
      <c r="F1613" s="16"/>
      <c r="I1613" s="18"/>
      <c r="J1613" s="12"/>
      <c r="K1613" s="12"/>
      <c r="L1613" s="13"/>
      <c r="M1613" s="14"/>
      <c r="N1613" s="15"/>
    </row>
    <row r="1614" spans="1:14" s="17" customFormat="1">
      <c r="A1614" s="12"/>
      <c r="B1614" s="13"/>
      <c r="C1614" s="14"/>
      <c r="D1614" s="15"/>
      <c r="E1614" s="16"/>
      <c r="F1614" s="16"/>
      <c r="I1614" s="18"/>
      <c r="J1614" s="12"/>
      <c r="K1614" s="12"/>
      <c r="L1614" s="13"/>
      <c r="M1614" s="14"/>
      <c r="N1614" s="15"/>
    </row>
    <row r="1615" spans="1:14" s="17" customFormat="1">
      <c r="A1615" s="12"/>
      <c r="B1615" s="13"/>
      <c r="C1615" s="14"/>
      <c r="D1615" s="15"/>
      <c r="E1615" s="16"/>
      <c r="F1615" s="16"/>
      <c r="I1615" s="18"/>
      <c r="J1615" s="12"/>
      <c r="K1615" s="12"/>
      <c r="L1615" s="13"/>
      <c r="M1615" s="14"/>
      <c r="N1615" s="15"/>
    </row>
    <row r="1616" spans="1:14" s="17" customFormat="1">
      <c r="A1616" s="12"/>
      <c r="B1616" s="13"/>
      <c r="C1616" s="14"/>
      <c r="D1616" s="15"/>
      <c r="E1616" s="16"/>
      <c r="F1616" s="16"/>
      <c r="I1616" s="18"/>
      <c r="J1616" s="12"/>
      <c r="K1616" s="12"/>
      <c r="L1616" s="13"/>
      <c r="M1616" s="14"/>
      <c r="N1616" s="15"/>
    </row>
    <row r="1617" spans="1:14" s="17" customFormat="1">
      <c r="A1617" s="12"/>
      <c r="B1617" s="13"/>
      <c r="C1617" s="14"/>
      <c r="D1617" s="15"/>
      <c r="E1617" s="16"/>
      <c r="F1617" s="16"/>
      <c r="I1617" s="18"/>
      <c r="J1617" s="12"/>
      <c r="K1617" s="12"/>
      <c r="L1617" s="13"/>
      <c r="M1617" s="14"/>
      <c r="N1617" s="15"/>
    </row>
    <row r="1618" spans="1:14" s="17" customFormat="1">
      <c r="A1618" s="12"/>
      <c r="B1618" s="13"/>
      <c r="C1618" s="14"/>
      <c r="D1618" s="15"/>
      <c r="E1618" s="16"/>
      <c r="F1618" s="16"/>
      <c r="I1618" s="18"/>
      <c r="J1618" s="12"/>
      <c r="K1618" s="12"/>
      <c r="L1618" s="13"/>
      <c r="M1618" s="14"/>
      <c r="N1618" s="15"/>
    </row>
    <row r="1619" spans="1:14" s="17" customFormat="1">
      <c r="A1619" s="12"/>
      <c r="B1619" s="13"/>
      <c r="C1619" s="14"/>
      <c r="D1619" s="15"/>
      <c r="E1619" s="16"/>
      <c r="F1619" s="16"/>
      <c r="I1619" s="18"/>
      <c r="J1619" s="12"/>
      <c r="K1619" s="12"/>
      <c r="L1619" s="13"/>
      <c r="M1619" s="14"/>
      <c r="N1619" s="15"/>
    </row>
    <row r="1620" spans="1:14" s="17" customFormat="1">
      <c r="A1620" s="12"/>
      <c r="B1620" s="13"/>
      <c r="C1620" s="14"/>
      <c r="D1620" s="15"/>
      <c r="E1620" s="16"/>
      <c r="F1620" s="16"/>
      <c r="I1620" s="18"/>
      <c r="J1620" s="12"/>
      <c r="K1620" s="12"/>
      <c r="L1620" s="13"/>
      <c r="M1620" s="14"/>
      <c r="N1620" s="15"/>
    </row>
    <row r="1621" spans="1:14" s="17" customFormat="1">
      <c r="A1621" s="12"/>
      <c r="B1621" s="13"/>
      <c r="C1621" s="14"/>
      <c r="D1621" s="15"/>
      <c r="E1621" s="16"/>
      <c r="F1621" s="16"/>
      <c r="G1621" s="25"/>
      <c r="H1621" s="25"/>
      <c r="I1621" s="95"/>
      <c r="J1621" s="12"/>
      <c r="K1621" s="12"/>
      <c r="L1621" s="13"/>
      <c r="M1621" s="14"/>
      <c r="N1621" s="15"/>
    </row>
    <row r="1622" spans="1:14" s="17" customFormat="1">
      <c r="A1622" s="12"/>
      <c r="B1622" s="13"/>
      <c r="C1622" s="14"/>
      <c r="D1622" s="15"/>
      <c r="E1622" s="16"/>
      <c r="F1622" s="16"/>
      <c r="G1622" s="25"/>
      <c r="H1622" s="25"/>
      <c r="I1622" s="95"/>
      <c r="J1622" s="12"/>
      <c r="K1622" s="12"/>
      <c r="L1622" s="13"/>
      <c r="M1622" s="14"/>
      <c r="N1622" s="15"/>
    </row>
    <row r="1623" spans="1:14" s="17" customFormat="1">
      <c r="A1623" s="12"/>
      <c r="B1623" s="13"/>
      <c r="C1623" s="14"/>
      <c r="D1623" s="15"/>
      <c r="E1623" s="16"/>
      <c r="F1623" s="16"/>
      <c r="G1623" s="34"/>
      <c r="H1623" s="34"/>
      <c r="I1623" s="95"/>
      <c r="J1623" s="12"/>
      <c r="K1623" s="12"/>
      <c r="L1623" s="13"/>
      <c r="M1623" s="14"/>
      <c r="N1623" s="15"/>
    </row>
    <row r="1624" spans="1:14" s="17" customFormat="1">
      <c r="A1624" s="12"/>
      <c r="B1624" s="13"/>
      <c r="C1624" s="14"/>
      <c r="D1624" s="15"/>
      <c r="E1624" s="16"/>
      <c r="F1624" s="16"/>
      <c r="G1624" s="34"/>
      <c r="H1624" s="34"/>
      <c r="I1624" s="95"/>
      <c r="J1624" s="12"/>
      <c r="K1624" s="12"/>
      <c r="L1624" s="13"/>
      <c r="M1624" s="14"/>
      <c r="N1624" s="15"/>
    </row>
    <row r="1625" spans="1:14" s="17" customFormat="1">
      <c r="A1625" s="12"/>
      <c r="B1625" s="13"/>
      <c r="C1625" s="14"/>
      <c r="D1625" s="15"/>
      <c r="E1625" s="16"/>
      <c r="F1625" s="16"/>
      <c r="G1625" s="25"/>
      <c r="H1625" s="25"/>
      <c r="I1625" s="95"/>
      <c r="J1625" s="12"/>
      <c r="K1625" s="12"/>
      <c r="L1625" s="13"/>
      <c r="M1625" s="14"/>
      <c r="N1625" s="15"/>
    </row>
    <row r="1626" spans="1:14" s="17" customFormat="1">
      <c r="A1626" s="12"/>
      <c r="B1626" s="13"/>
      <c r="C1626" s="14"/>
      <c r="D1626" s="15"/>
      <c r="E1626" s="16"/>
      <c r="F1626" s="16"/>
      <c r="G1626" s="25"/>
      <c r="H1626" s="25"/>
      <c r="I1626" s="95"/>
      <c r="J1626" s="12"/>
      <c r="K1626" s="12"/>
      <c r="L1626" s="13"/>
      <c r="M1626" s="14"/>
      <c r="N1626" s="15"/>
    </row>
    <row r="1627" spans="1:14" s="17" customFormat="1">
      <c r="A1627" s="12"/>
      <c r="B1627" s="13"/>
      <c r="C1627" s="14"/>
      <c r="D1627" s="15"/>
      <c r="E1627" s="16"/>
      <c r="F1627" s="16"/>
      <c r="I1627" s="18"/>
      <c r="J1627" s="12"/>
      <c r="K1627" s="12"/>
      <c r="L1627" s="13"/>
      <c r="M1627" s="14"/>
      <c r="N1627" s="15"/>
    </row>
    <row r="1628" spans="1:14" s="17" customFormat="1">
      <c r="A1628" s="12"/>
      <c r="B1628" s="13"/>
      <c r="C1628" s="14"/>
      <c r="D1628" s="15"/>
      <c r="E1628" s="16"/>
      <c r="F1628" s="16"/>
      <c r="I1628" s="18"/>
      <c r="J1628" s="12"/>
      <c r="K1628" s="12"/>
      <c r="L1628" s="13"/>
      <c r="M1628" s="14"/>
      <c r="N1628" s="15"/>
    </row>
    <row r="1629" spans="1:14" s="17" customFormat="1">
      <c r="A1629" s="12"/>
      <c r="B1629" s="13"/>
      <c r="C1629" s="14"/>
      <c r="D1629" s="15"/>
      <c r="E1629" s="16"/>
      <c r="F1629" s="16"/>
      <c r="I1629" s="18"/>
      <c r="J1629" s="12"/>
      <c r="K1629" s="12"/>
      <c r="L1629" s="13"/>
      <c r="M1629" s="14"/>
      <c r="N1629" s="15"/>
    </row>
    <row r="1630" spans="1:14" s="17" customFormat="1">
      <c r="A1630" s="12"/>
      <c r="B1630" s="13"/>
      <c r="C1630" s="14"/>
      <c r="D1630" s="15"/>
      <c r="E1630" s="16"/>
      <c r="F1630" s="16"/>
      <c r="I1630" s="18"/>
      <c r="J1630" s="12"/>
      <c r="K1630" s="12"/>
      <c r="L1630" s="13"/>
      <c r="M1630" s="14"/>
      <c r="N1630" s="15"/>
    </row>
    <row r="1631" spans="1:14" s="17" customFormat="1">
      <c r="A1631" s="12"/>
      <c r="B1631" s="13"/>
      <c r="C1631" s="14"/>
      <c r="D1631" s="15"/>
      <c r="E1631" s="16"/>
      <c r="F1631" s="16"/>
      <c r="I1631" s="18"/>
      <c r="J1631" s="12"/>
      <c r="K1631" s="12"/>
      <c r="L1631" s="13"/>
      <c r="M1631" s="14"/>
      <c r="N1631" s="15"/>
    </row>
    <row r="1632" spans="1:14" s="17" customFormat="1">
      <c r="A1632" s="12"/>
      <c r="B1632" s="13"/>
      <c r="C1632" s="14"/>
      <c r="D1632" s="15"/>
      <c r="E1632" s="16"/>
      <c r="F1632" s="16"/>
      <c r="I1632" s="18"/>
      <c r="J1632" s="12"/>
      <c r="K1632" s="12"/>
      <c r="L1632" s="13"/>
      <c r="M1632" s="14"/>
      <c r="N1632" s="15"/>
    </row>
    <row r="1633" spans="1:14" s="17" customFormat="1">
      <c r="A1633" s="12"/>
      <c r="B1633" s="13"/>
      <c r="C1633" s="14"/>
      <c r="D1633" s="15"/>
      <c r="E1633" s="16"/>
      <c r="F1633" s="16"/>
      <c r="I1633" s="18"/>
      <c r="J1633" s="12"/>
      <c r="K1633" s="12"/>
      <c r="L1633" s="13"/>
      <c r="M1633" s="14"/>
      <c r="N1633" s="15"/>
    </row>
    <row r="1634" spans="1:14" s="17" customFormat="1">
      <c r="A1634" s="12"/>
      <c r="B1634" s="13"/>
      <c r="C1634" s="14"/>
      <c r="D1634" s="15"/>
      <c r="E1634" s="16"/>
      <c r="F1634" s="16"/>
      <c r="I1634" s="18"/>
      <c r="J1634" s="12"/>
      <c r="K1634" s="12"/>
      <c r="L1634" s="13"/>
      <c r="M1634" s="14"/>
      <c r="N1634" s="15"/>
    </row>
    <row r="1635" spans="1:14">
      <c r="G1635" s="17"/>
      <c r="H1635" s="17"/>
      <c r="I1635" s="18"/>
    </row>
    <row r="1636" spans="1:14">
      <c r="G1636" s="17"/>
      <c r="H1636" s="17"/>
      <c r="I1636" s="18"/>
    </row>
    <row r="1637" spans="1:14" s="34" customFormat="1">
      <c r="A1637" s="12"/>
      <c r="B1637" s="13"/>
      <c r="C1637" s="14"/>
      <c r="D1637" s="15"/>
      <c r="E1637" s="16"/>
      <c r="F1637" s="16"/>
      <c r="G1637" s="17"/>
      <c r="H1637" s="17"/>
      <c r="I1637" s="18"/>
      <c r="J1637" s="12"/>
      <c r="K1637" s="12"/>
      <c r="L1637" s="13"/>
      <c r="M1637" s="14"/>
      <c r="N1637" s="15"/>
    </row>
    <row r="1638" spans="1:14" s="34" customFormat="1">
      <c r="A1638" s="12"/>
      <c r="B1638" s="13"/>
      <c r="C1638" s="14"/>
      <c r="D1638" s="15"/>
      <c r="E1638" s="16"/>
      <c r="F1638" s="16"/>
      <c r="G1638" s="17"/>
      <c r="H1638" s="17"/>
      <c r="I1638" s="18"/>
      <c r="J1638" s="12"/>
      <c r="K1638" s="12"/>
      <c r="L1638" s="13"/>
      <c r="M1638" s="14"/>
      <c r="N1638" s="15"/>
    </row>
    <row r="1639" spans="1:14" s="34" customFormat="1">
      <c r="A1639" s="12"/>
      <c r="B1639" s="13"/>
      <c r="C1639" s="14"/>
      <c r="D1639" s="15"/>
      <c r="E1639" s="16"/>
      <c r="F1639" s="16"/>
      <c r="G1639" s="17"/>
      <c r="H1639" s="17"/>
      <c r="I1639" s="18"/>
      <c r="J1639" s="12"/>
      <c r="K1639" s="12"/>
      <c r="L1639" s="13"/>
      <c r="M1639" s="14"/>
      <c r="N1639" s="15"/>
    </row>
    <row r="1640" spans="1:14" s="34" customFormat="1">
      <c r="A1640" s="12"/>
      <c r="B1640" s="13"/>
      <c r="C1640" s="14"/>
      <c r="D1640" s="15"/>
      <c r="E1640" s="16"/>
      <c r="F1640" s="16"/>
      <c r="G1640" s="17"/>
      <c r="H1640" s="17"/>
      <c r="I1640" s="18"/>
      <c r="J1640" s="12"/>
      <c r="K1640" s="12"/>
      <c r="L1640" s="13"/>
      <c r="M1640" s="14"/>
      <c r="N1640" s="15"/>
    </row>
    <row r="1641" spans="1:14" s="34" customFormat="1">
      <c r="A1641" s="12"/>
      <c r="B1641" s="13"/>
      <c r="C1641" s="14"/>
      <c r="D1641" s="15"/>
      <c r="E1641" s="16"/>
      <c r="F1641" s="16"/>
      <c r="G1641" s="17"/>
      <c r="H1641" s="17"/>
      <c r="I1641" s="18"/>
      <c r="J1641" s="12"/>
      <c r="K1641" s="12"/>
      <c r="L1641" s="13"/>
      <c r="M1641" s="14"/>
      <c r="N1641" s="15"/>
    </row>
    <row r="1642" spans="1:14" s="34" customFormat="1">
      <c r="A1642" s="12"/>
      <c r="B1642" s="13"/>
      <c r="C1642" s="14"/>
      <c r="D1642" s="15"/>
      <c r="E1642" s="16"/>
      <c r="F1642" s="16"/>
      <c r="G1642" s="17"/>
      <c r="H1642" s="17"/>
      <c r="I1642" s="18"/>
      <c r="J1642" s="12"/>
      <c r="K1642" s="12"/>
      <c r="L1642" s="13"/>
      <c r="M1642" s="14"/>
      <c r="N1642" s="15"/>
    </row>
    <row r="1643" spans="1:14" s="34" customFormat="1">
      <c r="A1643" s="12"/>
      <c r="B1643" s="13"/>
      <c r="C1643" s="14"/>
      <c r="D1643" s="15"/>
      <c r="E1643" s="16"/>
      <c r="F1643" s="16"/>
      <c r="G1643" s="17"/>
      <c r="H1643" s="17"/>
      <c r="I1643" s="18"/>
      <c r="J1643" s="12"/>
      <c r="K1643" s="12"/>
      <c r="L1643" s="13"/>
      <c r="M1643" s="14"/>
      <c r="N1643" s="15"/>
    </row>
    <row r="1644" spans="1:14" s="17" customFormat="1">
      <c r="A1644" s="12"/>
      <c r="B1644" s="13"/>
      <c r="C1644" s="14"/>
      <c r="D1644" s="15"/>
      <c r="E1644" s="16"/>
      <c r="F1644" s="16"/>
      <c r="I1644" s="18"/>
      <c r="J1644" s="12"/>
      <c r="K1644" s="12"/>
      <c r="L1644" s="13"/>
      <c r="M1644" s="14"/>
      <c r="N1644" s="15"/>
    </row>
    <row r="1645" spans="1:14" s="17" customFormat="1">
      <c r="A1645" s="12"/>
      <c r="B1645" s="13"/>
      <c r="C1645" s="14"/>
      <c r="D1645" s="15"/>
      <c r="E1645" s="16"/>
      <c r="F1645" s="16"/>
      <c r="I1645" s="18"/>
      <c r="J1645" s="12"/>
      <c r="K1645" s="12"/>
      <c r="L1645" s="13"/>
      <c r="M1645" s="14"/>
      <c r="N1645" s="15"/>
    </row>
    <row r="1646" spans="1:14" s="17" customFormat="1">
      <c r="A1646" s="12"/>
      <c r="B1646" s="13"/>
      <c r="C1646" s="14"/>
      <c r="D1646" s="15"/>
      <c r="E1646" s="16"/>
      <c r="F1646" s="16"/>
      <c r="I1646" s="18"/>
      <c r="J1646" s="12"/>
      <c r="K1646" s="12"/>
      <c r="L1646" s="13"/>
      <c r="M1646" s="14"/>
      <c r="N1646" s="15"/>
    </row>
    <row r="1647" spans="1:14" s="17" customFormat="1">
      <c r="A1647" s="12"/>
      <c r="B1647" s="13"/>
      <c r="C1647" s="14"/>
      <c r="D1647" s="15"/>
      <c r="E1647" s="16"/>
      <c r="F1647" s="16"/>
      <c r="I1647" s="18"/>
      <c r="J1647" s="12"/>
      <c r="K1647" s="12"/>
      <c r="L1647" s="13"/>
      <c r="M1647" s="14"/>
      <c r="N1647" s="15"/>
    </row>
    <row r="1648" spans="1:14" s="17" customFormat="1">
      <c r="A1648" s="12"/>
      <c r="B1648" s="13"/>
      <c r="C1648" s="14"/>
      <c r="D1648" s="15"/>
      <c r="E1648" s="16"/>
      <c r="F1648" s="16"/>
      <c r="I1648" s="18"/>
      <c r="J1648" s="12"/>
      <c r="K1648" s="12"/>
      <c r="L1648" s="13"/>
      <c r="M1648" s="14"/>
      <c r="N1648" s="15"/>
    </row>
    <row r="1649" spans="1:14" s="17" customFormat="1">
      <c r="A1649" s="12"/>
      <c r="B1649" s="13"/>
      <c r="C1649" s="14"/>
      <c r="D1649" s="15"/>
      <c r="E1649" s="16"/>
      <c r="F1649" s="16"/>
      <c r="I1649" s="18"/>
      <c r="J1649" s="12"/>
      <c r="K1649" s="12"/>
      <c r="L1649" s="13"/>
      <c r="M1649" s="14"/>
      <c r="N1649" s="15"/>
    </row>
    <row r="1650" spans="1:14" s="17" customFormat="1">
      <c r="A1650" s="12"/>
      <c r="B1650" s="13"/>
      <c r="C1650" s="14"/>
      <c r="D1650" s="15"/>
      <c r="E1650" s="16"/>
      <c r="F1650" s="16"/>
      <c r="I1650" s="18"/>
      <c r="J1650" s="12"/>
      <c r="K1650" s="12"/>
      <c r="L1650" s="13"/>
      <c r="M1650" s="14"/>
      <c r="N1650" s="15"/>
    </row>
    <row r="1651" spans="1:14" s="17" customFormat="1">
      <c r="A1651" s="12"/>
      <c r="B1651" s="13"/>
      <c r="C1651" s="14"/>
      <c r="D1651" s="15"/>
      <c r="E1651" s="16"/>
      <c r="F1651" s="16"/>
      <c r="I1651" s="18"/>
      <c r="J1651" s="12"/>
      <c r="K1651" s="12"/>
      <c r="L1651" s="13"/>
      <c r="M1651" s="14"/>
      <c r="N1651" s="15"/>
    </row>
    <row r="1652" spans="1:14" s="17" customFormat="1">
      <c r="A1652" s="12"/>
      <c r="B1652" s="13"/>
      <c r="C1652" s="14"/>
      <c r="D1652" s="15"/>
      <c r="E1652" s="16"/>
      <c r="F1652" s="16"/>
      <c r="I1652" s="18"/>
      <c r="J1652" s="12"/>
      <c r="K1652" s="12"/>
      <c r="L1652" s="13"/>
      <c r="M1652" s="14"/>
      <c r="N1652" s="15"/>
    </row>
    <row r="1653" spans="1:14" s="17" customFormat="1">
      <c r="A1653" s="12"/>
      <c r="B1653" s="13"/>
      <c r="C1653" s="14"/>
      <c r="D1653" s="15"/>
      <c r="E1653" s="16"/>
      <c r="F1653" s="16"/>
      <c r="I1653" s="18"/>
      <c r="J1653" s="12"/>
      <c r="K1653" s="12"/>
      <c r="L1653" s="13"/>
      <c r="M1653" s="14"/>
      <c r="N1653" s="15"/>
    </row>
    <row r="1654" spans="1:14" s="17" customFormat="1">
      <c r="A1654" s="12"/>
      <c r="B1654" s="13"/>
      <c r="C1654" s="14"/>
      <c r="D1654" s="15"/>
      <c r="E1654" s="16"/>
      <c r="F1654" s="16"/>
      <c r="I1654" s="18"/>
      <c r="J1654" s="12"/>
      <c r="K1654" s="12"/>
      <c r="L1654" s="13"/>
      <c r="M1654" s="14"/>
      <c r="N1654" s="15"/>
    </row>
    <row r="1655" spans="1:14" s="17" customFormat="1">
      <c r="A1655" s="12"/>
      <c r="B1655" s="13"/>
      <c r="C1655" s="14"/>
      <c r="D1655" s="15"/>
      <c r="E1655" s="16"/>
      <c r="F1655" s="16"/>
      <c r="I1655" s="18"/>
      <c r="J1655" s="12"/>
      <c r="K1655" s="12"/>
      <c r="L1655" s="13"/>
      <c r="M1655" s="14"/>
      <c r="N1655" s="15"/>
    </row>
    <row r="1656" spans="1:14" s="17" customFormat="1">
      <c r="A1656" s="12"/>
      <c r="B1656" s="13"/>
      <c r="C1656" s="14"/>
      <c r="D1656" s="15"/>
      <c r="E1656" s="16"/>
      <c r="F1656" s="16"/>
      <c r="I1656" s="18"/>
      <c r="J1656" s="12"/>
      <c r="K1656" s="12"/>
      <c r="L1656" s="13"/>
      <c r="M1656" s="14"/>
      <c r="N1656" s="15"/>
    </row>
    <row r="1657" spans="1:14" s="17" customFormat="1">
      <c r="A1657" s="12"/>
      <c r="B1657" s="13"/>
      <c r="C1657" s="14"/>
      <c r="D1657" s="15"/>
      <c r="E1657" s="16"/>
      <c r="F1657" s="16"/>
      <c r="I1657" s="18"/>
      <c r="J1657" s="12"/>
      <c r="K1657" s="12"/>
      <c r="L1657" s="13"/>
      <c r="M1657" s="14"/>
      <c r="N1657" s="15"/>
    </row>
    <row r="1658" spans="1:14" s="17" customFormat="1">
      <c r="A1658" s="12"/>
      <c r="B1658" s="13"/>
      <c r="C1658" s="14"/>
      <c r="D1658" s="15"/>
      <c r="E1658" s="16"/>
      <c r="F1658" s="16"/>
      <c r="I1658" s="18"/>
      <c r="J1658" s="12"/>
      <c r="K1658" s="12"/>
      <c r="L1658" s="13"/>
      <c r="M1658" s="14"/>
      <c r="N1658" s="15"/>
    </row>
    <row r="1659" spans="1:14" s="17" customFormat="1">
      <c r="A1659" s="12"/>
      <c r="B1659" s="13"/>
      <c r="C1659" s="14"/>
      <c r="D1659" s="15"/>
      <c r="E1659" s="16"/>
      <c r="F1659" s="16"/>
      <c r="I1659" s="18"/>
      <c r="J1659" s="12"/>
      <c r="K1659" s="12"/>
      <c r="L1659" s="13"/>
      <c r="M1659" s="14"/>
      <c r="N1659" s="15"/>
    </row>
    <row r="1660" spans="1:14" s="17" customFormat="1">
      <c r="A1660" s="12"/>
      <c r="B1660" s="13"/>
      <c r="C1660" s="14"/>
      <c r="D1660" s="15"/>
      <c r="E1660" s="16"/>
      <c r="F1660" s="16"/>
      <c r="I1660" s="18"/>
      <c r="J1660" s="12"/>
      <c r="K1660" s="12"/>
      <c r="L1660" s="13"/>
      <c r="M1660" s="14"/>
      <c r="N1660" s="15"/>
    </row>
    <row r="1661" spans="1:14" s="17" customFormat="1">
      <c r="A1661" s="12"/>
      <c r="B1661" s="13"/>
      <c r="C1661" s="14"/>
      <c r="D1661" s="15"/>
      <c r="E1661" s="16"/>
      <c r="F1661" s="16"/>
      <c r="I1661" s="18"/>
      <c r="J1661" s="12"/>
      <c r="K1661" s="12"/>
      <c r="L1661" s="13"/>
      <c r="M1661" s="14"/>
      <c r="N1661" s="15"/>
    </row>
    <row r="1662" spans="1:14" s="17" customFormat="1">
      <c r="A1662" s="12"/>
      <c r="B1662" s="13"/>
      <c r="C1662" s="14"/>
      <c r="D1662" s="15"/>
      <c r="E1662" s="16"/>
      <c r="F1662" s="16"/>
      <c r="I1662" s="18"/>
      <c r="J1662" s="12"/>
      <c r="K1662" s="12"/>
      <c r="L1662" s="13"/>
      <c r="M1662" s="14"/>
      <c r="N1662" s="15"/>
    </row>
    <row r="1663" spans="1:14" s="17" customFormat="1">
      <c r="A1663" s="12"/>
      <c r="B1663" s="13"/>
      <c r="C1663" s="14"/>
      <c r="D1663" s="15"/>
      <c r="E1663" s="16"/>
      <c r="F1663" s="16"/>
      <c r="I1663" s="18"/>
      <c r="J1663" s="12"/>
      <c r="K1663" s="12"/>
      <c r="L1663" s="13"/>
      <c r="M1663" s="14"/>
      <c r="N1663" s="15"/>
    </row>
    <row r="1664" spans="1:14" s="17" customFormat="1">
      <c r="A1664" s="12"/>
      <c r="B1664" s="13"/>
      <c r="C1664" s="14"/>
      <c r="D1664" s="15"/>
      <c r="E1664" s="16"/>
      <c r="F1664" s="16"/>
      <c r="I1664" s="18"/>
      <c r="J1664" s="12"/>
      <c r="K1664" s="12"/>
      <c r="L1664" s="13"/>
      <c r="M1664" s="14"/>
      <c r="N1664" s="15"/>
    </row>
    <row r="1665" spans="1:14" s="17" customFormat="1">
      <c r="A1665" s="12"/>
      <c r="B1665" s="13"/>
      <c r="C1665" s="14"/>
      <c r="D1665" s="15"/>
      <c r="E1665" s="16"/>
      <c r="F1665" s="16"/>
      <c r="I1665" s="18"/>
      <c r="J1665" s="12"/>
      <c r="K1665" s="12"/>
      <c r="L1665" s="13"/>
      <c r="M1665" s="14"/>
      <c r="N1665" s="15"/>
    </row>
    <row r="1666" spans="1:14" s="17" customFormat="1">
      <c r="A1666" s="12"/>
      <c r="B1666" s="13"/>
      <c r="C1666" s="14"/>
      <c r="D1666" s="15"/>
      <c r="E1666" s="16"/>
      <c r="F1666" s="16"/>
      <c r="I1666" s="18"/>
      <c r="J1666" s="12"/>
      <c r="K1666" s="12"/>
      <c r="L1666" s="13"/>
      <c r="M1666" s="14"/>
      <c r="N1666" s="15"/>
    </row>
    <row r="1667" spans="1:14" s="17" customFormat="1">
      <c r="A1667" s="12"/>
      <c r="B1667" s="13"/>
      <c r="C1667" s="14"/>
      <c r="D1667" s="15"/>
      <c r="E1667" s="16"/>
      <c r="F1667" s="16"/>
      <c r="I1667" s="18"/>
      <c r="J1667" s="12"/>
      <c r="K1667" s="12"/>
      <c r="L1667" s="13"/>
      <c r="M1667" s="14"/>
      <c r="N1667" s="15"/>
    </row>
    <row r="1668" spans="1:14" s="17" customFormat="1">
      <c r="A1668" s="12"/>
      <c r="B1668" s="13"/>
      <c r="C1668" s="14"/>
      <c r="D1668" s="15"/>
      <c r="E1668" s="16"/>
      <c r="F1668" s="16"/>
      <c r="I1668" s="18"/>
      <c r="J1668" s="12"/>
      <c r="K1668" s="12"/>
      <c r="L1668" s="13"/>
      <c r="M1668" s="14"/>
      <c r="N1668" s="15"/>
    </row>
    <row r="1669" spans="1:14" s="17" customFormat="1">
      <c r="A1669" s="12"/>
      <c r="B1669" s="13"/>
      <c r="C1669" s="14"/>
      <c r="D1669" s="15"/>
      <c r="E1669" s="16"/>
      <c r="F1669" s="16"/>
      <c r="I1669" s="18"/>
      <c r="J1669" s="12"/>
      <c r="K1669" s="12"/>
      <c r="L1669" s="13"/>
      <c r="M1669" s="14"/>
      <c r="N1669" s="15"/>
    </row>
    <row r="1670" spans="1:14" s="17" customFormat="1">
      <c r="A1670" s="12"/>
      <c r="B1670" s="13"/>
      <c r="C1670" s="14"/>
      <c r="D1670" s="15"/>
      <c r="E1670" s="16"/>
      <c r="F1670" s="16"/>
      <c r="I1670" s="18"/>
      <c r="J1670" s="12"/>
      <c r="K1670" s="12"/>
      <c r="L1670" s="13"/>
      <c r="M1670" s="14"/>
      <c r="N1670" s="15"/>
    </row>
    <row r="1671" spans="1:14" s="17" customFormat="1">
      <c r="A1671" s="12"/>
      <c r="B1671" s="13"/>
      <c r="C1671" s="14"/>
      <c r="D1671" s="15"/>
      <c r="E1671" s="16"/>
      <c r="F1671" s="16"/>
      <c r="I1671" s="18"/>
      <c r="J1671" s="12"/>
      <c r="K1671" s="12"/>
      <c r="L1671" s="13"/>
      <c r="M1671" s="14"/>
      <c r="N1671" s="15"/>
    </row>
    <row r="1672" spans="1:14" s="17" customFormat="1">
      <c r="A1672" s="12"/>
      <c r="B1672" s="13"/>
      <c r="C1672" s="14"/>
      <c r="D1672" s="15"/>
      <c r="E1672" s="16"/>
      <c r="F1672" s="16"/>
      <c r="I1672" s="18"/>
      <c r="J1672" s="12"/>
      <c r="K1672" s="12"/>
      <c r="L1672" s="13"/>
      <c r="M1672" s="14"/>
      <c r="N1672" s="15"/>
    </row>
    <row r="1673" spans="1:14" s="17" customFormat="1">
      <c r="A1673" s="12"/>
      <c r="B1673" s="13"/>
      <c r="C1673" s="14"/>
      <c r="D1673" s="15"/>
      <c r="E1673" s="16"/>
      <c r="F1673" s="16"/>
      <c r="I1673" s="18"/>
      <c r="J1673" s="12"/>
      <c r="K1673" s="12"/>
      <c r="L1673" s="13"/>
      <c r="M1673" s="14"/>
      <c r="N1673" s="15"/>
    </row>
    <row r="1674" spans="1:14" s="17" customFormat="1">
      <c r="A1674" s="12"/>
      <c r="B1674" s="13"/>
      <c r="C1674" s="14"/>
      <c r="D1674" s="15"/>
      <c r="E1674" s="16"/>
      <c r="F1674" s="16"/>
      <c r="I1674" s="18"/>
      <c r="J1674" s="12"/>
      <c r="K1674" s="12"/>
      <c r="L1674" s="13"/>
      <c r="M1674" s="14"/>
      <c r="N1674" s="15"/>
    </row>
    <row r="1675" spans="1:14" s="17" customFormat="1">
      <c r="A1675" s="12"/>
      <c r="B1675" s="13"/>
      <c r="C1675" s="14"/>
      <c r="D1675" s="15"/>
      <c r="E1675" s="16"/>
      <c r="F1675" s="16"/>
      <c r="I1675" s="18"/>
      <c r="J1675" s="12"/>
      <c r="K1675" s="12"/>
      <c r="L1675" s="13"/>
      <c r="M1675" s="14"/>
      <c r="N1675" s="15"/>
    </row>
    <row r="1676" spans="1:14" s="17" customFormat="1">
      <c r="A1676" s="12"/>
      <c r="B1676" s="13"/>
      <c r="C1676" s="14"/>
      <c r="D1676" s="15"/>
      <c r="E1676" s="16"/>
      <c r="F1676" s="16"/>
      <c r="I1676" s="18"/>
      <c r="J1676" s="12"/>
      <c r="K1676" s="12"/>
      <c r="L1676" s="13"/>
      <c r="M1676" s="14"/>
      <c r="N1676" s="15"/>
    </row>
    <row r="1677" spans="1:14" s="17" customFormat="1">
      <c r="A1677" s="12"/>
      <c r="B1677" s="13"/>
      <c r="C1677" s="14"/>
      <c r="D1677" s="15"/>
      <c r="E1677" s="16"/>
      <c r="F1677" s="16"/>
      <c r="I1677" s="18"/>
      <c r="J1677" s="12"/>
      <c r="K1677" s="12"/>
      <c r="L1677" s="13"/>
      <c r="M1677" s="14"/>
      <c r="N1677" s="15"/>
    </row>
    <row r="1678" spans="1:14" s="17" customFormat="1">
      <c r="A1678" s="12"/>
      <c r="B1678" s="13"/>
      <c r="C1678" s="14"/>
      <c r="D1678" s="15"/>
      <c r="E1678" s="16"/>
      <c r="F1678" s="16"/>
      <c r="I1678" s="18"/>
      <c r="J1678" s="12"/>
      <c r="K1678" s="12"/>
      <c r="L1678" s="13"/>
      <c r="M1678" s="14"/>
      <c r="N1678" s="15"/>
    </row>
    <row r="1679" spans="1:14" s="17" customFormat="1">
      <c r="A1679" s="12"/>
      <c r="B1679" s="13"/>
      <c r="C1679" s="14"/>
      <c r="D1679" s="15"/>
      <c r="E1679" s="16"/>
      <c r="F1679" s="16"/>
      <c r="I1679" s="18"/>
      <c r="J1679" s="12"/>
      <c r="K1679" s="12"/>
      <c r="L1679" s="13"/>
      <c r="M1679" s="14"/>
      <c r="N1679" s="15"/>
    </row>
    <row r="1680" spans="1:14" s="17" customFormat="1">
      <c r="A1680" s="12"/>
      <c r="B1680" s="13"/>
      <c r="C1680" s="14"/>
      <c r="D1680" s="15"/>
      <c r="E1680" s="16"/>
      <c r="F1680" s="16"/>
      <c r="I1680" s="18"/>
      <c r="J1680" s="12"/>
      <c r="K1680" s="12"/>
      <c r="L1680" s="13"/>
      <c r="M1680" s="14"/>
      <c r="N1680" s="15"/>
    </row>
    <row r="1681" spans="1:14" s="17" customFormat="1">
      <c r="A1681" s="12"/>
      <c r="B1681" s="13"/>
      <c r="C1681" s="14"/>
      <c r="D1681" s="15"/>
      <c r="E1681" s="16"/>
      <c r="F1681" s="16"/>
      <c r="I1681" s="18"/>
      <c r="J1681" s="12"/>
      <c r="K1681" s="12"/>
      <c r="L1681" s="13"/>
      <c r="M1681" s="14"/>
      <c r="N1681" s="15"/>
    </row>
    <row r="1682" spans="1:14" s="17" customFormat="1">
      <c r="A1682" s="12"/>
      <c r="B1682" s="13"/>
      <c r="C1682" s="14"/>
      <c r="D1682" s="15"/>
      <c r="E1682" s="16"/>
      <c r="F1682" s="16"/>
      <c r="I1682" s="18"/>
      <c r="J1682" s="12"/>
      <c r="K1682" s="12"/>
      <c r="L1682" s="13"/>
      <c r="M1682" s="14"/>
      <c r="N1682" s="15"/>
    </row>
    <row r="1683" spans="1:14" s="17" customFormat="1">
      <c r="A1683" s="12"/>
      <c r="B1683" s="13"/>
      <c r="C1683" s="14"/>
      <c r="D1683" s="15"/>
      <c r="E1683" s="16"/>
      <c r="F1683" s="16"/>
      <c r="I1683" s="18"/>
      <c r="J1683" s="12"/>
      <c r="K1683" s="12"/>
      <c r="L1683" s="13"/>
      <c r="M1683" s="14"/>
      <c r="N1683" s="15"/>
    </row>
    <row r="1684" spans="1:14" s="17" customFormat="1">
      <c r="A1684" s="12"/>
      <c r="B1684" s="13"/>
      <c r="C1684" s="14"/>
      <c r="D1684" s="15"/>
      <c r="E1684" s="16"/>
      <c r="F1684" s="16"/>
      <c r="I1684" s="18"/>
      <c r="J1684" s="12"/>
      <c r="K1684" s="12"/>
      <c r="L1684" s="13"/>
      <c r="M1684" s="14"/>
      <c r="N1684" s="15"/>
    </row>
    <row r="1685" spans="1:14" s="17" customFormat="1">
      <c r="A1685" s="12"/>
      <c r="B1685" s="13"/>
      <c r="C1685" s="14"/>
      <c r="D1685" s="15"/>
      <c r="E1685" s="16"/>
      <c r="F1685" s="16"/>
      <c r="I1685" s="18"/>
      <c r="J1685" s="12"/>
      <c r="K1685" s="12"/>
      <c r="L1685" s="13"/>
      <c r="M1685" s="14"/>
      <c r="N1685" s="15"/>
    </row>
    <row r="1686" spans="1:14" s="17" customFormat="1">
      <c r="A1686" s="12"/>
      <c r="B1686" s="13"/>
      <c r="C1686" s="14"/>
      <c r="D1686" s="15"/>
      <c r="E1686" s="16"/>
      <c r="F1686" s="16"/>
      <c r="I1686" s="18"/>
      <c r="J1686" s="12"/>
      <c r="K1686" s="12"/>
      <c r="L1686" s="13"/>
      <c r="M1686" s="14"/>
      <c r="N1686" s="15"/>
    </row>
    <row r="1687" spans="1:14" s="17" customFormat="1">
      <c r="A1687" s="12"/>
      <c r="B1687" s="13"/>
      <c r="C1687" s="14"/>
      <c r="D1687" s="15"/>
      <c r="E1687" s="16"/>
      <c r="F1687" s="16"/>
      <c r="I1687" s="18"/>
      <c r="J1687" s="12"/>
      <c r="K1687" s="12"/>
      <c r="L1687" s="13"/>
      <c r="M1687" s="14"/>
      <c r="N1687" s="15"/>
    </row>
    <row r="1688" spans="1:14" s="17" customFormat="1">
      <c r="A1688" s="12"/>
      <c r="B1688" s="13"/>
      <c r="C1688" s="14"/>
      <c r="D1688" s="15"/>
      <c r="E1688" s="16"/>
      <c r="F1688" s="16"/>
      <c r="I1688" s="18"/>
      <c r="J1688" s="12"/>
      <c r="K1688" s="12"/>
      <c r="L1688" s="13"/>
      <c r="M1688" s="14"/>
      <c r="N1688" s="15"/>
    </row>
    <row r="1689" spans="1:14" s="17" customFormat="1">
      <c r="A1689" s="12"/>
      <c r="B1689" s="13"/>
      <c r="C1689" s="14"/>
      <c r="D1689" s="15"/>
      <c r="E1689" s="16"/>
      <c r="F1689" s="16"/>
      <c r="I1689" s="18"/>
      <c r="J1689" s="12"/>
      <c r="K1689" s="12"/>
      <c r="L1689" s="13"/>
      <c r="M1689" s="14"/>
      <c r="N1689" s="15"/>
    </row>
    <row r="1690" spans="1:14" s="17" customFormat="1">
      <c r="A1690" s="12"/>
      <c r="B1690" s="13"/>
      <c r="C1690" s="14"/>
      <c r="D1690" s="15"/>
      <c r="E1690" s="16"/>
      <c r="F1690" s="16"/>
      <c r="I1690" s="18"/>
      <c r="J1690" s="12"/>
      <c r="K1690" s="12"/>
      <c r="L1690" s="13"/>
      <c r="M1690" s="14"/>
      <c r="N1690" s="15"/>
    </row>
    <row r="1691" spans="1:14" s="17" customFormat="1">
      <c r="A1691" s="12"/>
      <c r="B1691" s="13"/>
      <c r="C1691" s="14"/>
      <c r="D1691" s="15"/>
      <c r="E1691" s="16"/>
      <c r="F1691" s="16"/>
      <c r="I1691" s="18"/>
      <c r="J1691" s="12"/>
      <c r="K1691" s="12"/>
      <c r="L1691" s="13"/>
      <c r="M1691" s="14"/>
      <c r="N1691" s="15"/>
    </row>
    <row r="1692" spans="1:14" s="17" customFormat="1">
      <c r="A1692" s="12"/>
      <c r="B1692" s="13"/>
      <c r="C1692" s="14"/>
      <c r="D1692" s="15"/>
      <c r="E1692" s="16"/>
      <c r="F1692" s="16"/>
      <c r="I1692" s="18"/>
      <c r="J1692" s="12"/>
      <c r="K1692" s="12"/>
      <c r="L1692" s="13"/>
      <c r="M1692" s="14"/>
      <c r="N1692" s="15"/>
    </row>
    <row r="1693" spans="1:14" s="17" customFormat="1">
      <c r="A1693" s="12"/>
      <c r="B1693" s="13"/>
      <c r="C1693" s="14"/>
      <c r="D1693" s="15"/>
      <c r="E1693" s="16"/>
      <c r="F1693" s="16"/>
      <c r="I1693" s="18"/>
      <c r="J1693" s="12"/>
      <c r="K1693" s="12"/>
      <c r="L1693" s="13"/>
      <c r="M1693" s="14"/>
      <c r="N1693" s="15"/>
    </row>
    <row r="1694" spans="1:14" s="17" customFormat="1">
      <c r="A1694" s="12"/>
      <c r="B1694" s="13"/>
      <c r="C1694" s="14"/>
      <c r="D1694" s="15"/>
      <c r="E1694" s="16"/>
      <c r="F1694" s="16"/>
      <c r="I1694" s="18"/>
      <c r="J1694" s="12"/>
      <c r="K1694" s="12"/>
      <c r="L1694" s="13"/>
      <c r="M1694" s="14"/>
      <c r="N1694" s="15"/>
    </row>
    <row r="1695" spans="1:14" s="17" customFormat="1">
      <c r="A1695" s="12"/>
      <c r="B1695" s="13"/>
      <c r="C1695" s="14"/>
      <c r="D1695" s="15"/>
      <c r="E1695" s="16"/>
      <c r="F1695" s="16"/>
      <c r="I1695" s="18"/>
      <c r="J1695" s="12"/>
      <c r="K1695" s="12"/>
      <c r="L1695" s="13"/>
      <c r="M1695" s="14"/>
      <c r="N1695" s="15"/>
    </row>
    <row r="1696" spans="1:14" s="17" customFormat="1">
      <c r="A1696" s="12"/>
      <c r="B1696" s="13"/>
      <c r="C1696" s="14"/>
      <c r="D1696" s="15"/>
      <c r="E1696" s="16"/>
      <c r="F1696" s="16"/>
      <c r="I1696" s="18"/>
      <c r="J1696" s="12"/>
      <c r="K1696" s="12"/>
      <c r="L1696" s="13"/>
      <c r="M1696" s="14"/>
      <c r="N1696" s="15"/>
    </row>
    <row r="1697" spans="1:14" s="17" customFormat="1">
      <c r="A1697" s="12"/>
      <c r="B1697" s="13"/>
      <c r="C1697" s="14"/>
      <c r="D1697" s="15"/>
      <c r="E1697" s="16"/>
      <c r="F1697" s="16"/>
      <c r="I1697" s="18"/>
      <c r="J1697" s="12"/>
      <c r="K1697" s="12"/>
      <c r="L1697" s="13"/>
      <c r="M1697" s="14"/>
      <c r="N1697" s="15"/>
    </row>
    <row r="1698" spans="1:14" s="17" customFormat="1">
      <c r="A1698" s="12"/>
      <c r="B1698" s="13"/>
      <c r="C1698" s="14"/>
      <c r="D1698" s="15"/>
      <c r="E1698" s="16"/>
      <c r="F1698" s="16"/>
      <c r="I1698" s="18"/>
      <c r="J1698" s="12"/>
      <c r="K1698" s="12"/>
      <c r="L1698" s="13"/>
      <c r="M1698" s="14"/>
      <c r="N1698" s="15"/>
    </row>
    <row r="1699" spans="1:14" s="17" customFormat="1">
      <c r="A1699" s="12"/>
      <c r="B1699" s="13"/>
      <c r="C1699" s="14"/>
      <c r="D1699" s="15"/>
      <c r="E1699" s="16"/>
      <c r="F1699" s="16"/>
      <c r="I1699" s="18"/>
      <c r="J1699" s="12"/>
      <c r="K1699" s="12"/>
      <c r="L1699" s="13"/>
      <c r="M1699" s="14"/>
      <c r="N1699" s="15"/>
    </row>
    <row r="1700" spans="1:14" s="17" customFormat="1">
      <c r="A1700" s="12"/>
      <c r="B1700" s="13"/>
      <c r="C1700" s="14"/>
      <c r="D1700" s="15"/>
      <c r="E1700" s="16"/>
      <c r="F1700" s="16"/>
      <c r="I1700" s="18"/>
      <c r="J1700" s="12"/>
      <c r="K1700" s="12"/>
      <c r="L1700" s="13"/>
      <c r="M1700" s="14"/>
      <c r="N1700" s="15"/>
    </row>
    <row r="1701" spans="1:14" s="17" customFormat="1">
      <c r="A1701" s="12"/>
      <c r="B1701" s="13"/>
      <c r="C1701" s="14"/>
      <c r="D1701" s="15"/>
      <c r="E1701" s="16"/>
      <c r="F1701" s="16"/>
      <c r="I1701" s="18"/>
      <c r="J1701" s="12"/>
      <c r="K1701" s="12"/>
      <c r="L1701" s="13"/>
      <c r="M1701" s="14"/>
      <c r="N1701" s="15"/>
    </row>
    <row r="1702" spans="1:14" s="17" customFormat="1">
      <c r="A1702" s="12"/>
      <c r="B1702" s="13"/>
      <c r="C1702" s="14"/>
      <c r="D1702" s="15"/>
      <c r="E1702" s="16"/>
      <c r="F1702" s="16"/>
      <c r="I1702" s="18"/>
      <c r="J1702" s="12"/>
      <c r="K1702" s="12"/>
      <c r="L1702" s="13"/>
      <c r="M1702" s="14"/>
      <c r="N1702" s="15"/>
    </row>
    <row r="1703" spans="1:14" s="17" customFormat="1">
      <c r="A1703" s="12"/>
      <c r="B1703" s="13"/>
      <c r="C1703" s="14"/>
      <c r="D1703" s="15"/>
      <c r="E1703" s="16"/>
      <c r="F1703" s="16"/>
      <c r="I1703" s="18"/>
      <c r="J1703" s="12"/>
      <c r="K1703" s="12"/>
      <c r="L1703" s="13"/>
      <c r="M1703" s="14"/>
      <c r="N1703" s="15"/>
    </row>
    <row r="1704" spans="1:14" s="17" customFormat="1">
      <c r="A1704" s="12"/>
      <c r="B1704" s="13"/>
      <c r="C1704" s="14"/>
      <c r="D1704" s="15"/>
      <c r="E1704" s="16"/>
      <c r="F1704" s="16"/>
      <c r="I1704" s="18"/>
      <c r="J1704" s="12"/>
      <c r="K1704" s="12"/>
      <c r="L1704" s="13"/>
      <c r="M1704" s="14"/>
      <c r="N1704" s="15"/>
    </row>
    <row r="1705" spans="1:14" s="17" customFormat="1">
      <c r="A1705" s="12"/>
      <c r="B1705" s="13"/>
      <c r="C1705" s="14"/>
      <c r="D1705" s="15"/>
      <c r="E1705" s="16"/>
      <c r="F1705" s="16"/>
      <c r="I1705" s="18"/>
      <c r="J1705" s="12"/>
      <c r="K1705" s="12"/>
      <c r="L1705" s="13"/>
      <c r="M1705" s="14"/>
      <c r="N1705" s="15"/>
    </row>
    <row r="1706" spans="1:14" s="17" customFormat="1">
      <c r="A1706" s="12"/>
      <c r="B1706" s="13"/>
      <c r="C1706" s="14"/>
      <c r="D1706" s="15"/>
      <c r="E1706" s="16"/>
      <c r="F1706" s="16"/>
      <c r="I1706" s="18"/>
      <c r="J1706" s="12"/>
      <c r="K1706" s="12"/>
      <c r="L1706" s="13"/>
      <c r="M1706" s="14"/>
      <c r="N1706" s="15"/>
    </row>
    <row r="1707" spans="1:14" s="17" customFormat="1">
      <c r="A1707" s="12"/>
      <c r="B1707" s="13"/>
      <c r="C1707" s="14"/>
      <c r="D1707" s="15"/>
      <c r="E1707" s="16"/>
      <c r="F1707" s="16"/>
      <c r="I1707" s="18"/>
      <c r="J1707" s="12"/>
      <c r="K1707" s="12"/>
      <c r="L1707" s="13"/>
      <c r="M1707" s="14"/>
      <c r="N1707" s="15"/>
    </row>
    <row r="1708" spans="1:14" s="17" customFormat="1">
      <c r="A1708" s="12"/>
      <c r="B1708" s="13"/>
      <c r="C1708" s="14"/>
      <c r="D1708" s="15"/>
      <c r="E1708" s="16"/>
      <c r="F1708" s="16"/>
      <c r="I1708" s="18"/>
      <c r="J1708" s="12"/>
      <c r="K1708" s="12"/>
      <c r="L1708" s="13"/>
      <c r="M1708" s="14"/>
      <c r="N1708" s="15"/>
    </row>
    <row r="1709" spans="1:14" s="17" customFormat="1">
      <c r="A1709" s="12"/>
      <c r="B1709" s="13"/>
      <c r="C1709" s="14"/>
      <c r="D1709" s="15"/>
      <c r="E1709" s="16"/>
      <c r="F1709" s="16"/>
      <c r="I1709" s="18"/>
      <c r="J1709" s="12"/>
      <c r="K1709" s="12"/>
      <c r="L1709" s="13"/>
      <c r="M1709" s="14"/>
      <c r="N1709" s="15"/>
    </row>
    <row r="1710" spans="1:14" s="17" customFormat="1">
      <c r="A1710" s="12"/>
      <c r="B1710" s="13"/>
      <c r="C1710" s="14"/>
      <c r="D1710" s="15"/>
      <c r="E1710" s="16"/>
      <c r="F1710" s="16"/>
      <c r="I1710" s="18"/>
      <c r="J1710" s="12"/>
      <c r="K1710" s="12"/>
      <c r="L1710" s="13"/>
      <c r="M1710" s="14"/>
      <c r="N1710" s="15"/>
    </row>
    <row r="1711" spans="1:14" s="17" customFormat="1">
      <c r="A1711" s="12"/>
      <c r="B1711" s="13"/>
      <c r="C1711" s="14"/>
      <c r="D1711" s="15"/>
      <c r="E1711" s="16"/>
      <c r="F1711" s="16"/>
      <c r="I1711" s="18"/>
      <c r="J1711" s="12"/>
      <c r="K1711" s="12"/>
      <c r="L1711" s="13"/>
      <c r="M1711" s="14"/>
      <c r="N1711" s="15"/>
    </row>
    <row r="1712" spans="1:14" s="17" customFormat="1">
      <c r="A1712" s="12"/>
      <c r="B1712" s="13"/>
      <c r="C1712" s="14"/>
      <c r="D1712" s="15"/>
      <c r="E1712" s="16"/>
      <c r="F1712" s="16"/>
      <c r="I1712" s="18"/>
      <c r="J1712" s="12"/>
      <c r="K1712" s="12"/>
      <c r="L1712" s="13"/>
      <c r="M1712" s="14"/>
      <c r="N1712" s="15"/>
    </row>
    <row r="1713" spans="1:14" s="17" customFormat="1">
      <c r="A1713" s="12"/>
      <c r="B1713" s="13"/>
      <c r="C1713" s="14"/>
      <c r="D1713" s="15"/>
      <c r="E1713" s="16"/>
      <c r="F1713" s="16"/>
      <c r="I1713" s="18"/>
      <c r="J1713" s="12"/>
      <c r="K1713" s="12"/>
      <c r="L1713" s="13"/>
      <c r="M1713" s="14"/>
      <c r="N1713" s="15"/>
    </row>
    <row r="1714" spans="1:14" s="17" customFormat="1">
      <c r="A1714" s="12"/>
      <c r="B1714" s="13"/>
      <c r="C1714" s="14"/>
      <c r="D1714" s="15"/>
      <c r="E1714" s="16"/>
      <c r="F1714" s="16"/>
      <c r="I1714" s="18"/>
      <c r="J1714" s="12"/>
      <c r="K1714" s="12"/>
      <c r="L1714" s="13"/>
      <c r="M1714" s="14"/>
      <c r="N1714" s="15"/>
    </row>
    <row r="1715" spans="1:14" s="17" customFormat="1">
      <c r="A1715" s="12"/>
      <c r="B1715" s="13"/>
      <c r="C1715" s="14"/>
      <c r="D1715" s="15"/>
      <c r="E1715" s="16"/>
      <c r="F1715" s="16"/>
      <c r="I1715" s="18"/>
      <c r="J1715" s="12"/>
      <c r="K1715" s="12"/>
      <c r="L1715" s="13"/>
      <c r="M1715" s="14"/>
      <c r="N1715" s="15"/>
    </row>
    <row r="1716" spans="1:14" s="17" customFormat="1">
      <c r="A1716" s="12"/>
      <c r="B1716" s="13"/>
      <c r="C1716" s="14"/>
      <c r="D1716" s="15"/>
      <c r="E1716" s="16"/>
      <c r="F1716" s="16"/>
      <c r="I1716" s="18"/>
      <c r="J1716" s="12"/>
      <c r="K1716" s="12"/>
      <c r="L1716" s="13"/>
      <c r="M1716" s="14"/>
      <c r="N1716" s="15"/>
    </row>
    <row r="1717" spans="1:14" s="17" customFormat="1">
      <c r="A1717" s="12"/>
      <c r="B1717" s="13"/>
      <c r="C1717" s="14"/>
      <c r="D1717" s="15"/>
      <c r="E1717" s="16"/>
      <c r="F1717" s="16"/>
      <c r="I1717" s="18"/>
      <c r="J1717" s="12"/>
      <c r="K1717" s="12"/>
      <c r="L1717" s="13"/>
      <c r="M1717" s="14"/>
      <c r="N1717" s="15"/>
    </row>
    <row r="1718" spans="1:14" s="17" customFormat="1">
      <c r="A1718" s="12"/>
      <c r="B1718" s="13"/>
      <c r="C1718" s="14"/>
      <c r="D1718" s="15"/>
      <c r="E1718" s="16"/>
      <c r="F1718" s="16"/>
      <c r="I1718" s="18"/>
      <c r="J1718" s="12"/>
      <c r="K1718" s="12"/>
      <c r="L1718" s="13"/>
      <c r="M1718" s="14"/>
      <c r="N1718" s="15"/>
    </row>
    <row r="1719" spans="1:14" s="17" customFormat="1">
      <c r="A1719" s="12"/>
      <c r="B1719" s="13"/>
      <c r="C1719" s="14"/>
      <c r="D1719" s="15"/>
      <c r="E1719" s="16"/>
      <c r="F1719" s="16"/>
      <c r="I1719" s="18"/>
      <c r="J1719" s="12"/>
      <c r="K1719" s="12"/>
      <c r="L1719" s="13"/>
      <c r="M1719" s="14"/>
      <c r="N1719" s="15"/>
    </row>
    <row r="1720" spans="1:14" s="17" customFormat="1">
      <c r="A1720" s="12"/>
      <c r="B1720" s="13"/>
      <c r="C1720" s="14"/>
      <c r="D1720" s="15"/>
      <c r="E1720" s="16"/>
      <c r="F1720" s="16"/>
      <c r="I1720" s="18"/>
      <c r="J1720" s="12"/>
      <c r="K1720" s="12"/>
      <c r="L1720" s="13"/>
      <c r="M1720" s="14"/>
      <c r="N1720" s="15"/>
    </row>
    <row r="1721" spans="1:14" s="17" customFormat="1">
      <c r="A1721" s="12"/>
      <c r="B1721" s="13"/>
      <c r="C1721" s="14"/>
      <c r="D1721" s="15"/>
      <c r="E1721" s="16"/>
      <c r="F1721" s="16"/>
      <c r="I1721" s="18"/>
      <c r="J1721" s="12"/>
      <c r="K1721" s="12"/>
      <c r="L1721" s="13"/>
      <c r="M1721" s="14"/>
      <c r="N1721" s="15"/>
    </row>
    <row r="1722" spans="1:14" s="17" customFormat="1">
      <c r="A1722" s="12"/>
      <c r="B1722" s="13"/>
      <c r="C1722" s="14"/>
      <c r="D1722" s="15"/>
      <c r="E1722" s="16"/>
      <c r="F1722" s="16"/>
      <c r="I1722" s="18"/>
      <c r="J1722" s="12"/>
      <c r="K1722" s="12"/>
      <c r="L1722" s="13"/>
      <c r="M1722" s="14"/>
      <c r="N1722" s="15"/>
    </row>
    <row r="1723" spans="1:14" s="17" customFormat="1">
      <c r="A1723" s="12"/>
      <c r="B1723" s="13"/>
      <c r="C1723" s="14"/>
      <c r="D1723" s="15"/>
      <c r="E1723" s="16"/>
      <c r="F1723" s="16"/>
      <c r="I1723" s="18"/>
      <c r="J1723" s="12"/>
      <c r="K1723" s="12"/>
      <c r="L1723" s="13"/>
      <c r="M1723" s="14"/>
      <c r="N1723" s="15"/>
    </row>
    <row r="1724" spans="1:14" s="17" customFormat="1">
      <c r="A1724" s="12"/>
      <c r="B1724" s="13"/>
      <c r="C1724" s="14"/>
      <c r="D1724" s="15"/>
      <c r="E1724" s="16"/>
      <c r="F1724" s="16"/>
      <c r="I1724" s="18"/>
      <c r="J1724" s="12"/>
      <c r="K1724" s="12"/>
      <c r="L1724" s="13"/>
      <c r="M1724" s="14"/>
      <c r="N1724" s="15"/>
    </row>
    <row r="1725" spans="1:14" s="17" customFormat="1">
      <c r="A1725" s="12"/>
      <c r="B1725" s="13"/>
      <c r="C1725" s="14"/>
      <c r="D1725" s="15"/>
      <c r="E1725" s="16"/>
      <c r="F1725" s="16"/>
      <c r="I1725" s="18"/>
      <c r="J1725" s="12"/>
      <c r="K1725" s="12"/>
      <c r="L1725" s="13"/>
      <c r="M1725" s="14"/>
      <c r="N1725" s="15"/>
    </row>
    <row r="1726" spans="1:14" s="17" customFormat="1">
      <c r="A1726" s="12"/>
      <c r="B1726" s="13"/>
      <c r="C1726" s="14"/>
      <c r="D1726" s="15"/>
      <c r="E1726" s="16"/>
      <c r="F1726" s="16"/>
      <c r="I1726" s="18"/>
      <c r="J1726" s="12"/>
      <c r="K1726" s="12"/>
      <c r="L1726" s="13"/>
      <c r="M1726" s="14"/>
      <c r="N1726" s="15"/>
    </row>
    <row r="1727" spans="1:14" s="17" customFormat="1">
      <c r="A1727" s="12"/>
      <c r="B1727" s="13"/>
      <c r="C1727" s="14"/>
      <c r="D1727" s="15"/>
      <c r="E1727" s="16"/>
      <c r="F1727" s="16"/>
      <c r="I1727" s="18"/>
      <c r="J1727" s="12"/>
      <c r="K1727" s="12"/>
      <c r="L1727" s="13"/>
      <c r="M1727" s="14"/>
      <c r="N1727" s="15"/>
    </row>
    <row r="1728" spans="1:14" s="17" customFormat="1">
      <c r="A1728" s="12"/>
      <c r="B1728" s="13"/>
      <c r="C1728" s="14"/>
      <c r="D1728" s="15"/>
      <c r="E1728" s="16"/>
      <c r="F1728" s="16"/>
      <c r="I1728" s="18"/>
      <c r="J1728" s="12"/>
      <c r="K1728" s="12"/>
      <c r="L1728" s="13"/>
      <c r="M1728" s="14"/>
      <c r="N1728" s="15"/>
    </row>
    <row r="1729" spans="1:14" s="17" customFormat="1">
      <c r="A1729" s="12"/>
      <c r="B1729" s="13"/>
      <c r="C1729" s="14"/>
      <c r="D1729" s="15"/>
      <c r="E1729" s="16"/>
      <c r="F1729" s="16"/>
      <c r="I1729" s="18"/>
      <c r="J1729" s="12"/>
      <c r="K1729" s="12"/>
      <c r="L1729" s="13"/>
      <c r="M1729" s="14"/>
      <c r="N1729" s="15"/>
    </row>
    <row r="1730" spans="1:14" s="17" customFormat="1">
      <c r="A1730" s="12"/>
      <c r="B1730" s="13"/>
      <c r="C1730" s="14"/>
      <c r="D1730" s="15"/>
      <c r="E1730" s="16"/>
      <c r="F1730" s="16"/>
      <c r="I1730" s="18"/>
      <c r="J1730" s="12"/>
      <c r="K1730" s="12"/>
      <c r="L1730" s="13"/>
      <c r="M1730" s="14"/>
      <c r="N1730" s="15"/>
    </row>
    <row r="1731" spans="1:14" s="17" customFormat="1">
      <c r="A1731" s="12"/>
      <c r="B1731" s="13"/>
      <c r="C1731" s="14"/>
      <c r="D1731" s="15"/>
      <c r="E1731" s="16"/>
      <c r="F1731" s="16"/>
      <c r="I1731" s="18"/>
      <c r="J1731" s="12"/>
      <c r="K1731" s="12"/>
      <c r="L1731" s="13"/>
      <c r="M1731" s="14"/>
      <c r="N1731" s="15"/>
    </row>
    <row r="1732" spans="1:14" s="17" customFormat="1">
      <c r="A1732" s="12"/>
      <c r="B1732" s="13"/>
      <c r="C1732" s="14"/>
      <c r="D1732" s="15"/>
      <c r="E1732" s="16"/>
      <c r="F1732" s="16"/>
      <c r="I1732" s="18"/>
      <c r="J1732" s="12"/>
      <c r="K1732" s="12"/>
      <c r="L1732" s="13"/>
      <c r="M1732" s="14"/>
      <c r="N1732" s="15"/>
    </row>
    <row r="1733" spans="1:14" s="17" customFormat="1">
      <c r="A1733" s="12"/>
      <c r="B1733" s="13"/>
      <c r="C1733" s="14"/>
      <c r="D1733" s="15"/>
      <c r="E1733" s="16"/>
      <c r="F1733" s="16"/>
      <c r="I1733" s="18"/>
      <c r="J1733" s="12"/>
      <c r="K1733" s="12"/>
      <c r="L1733" s="13"/>
      <c r="M1733" s="14"/>
      <c r="N1733" s="15"/>
    </row>
    <row r="1734" spans="1:14" s="17" customFormat="1">
      <c r="A1734" s="12"/>
      <c r="B1734" s="13"/>
      <c r="C1734" s="14"/>
      <c r="D1734" s="15"/>
      <c r="E1734" s="16"/>
      <c r="F1734" s="16"/>
      <c r="I1734" s="18"/>
      <c r="J1734" s="12"/>
      <c r="K1734" s="12"/>
      <c r="L1734" s="13"/>
      <c r="M1734" s="14"/>
      <c r="N1734" s="15"/>
    </row>
    <row r="1735" spans="1:14" s="17" customFormat="1">
      <c r="A1735" s="12"/>
      <c r="B1735" s="13"/>
      <c r="C1735" s="14"/>
      <c r="D1735" s="15"/>
      <c r="E1735" s="16"/>
      <c r="F1735" s="16"/>
      <c r="I1735" s="18"/>
      <c r="J1735" s="12"/>
      <c r="K1735" s="12"/>
      <c r="L1735" s="13"/>
      <c r="M1735" s="14"/>
      <c r="N1735" s="15"/>
    </row>
    <row r="1736" spans="1:14" s="17" customFormat="1">
      <c r="A1736" s="12"/>
      <c r="B1736" s="13"/>
      <c r="C1736" s="14"/>
      <c r="D1736" s="15"/>
      <c r="E1736" s="16"/>
      <c r="F1736" s="16"/>
      <c r="I1736" s="18"/>
      <c r="J1736" s="12"/>
      <c r="K1736" s="12"/>
      <c r="L1736" s="13"/>
      <c r="M1736" s="14"/>
      <c r="N1736" s="15"/>
    </row>
    <row r="1737" spans="1:14" s="17" customFormat="1">
      <c r="A1737" s="12"/>
      <c r="B1737" s="13"/>
      <c r="C1737" s="14"/>
      <c r="D1737" s="15"/>
      <c r="E1737" s="16"/>
      <c r="F1737" s="16"/>
      <c r="I1737" s="18"/>
      <c r="J1737" s="12"/>
      <c r="K1737" s="12"/>
      <c r="L1737" s="13"/>
      <c r="M1737" s="14"/>
      <c r="N1737" s="15"/>
    </row>
    <row r="1738" spans="1:14" s="17" customFormat="1">
      <c r="A1738" s="12"/>
      <c r="B1738" s="13"/>
      <c r="C1738" s="14"/>
      <c r="D1738" s="15"/>
      <c r="E1738" s="16"/>
      <c r="F1738" s="16"/>
      <c r="I1738" s="18"/>
      <c r="J1738" s="12"/>
      <c r="K1738" s="12"/>
      <c r="L1738" s="13"/>
      <c r="M1738" s="14"/>
      <c r="N1738" s="15"/>
    </row>
    <row r="1739" spans="1:14" s="17" customFormat="1">
      <c r="A1739" s="12"/>
      <c r="B1739" s="13"/>
      <c r="C1739" s="14"/>
      <c r="D1739" s="15"/>
      <c r="E1739" s="16"/>
      <c r="F1739" s="16"/>
      <c r="I1739" s="18"/>
      <c r="J1739" s="12"/>
      <c r="K1739" s="12"/>
      <c r="L1739" s="13"/>
      <c r="M1739" s="14"/>
      <c r="N1739" s="15"/>
    </row>
    <row r="1740" spans="1:14" s="17" customFormat="1">
      <c r="A1740" s="12"/>
      <c r="B1740" s="13"/>
      <c r="C1740" s="14"/>
      <c r="D1740" s="15"/>
      <c r="E1740" s="16"/>
      <c r="F1740" s="16"/>
      <c r="I1740" s="18"/>
      <c r="J1740" s="12"/>
      <c r="K1740" s="12"/>
      <c r="L1740" s="13"/>
      <c r="M1740" s="14"/>
      <c r="N1740" s="15"/>
    </row>
    <row r="1741" spans="1:14" s="17" customFormat="1">
      <c r="A1741" s="12"/>
      <c r="B1741" s="13"/>
      <c r="C1741" s="14"/>
      <c r="D1741" s="15"/>
      <c r="E1741" s="16"/>
      <c r="F1741" s="16"/>
      <c r="I1741" s="18"/>
      <c r="J1741" s="12"/>
      <c r="K1741" s="12"/>
      <c r="L1741" s="13"/>
      <c r="M1741" s="14"/>
      <c r="N1741" s="15"/>
    </row>
    <row r="1742" spans="1:14" s="17" customFormat="1">
      <c r="A1742" s="12"/>
      <c r="B1742" s="13"/>
      <c r="C1742" s="14"/>
      <c r="D1742" s="15"/>
      <c r="E1742" s="16"/>
      <c r="F1742" s="16"/>
      <c r="I1742" s="18"/>
      <c r="J1742" s="12"/>
      <c r="K1742" s="12"/>
      <c r="L1742" s="13"/>
      <c r="M1742" s="14"/>
      <c r="N1742" s="15"/>
    </row>
    <row r="1743" spans="1:14">
      <c r="G1743" s="17"/>
      <c r="H1743" s="17"/>
      <c r="I1743" s="18"/>
    </row>
    <row r="1744" spans="1:14">
      <c r="G1744" s="17"/>
      <c r="H1744" s="17"/>
      <c r="I1744" s="18"/>
    </row>
    <row r="1745" spans="1:14" s="34" customFormat="1">
      <c r="A1745" s="12"/>
      <c r="B1745" s="13"/>
      <c r="C1745" s="14"/>
      <c r="D1745" s="15"/>
      <c r="E1745" s="16"/>
      <c r="F1745" s="16"/>
      <c r="G1745" s="17"/>
      <c r="H1745" s="17"/>
      <c r="I1745" s="18"/>
      <c r="J1745" s="12"/>
      <c r="K1745" s="12"/>
      <c r="L1745" s="13"/>
      <c r="M1745" s="14"/>
      <c r="N1745" s="15"/>
    </row>
    <row r="1746" spans="1:14" s="34" customFormat="1">
      <c r="A1746" s="12"/>
      <c r="B1746" s="13"/>
      <c r="C1746" s="14"/>
      <c r="D1746" s="15"/>
      <c r="E1746" s="16"/>
      <c r="F1746" s="16"/>
      <c r="G1746" s="17"/>
      <c r="H1746" s="17"/>
      <c r="I1746" s="18"/>
      <c r="J1746" s="12"/>
      <c r="K1746" s="12"/>
      <c r="L1746" s="13"/>
      <c r="M1746" s="14"/>
      <c r="N1746" s="15"/>
    </row>
    <row r="1747" spans="1:14">
      <c r="G1747" s="17"/>
      <c r="H1747" s="17"/>
      <c r="I1747" s="18"/>
    </row>
    <row r="1748" spans="1:14">
      <c r="G1748" s="17"/>
      <c r="H1748" s="17"/>
      <c r="I1748" s="18"/>
    </row>
    <row r="1749" spans="1:14" s="17" customFormat="1">
      <c r="A1749" s="12"/>
      <c r="B1749" s="13"/>
      <c r="C1749" s="14"/>
      <c r="D1749" s="15"/>
      <c r="E1749" s="16"/>
      <c r="F1749" s="16"/>
      <c r="I1749" s="18"/>
      <c r="J1749" s="12"/>
      <c r="K1749" s="12"/>
      <c r="L1749" s="13"/>
      <c r="M1749" s="14"/>
      <c r="N1749" s="15"/>
    </row>
    <row r="1750" spans="1:14" s="17" customFormat="1">
      <c r="A1750" s="12"/>
      <c r="B1750" s="13"/>
      <c r="C1750" s="14"/>
      <c r="D1750" s="15"/>
      <c r="E1750" s="16"/>
      <c r="F1750" s="16"/>
      <c r="I1750" s="18"/>
      <c r="J1750" s="12"/>
      <c r="K1750" s="12"/>
      <c r="L1750" s="13"/>
      <c r="M1750" s="14"/>
      <c r="N1750" s="15"/>
    </row>
    <row r="1751" spans="1:14" s="17" customFormat="1">
      <c r="A1751" s="12"/>
      <c r="B1751" s="13"/>
      <c r="C1751" s="14"/>
      <c r="D1751" s="15"/>
      <c r="E1751" s="16"/>
      <c r="F1751" s="16"/>
      <c r="I1751" s="18"/>
      <c r="J1751" s="12"/>
      <c r="K1751" s="12"/>
      <c r="L1751" s="13"/>
      <c r="M1751" s="14"/>
      <c r="N1751" s="15"/>
    </row>
    <row r="1752" spans="1:14" s="17" customFormat="1">
      <c r="A1752" s="12"/>
      <c r="B1752" s="13"/>
      <c r="C1752" s="14"/>
      <c r="D1752" s="15"/>
      <c r="E1752" s="16"/>
      <c r="F1752" s="16"/>
      <c r="I1752" s="18"/>
      <c r="J1752" s="12"/>
      <c r="K1752" s="12"/>
      <c r="L1752" s="13"/>
      <c r="M1752" s="14"/>
      <c r="N1752" s="15"/>
    </row>
    <row r="1753" spans="1:14" s="17" customFormat="1">
      <c r="A1753" s="12"/>
      <c r="B1753" s="13"/>
      <c r="C1753" s="14"/>
      <c r="D1753" s="15"/>
      <c r="E1753" s="16"/>
      <c r="F1753" s="16"/>
      <c r="I1753" s="18"/>
      <c r="J1753" s="12"/>
      <c r="K1753" s="12"/>
      <c r="L1753" s="13"/>
      <c r="M1753" s="14"/>
      <c r="N1753" s="15"/>
    </row>
    <row r="1754" spans="1:14" s="17" customFormat="1">
      <c r="A1754" s="12"/>
      <c r="B1754" s="13"/>
      <c r="C1754" s="14"/>
      <c r="D1754" s="15"/>
      <c r="E1754" s="16"/>
      <c r="F1754" s="16"/>
      <c r="I1754" s="18"/>
      <c r="J1754" s="12"/>
      <c r="K1754" s="12"/>
      <c r="L1754" s="13"/>
      <c r="M1754" s="14"/>
      <c r="N1754" s="15"/>
    </row>
    <row r="1755" spans="1:14" s="17" customFormat="1">
      <c r="A1755" s="12"/>
      <c r="B1755" s="13"/>
      <c r="C1755" s="14"/>
      <c r="D1755" s="15"/>
      <c r="E1755" s="16"/>
      <c r="F1755" s="16"/>
      <c r="I1755" s="18"/>
      <c r="J1755" s="12"/>
      <c r="K1755" s="12"/>
      <c r="L1755" s="13"/>
      <c r="M1755" s="14"/>
      <c r="N1755" s="15"/>
    </row>
    <row r="1756" spans="1:14" s="17" customFormat="1">
      <c r="A1756" s="12"/>
      <c r="B1756" s="13"/>
      <c r="C1756" s="14"/>
      <c r="D1756" s="15"/>
      <c r="E1756" s="16"/>
      <c r="F1756" s="16"/>
      <c r="I1756" s="18"/>
      <c r="J1756" s="12"/>
      <c r="K1756" s="12"/>
      <c r="L1756" s="13"/>
      <c r="M1756" s="14"/>
      <c r="N1756" s="15"/>
    </row>
    <row r="1757" spans="1:14" s="17" customFormat="1">
      <c r="A1757" s="12"/>
      <c r="B1757" s="13"/>
      <c r="C1757" s="14"/>
      <c r="D1757" s="15"/>
      <c r="E1757" s="16"/>
      <c r="F1757" s="16"/>
      <c r="I1757" s="18"/>
      <c r="J1757" s="12"/>
      <c r="K1757" s="12"/>
      <c r="L1757" s="13"/>
      <c r="M1757" s="14"/>
      <c r="N1757" s="15"/>
    </row>
    <row r="1758" spans="1:14" s="17" customFormat="1">
      <c r="A1758" s="12"/>
      <c r="B1758" s="13"/>
      <c r="C1758" s="14"/>
      <c r="D1758" s="15"/>
      <c r="E1758" s="16"/>
      <c r="F1758" s="16"/>
      <c r="I1758" s="18"/>
      <c r="J1758" s="12"/>
      <c r="K1758" s="12"/>
      <c r="L1758" s="13"/>
      <c r="M1758" s="14"/>
      <c r="N1758" s="15"/>
    </row>
    <row r="1759" spans="1:14" s="17" customFormat="1">
      <c r="A1759" s="12"/>
      <c r="B1759" s="13"/>
      <c r="C1759" s="14"/>
      <c r="D1759" s="15"/>
      <c r="E1759" s="16"/>
      <c r="F1759" s="16"/>
      <c r="I1759" s="18"/>
      <c r="J1759" s="12"/>
      <c r="K1759" s="12"/>
      <c r="L1759" s="13"/>
      <c r="M1759" s="14"/>
      <c r="N1759" s="15"/>
    </row>
    <row r="1760" spans="1:14" s="17" customFormat="1">
      <c r="A1760" s="12"/>
      <c r="B1760" s="13"/>
      <c r="C1760" s="14"/>
      <c r="D1760" s="15"/>
      <c r="E1760" s="16"/>
      <c r="F1760" s="16"/>
      <c r="I1760" s="18"/>
      <c r="J1760" s="12"/>
      <c r="K1760" s="12"/>
      <c r="L1760" s="13"/>
      <c r="M1760" s="14"/>
      <c r="N1760" s="15"/>
    </row>
    <row r="1761" spans="1:14" s="17" customFormat="1">
      <c r="A1761" s="12"/>
      <c r="B1761" s="13"/>
      <c r="C1761" s="14"/>
      <c r="D1761" s="15"/>
      <c r="E1761" s="16"/>
      <c r="F1761" s="16"/>
      <c r="I1761" s="18"/>
      <c r="J1761" s="12"/>
      <c r="K1761" s="12"/>
      <c r="L1761" s="13"/>
      <c r="M1761" s="14"/>
      <c r="N1761" s="15"/>
    </row>
    <row r="1762" spans="1:14" s="17" customFormat="1">
      <c r="A1762" s="12"/>
      <c r="B1762" s="13"/>
      <c r="C1762" s="14"/>
      <c r="D1762" s="15"/>
      <c r="E1762" s="16"/>
      <c r="F1762" s="16"/>
      <c r="I1762" s="18"/>
      <c r="J1762" s="12"/>
      <c r="K1762" s="12"/>
      <c r="L1762" s="13"/>
      <c r="M1762" s="14"/>
      <c r="N1762" s="15"/>
    </row>
    <row r="1763" spans="1:14" s="17" customFormat="1">
      <c r="A1763" s="12"/>
      <c r="B1763" s="13"/>
      <c r="C1763" s="14"/>
      <c r="D1763" s="15"/>
      <c r="E1763" s="16"/>
      <c r="F1763" s="16"/>
      <c r="I1763" s="18"/>
      <c r="J1763" s="12"/>
      <c r="K1763" s="12"/>
      <c r="L1763" s="13"/>
      <c r="M1763" s="14"/>
      <c r="N1763" s="15"/>
    </row>
    <row r="1764" spans="1:14" s="17" customFormat="1">
      <c r="A1764" s="12"/>
      <c r="B1764" s="13"/>
      <c r="C1764" s="14"/>
      <c r="D1764" s="15"/>
      <c r="E1764" s="16"/>
      <c r="F1764" s="16"/>
      <c r="I1764" s="18"/>
      <c r="J1764" s="12"/>
      <c r="K1764" s="12"/>
      <c r="L1764" s="13"/>
      <c r="M1764" s="14"/>
      <c r="N1764" s="15"/>
    </row>
    <row r="1765" spans="1:14" s="17" customFormat="1">
      <c r="A1765" s="12"/>
      <c r="B1765" s="13"/>
      <c r="C1765" s="14"/>
      <c r="D1765" s="15"/>
      <c r="E1765" s="16"/>
      <c r="F1765" s="16"/>
      <c r="I1765" s="18"/>
      <c r="J1765" s="12"/>
      <c r="K1765" s="12"/>
      <c r="L1765" s="13"/>
      <c r="M1765" s="14"/>
      <c r="N1765" s="15"/>
    </row>
    <row r="1766" spans="1:14" s="17" customFormat="1">
      <c r="A1766" s="12"/>
      <c r="B1766" s="13"/>
      <c r="C1766" s="14"/>
      <c r="D1766" s="15"/>
      <c r="E1766" s="16"/>
      <c r="F1766" s="16"/>
      <c r="I1766" s="18"/>
      <c r="J1766" s="12"/>
      <c r="K1766" s="12"/>
      <c r="L1766" s="13"/>
      <c r="M1766" s="14"/>
      <c r="N1766" s="15"/>
    </row>
    <row r="1767" spans="1:14" s="17" customFormat="1">
      <c r="A1767" s="12"/>
      <c r="B1767" s="13"/>
      <c r="C1767" s="14"/>
      <c r="D1767" s="15"/>
      <c r="E1767" s="16"/>
      <c r="F1767" s="16"/>
      <c r="I1767" s="18"/>
      <c r="J1767" s="12"/>
      <c r="K1767" s="12"/>
      <c r="L1767" s="13"/>
      <c r="M1767" s="14"/>
      <c r="N1767" s="15"/>
    </row>
    <row r="1768" spans="1:14" s="17" customFormat="1">
      <c r="A1768" s="12"/>
      <c r="B1768" s="13"/>
      <c r="C1768" s="14"/>
      <c r="D1768" s="15"/>
      <c r="E1768" s="16"/>
      <c r="F1768" s="16"/>
      <c r="I1768" s="18"/>
      <c r="J1768" s="12"/>
      <c r="K1768" s="12"/>
      <c r="L1768" s="13"/>
      <c r="M1768" s="14"/>
      <c r="N1768" s="15"/>
    </row>
    <row r="1769" spans="1:14" s="17" customFormat="1">
      <c r="A1769" s="12"/>
      <c r="B1769" s="13"/>
      <c r="C1769" s="14"/>
      <c r="D1769" s="15"/>
      <c r="E1769" s="16"/>
      <c r="F1769" s="16"/>
      <c r="I1769" s="18"/>
      <c r="J1769" s="12"/>
      <c r="K1769" s="12"/>
      <c r="L1769" s="13"/>
      <c r="M1769" s="14"/>
      <c r="N1769" s="15"/>
    </row>
    <row r="1770" spans="1:14" s="17" customFormat="1">
      <c r="A1770" s="12"/>
      <c r="B1770" s="13"/>
      <c r="C1770" s="14"/>
      <c r="D1770" s="15"/>
      <c r="E1770" s="16"/>
      <c r="F1770" s="16"/>
      <c r="I1770" s="18"/>
      <c r="J1770" s="12"/>
      <c r="K1770" s="12"/>
      <c r="L1770" s="13"/>
      <c r="M1770" s="14"/>
      <c r="N1770" s="15"/>
    </row>
    <row r="1771" spans="1:14" s="17" customFormat="1">
      <c r="A1771" s="12"/>
      <c r="B1771" s="13"/>
      <c r="C1771" s="14"/>
      <c r="D1771" s="15"/>
      <c r="E1771" s="16"/>
      <c r="F1771" s="16"/>
      <c r="I1771" s="18"/>
      <c r="J1771" s="12"/>
      <c r="K1771" s="12"/>
      <c r="L1771" s="13"/>
      <c r="M1771" s="14"/>
      <c r="N1771" s="15"/>
    </row>
    <row r="1772" spans="1:14" s="17" customFormat="1">
      <c r="A1772" s="12"/>
      <c r="B1772" s="13"/>
      <c r="C1772" s="14"/>
      <c r="D1772" s="15"/>
      <c r="E1772" s="16"/>
      <c r="F1772" s="16"/>
      <c r="I1772" s="18"/>
      <c r="J1772" s="12"/>
      <c r="K1772" s="12"/>
      <c r="L1772" s="13"/>
      <c r="M1772" s="14"/>
      <c r="N1772" s="15"/>
    </row>
    <row r="1773" spans="1:14" s="17" customFormat="1">
      <c r="A1773" s="12"/>
      <c r="B1773" s="13"/>
      <c r="C1773" s="14"/>
      <c r="D1773" s="15"/>
      <c r="E1773" s="16"/>
      <c r="F1773" s="16"/>
      <c r="I1773" s="18"/>
      <c r="J1773" s="12"/>
      <c r="K1773" s="12"/>
      <c r="L1773" s="13"/>
      <c r="M1773" s="14"/>
      <c r="N1773" s="15"/>
    </row>
    <row r="1774" spans="1:14" s="17" customFormat="1">
      <c r="A1774" s="12"/>
      <c r="B1774" s="13"/>
      <c r="C1774" s="14"/>
      <c r="D1774" s="15"/>
      <c r="E1774" s="16"/>
      <c r="F1774" s="16"/>
      <c r="I1774" s="18"/>
      <c r="J1774" s="12"/>
      <c r="K1774" s="12"/>
      <c r="L1774" s="13"/>
      <c r="M1774" s="14"/>
      <c r="N1774" s="15"/>
    </row>
    <row r="1775" spans="1:14" s="17" customFormat="1">
      <c r="A1775" s="12"/>
      <c r="B1775" s="13"/>
      <c r="C1775" s="14"/>
      <c r="D1775" s="15"/>
      <c r="E1775" s="16"/>
      <c r="F1775" s="16"/>
      <c r="I1775" s="18"/>
      <c r="J1775" s="12"/>
      <c r="K1775" s="12"/>
      <c r="L1775" s="13"/>
      <c r="M1775" s="14"/>
      <c r="N1775" s="15"/>
    </row>
    <row r="1776" spans="1:14" s="17" customFormat="1">
      <c r="A1776" s="12"/>
      <c r="B1776" s="13"/>
      <c r="C1776" s="14"/>
      <c r="D1776" s="15"/>
      <c r="E1776" s="16"/>
      <c r="F1776" s="16"/>
      <c r="I1776" s="18"/>
      <c r="J1776" s="12"/>
      <c r="K1776" s="12"/>
      <c r="L1776" s="13"/>
      <c r="M1776" s="14"/>
      <c r="N1776" s="15"/>
    </row>
    <row r="1777" spans="1:14" s="17" customFormat="1">
      <c r="A1777" s="12"/>
      <c r="B1777" s="13"/>
      <c r="C1777" s="14"/>
      <c r="D1777" s="15"/>
      <c r="E1777" s="16"/>
      <c r="F1777" s="16"/>
      <c r="I1777" s="18"/>
      <c r="J1777" s="12"/>
      <c r="K1777" s="12"/>
      <c r="L1777" s="13"/>
      <c r="M1777" s="14"/>
      <c r="N1777" s="15"/>
    </row>
    <row r="1778" spans="1:14" s="17" customFormat="1">
      <c r="A1778" s="12"/>
      <c r="B1778" s="13"/>
      <c r="C1778" s="14"/>
      <c r="D1778" s="15"/>
      <c r="E1778" s="16"/>
      <c r="F1778" s="16"/>
      <c r="I1778" s="18"/>
      <c r="J1778" s="12"/>
      <c r="K1778" s="12"/>
      <c r="L1778" s="13"/>
      <c r="M1778" s="14"/>
      <c r="N1778" s="15"/>
    </row>
    <row r="1779" spans="1:14" s="17" customFormat="1">
      <c r="A1779" s="12"/>
      <c r="B1779" s="13"/>
      <c r="C1779" s="14"/>
      <c r="D1779" s="15"/>
      <c r="E1779" s="16"/>
      <c r="F1779" s="16"/>
      <c r="I1779" s="18"/>
      <c r="J1779" s="12"/>
      <c r="K1779" s="12"/>
      <c r="L1779" s="13"/>
      <c r="M1779" s="14"/>
      <c r="N1779" s="15"/>
    </row>
    <row r="1780" spans="1:14" s="17" customFormat="1">
      <c r="A1780" s="12"/>
      <c r="B1780" s="13"/>
      <c r="C1780" s="14"/>
      <c r="D1780" s="15"/>
      <c r="E1780" s="16"/>
      <c r="F1780" s="16"/>
      <c r="I1780" s="18"/>
      <c r="J1780" s="12"/>
      <c r="K1780" s="12"/>
      <c r="L1780" s="13"/>
      <c r="M1780" s="14"/>
      <c r="N1780" s="15"/>
    </row>
    <row r="1781" spans="1:14" s="17" customFormat="1">
      <c r="A1781" s="12"/>
      <c r="B1781" s="13"/>
      <c r="C1781" s="14"/>
      <c r="D1781" s="15"/>
      <c r="E1781" s="16"/>
      <c r="F1781" s="16"/>
      <c r="I1781" s="18"/>
      <c r="J1781" s="12"/>
      <c r="K1781" s="12"/>
      <c r="L1781" s="13"/>
      <c r="M1781" s="14"/>
      <c r="N1781" s="15"/>
    </row>
    <row r="1782" spans="1:14" s="17" customFormat="1">
      <c r="A1782" s="12"/>
      <c r="B1782" s="13"/>
      <c r="C1782" s="14"/>
      <c r="D1782" s="15"/>
      <c r="E1782" s="16"/>
      <c r="F1782" s="16"/>
      <c r="I1782" s="18"/>
      <c r="J1782" s="12"/>
      <c r="K1782" s="12"/>
      <c r="L1782" s="13"/>
      <c r="M1782" s="14"/>
      <c r="N1782" s="15"/>
    </row>
    <row r="1783" spans="1:14" s="17" customFormat="1">
      <c r="A1783" s="12"/>
      <c r="B1783" s="13"/>
      <c r="C1783" s="14"/>
      <c r="D1783" s="15"/>
      <c r="E1783" s="16"/>
      <c r="F1783" s="16"/>
      <c r="I1783" s="18"/>
      <c r="J1783" s="12"/>
      <c r="K1783" s="12"/>
      <c r="L1783" s="13"/>
      <c r="M1783" s="14"/>
      <c r="N1783" s="15"/>
    </row>
    <row r="1784" spans="1:14" s="17" customFormat="1">
      <c r="A1784" s="12"/>
      <c r="B1784" s="13"/>
      <c r="C1784" s="14"/>
      <c r="D1784" s="15"/>
      <c r="E1784" s="16"/>
      <c r="F1784" s="16"/>
      <c r="I1784" s="18"/>
      <c r="J1784" s="12"/>
      <c r="K1784" s="12"/>
      <c r="L1784" s="13"/>
      <c r="M1784" s="14"/>
      <c r="N1784" s="15"/>
    </row>
    <row r="1785" spans="1:14" s="17" customFormat="1">
      <c r="A1785" s="12"/>
      <c r="B1785" s="13"/>
      <c r="C1785" s="14"/>
      <c r="D1785" s="15"/>
      <c r="E1785" s="16"/>
      <c r="F1785" s="16"/>
      <c r="I1785" s="18"/>
      <c r="J1785" s="12"/>
      <c r="K1785" s="12"/>
      <c r="L1785" s="13"/>
      <c r="M1785" s="14"/>
      <c r="N1785" s="15"/>
    </row>
    <row r="1786" spans="1:14" s="17" customFormat="1">
      <c r="A1786" s="12"/>
      <c r="B1786" s="13"/>
      <c r="C1786" s="14"/>
      <c r="D1786" s="15"/>
      <c r="E1786" s="16"/>
      <c r="F1786" s="16"/>
      <c r="I1786" s="18"/>
      <c r="J1786" s="12"/>
      <c r="K1786" s="12"/>
      <c r="L1786" s="13"/>
      <c r="M1786" s="14"/>
      <c r="N1786" s="15"/>
    </row>
    <row r="1787" spans="1:14" s="17" customFormat="1">
      <c r="A1787" s="12"/>
      <c r="B1787" s="13"/>
      <c r="C1787" s="14"/>
      <c r="D1787" s="15"/>
      <c r="E1787" s="16"/>
      <c r="F1787" s="16"/>
      <c r="I1787" s="18"/>
      <c r="J1787" s="12"/>
      <c r="K1787" s="12"/>
      <c r="L1787" s="13"/>
      <c r="M1787" s="14"/>
      <c r="N1787" s="15"/>
    </row>
    <row r="1788" spans="1:14" s="17" customFormat="1">
      <c r="A1788" s="12"/>
      <c r="B1788" s="13"/>
      <c r="C1788" s="14"/>
      <c r="D1788" s="15"/>
      <c r="E1788" s="16"/>
      <c r="F1788" s="16"/>
      <c r="I1788" s="18"/>
      <c r="J1788" s="12"/>
      <c r="K1788" s="12"/>
      <c r="L1788" s="13"/>
      <c r="M1788" s="14"/>
      <c r="N1788" s="15"/>
    </row>
    <row r="1789" spans="1:14" s="17" customFormat="1">
      <c r="A1789" s="12"/>
      <c r="B1789" s="13"/>
      <c r="C1789" s="14"/>
      <c r="D1789" s="15"/>
      <c r="E1789" s="16"/>
      <c r="F1789" s="16"/>
      <c r="I1789" s="18"/>
      <c r="J1789" s="12"/>
      <c r="K1789" s="12"/>
      <c r="L1789" s="13"/>
      <c r="M1789" s="14"/>
      <c r="N1789" s="15"/>
    </row>
    <row r="1790" spans="1:14" s="17" customFormat="1">
      <c r="A1790" s="12"/>
      <c r="B1790" s="13"/>
      <c r="C1790" s="14"/>
      <c r="D1790" s="15"/>
      <c r="E1790" s="16"/>
      <c r="F1790" s="16"/>
      <c r="I1790" s="18"/>
      <c r="J1790" s="12"/>
      <c r="K1790" s="12"/>
      <c r="L1790" s="13"/>
      <c r="M1790" s="14"/>
      <c r="N1790" s="15"/>
    </row>
    <row r="1791" spans="1:14" s="17" customFormat="1">
      <c r="A1791" s="12"/>
      <c r="B1791" s="13"/>
      <c r="C1791" s="14"/>
      <c r="D1791" s="15"/>
      <c r="E1791" s="16"/>
      <c r="F1791" s="16"/>
      <c r="I1791" s="18"/>
      <c r="J1791" s="12"/>
      <c r="K1791" s="12"/>
      <c r="L1791" s="13"/>
      <c r="M1791" s="14"/>
      <c r="N1791" s="15"/>
    </row>
    <row r="1792" spans="1:14" s="17" customFormat="1">
      <c r="A1792" s="12"/>
      <c r="B1792" s="13"/>
      <c r="C1792" s="14"/>
      <c r="D1792" s="15"/>
      <c r="E1792" s="16"/>
      <c r="F1792" s="16"/>
      <c r="I1792" s="18"/>
      <c r="J1792" s="12"/>
      <c r="K1792" s="12"/>
      <c r="L1792" s="13"/>
      <c r="M1792" s="14"/>
      <c r="N1792" s="15"/>
    </row>
    <row r="1793" spans="1:14" s="17" customFormat="1">
      <c r="A1793" s="12"/>
      <c r="B1793" s="13"/>
      <c r="C1793" s="14"/>
      <c r="D1793" s="15"/>
      <c r="E1793" s="16"/>
      <c r="F1793" s="16"/>
      <c r="I1793" s="18"/>
      <c r="J1793" s="12"/>
      <c r="K1793" s="12"/>
      <c r="L1793" s="13"/>
      <c r="M1793" s="14"/>
      <c r="N1793" s="15"/>
    </row>
    <row r="1794" spans="1:14" s="17" customFormat="1">
      <c r="A1794" s="12"/>
      <c r="B1794" s="13"/>
      <c r="C1794" s="14"/>
      <c r="D1794" s="15"/>
      <c r="E1794" s="16"/>
      <c r="F1794" s="16"/>
      <c r="I1794" s="18"/>
      <c r="J1794" s="12"/>
      <c r="K1794" s="12"/>
      <c r="L1794" s="13"/>
      <c r="M1794" s="14"/>
      <c r="N1794" s="15"/>
    </row>
    <row r="1795" spans="1:14" s="17" customFormat="1">
      <c r="A1795" s="12"/>
      <c r="B1795" s="13"/>
      <c r="C1795" s="14"/>
      <c r="D1795" s="15"/>
      <c r="E1795" s="16"/>
      <c r="F1795" s="16"/>
      <c r="I1795" s="18"/>
      <c r="J1795" s="12"/>
      <c r="K1795" s="12"/>
      <c r="L1795" s="13"/>
      <c r="M1795" s="14"/>
      <c r="N1795" s="15"/>
    </row>
    <row r="1796" spans="1:14" s="17" customFormat="1">
      <c r="A1796" s="12"/>
      <c r="B1796" s="13"/>
      <c r="C1796" s="14"/>
      <c r="D1796" s="15"/>
      <c r="E1796" s="16"/>
      <c r="F1796" s="16"/>
      <c r="I1796" s="18"/>
      <c r="J1796" s="12"/>
      <c r="K1796" s="12"/>
      <c r="L1796" s="13"/>
      <c r="M1796" s="14"/>
      <c r="N1796" s="15"/>
    </row>
    <row r="1797" spans="1:14" s="17" customFormat="1">
      <c r="A1797" s="12"/>
      <c r="B1797" s="13"/>
      <c r="C1797" s="14"/>
      <c r="D1797" s="15"/>
      <c r="E1797" s="16"/>
      <c r="F1797" s="16"/>
      <c r="I1797" s="18"/>
      <c r="J1797" s="12"/>
      <c r="K1797" s="12"/>
      <c r="L1797" s="13"/>
      <c r="M1797" s="14"/>
      <c r="N1797" s="15"/>
    </row>
    <row r="1798" spans="1:14" s="17" customFormat="1">
      <c r="A1798" s="12"/>
      <c r="B1798" s="13"/>
      <c r="C1798" s="14"/>
      <c r="D1798" s="15"/>
      <c r="E1798" s="16"/>
      <c r="F1798" s="16"/>
      <c r="I1798" s="18"/>
      <c r="J1798" s="12"/>
      <c r="K1798" s="12"/>
      <c r="L1798" s="13"/>
      <c r="M1798" s="14"/>
      <c r="N1798" s="15"/>
    </row>
    <row r="1799" spans="1:14" s="17" customFormat="1">
      <c r="A1799" s="12"/>
      <c r="B1799" s="13"/>
      <c r="C1799" s="14"/>
      <c r="D1799" s="15"/>
      <c r="E1799" s="16"/>
      <c r="F1799" s="16"/>
      <c r="I1799" s="18"/>
      <c r="J1799" s="12"/>
      <c r="K1799" s="12"/>
      <c r="L1799" s="13"/>
      <c r="M1799" s="14"/>
      <c r="N1799" s="15"/>
    </row>
    <row r="1800" spans="1:14" s="17" customFormat="1">
      <c r="A1800" s="12"/>
      <c r="B1800" s="13"/>
      <c r="C1800" s="14"/>
      <c r="D1800" s="15"/>
      <c r="E1800" s="16"/>
      <c r="F1800" s="16"/>
      <c r="I1800" s="18"/>
      <c r="J1800" s="12"/>
      <c r="K1800" s="12"/>
      <c r="L1800" s="13"/>
      <c r="M1800" s="14"/>
      <c r="N1800" s="15"/>
    </row>
    <row r="1801" spans="1:14" s="17" customFormat="1">
      <c r="A1801" s="12"/>
      <c r="B1801" s="13"/>
      <c r="C1801" s="14"/>
      <c r="D1801" s="15"/>
      <c r="E1801" s="16"/>
      <c r="F1801" s="16"/>
      <c r="I1801" s="18"/>
      <c r="J1801" s="12"/>
      <c r="K1801" s="12"/>
      <c r="L1801" s="13"/>
      <c r="M1801" s="14"/>
      <c r="N1801" s="15"/>
    </row>
    <row r="1802" spans="1:14" s="17" customFormat="1">
      <c r="A1802" s="12"/>
      <c r="B1802" s="13"/>
      <c r="C1802" s="14"/>
      <c r="D1802" s="15"/>
      <c r="E1802" s="16"/>
      <c r="F1802" s="16"/>
      <c r="I1802" s="18"/>
      <c r="J1802" s="12"/>
      <c r="K1802" s="12"/>
      <c r="L1802" s="13"/>
      <c r="M1802" s="14"/>
      <c r="N1802" s="15"/>
    </row>
    <row r="1803" spans="1:14" s="17" customFormat="1">
      <c r="A1803" s="12"/>
      <c r="B1803" s="13"/>
      <c r="C1803" s="14"/>
      <c r="D1803" s="15"/>
      <c r="E1803" s="16"/>
      <c r="F1803" s="16"/>
      <c r="I1803" s="18"/>
      <c r="J1803" s="12"/>
      <c r="K1803" s="12"/>
      <c r="L1803" s="13"/>
      <c r="M1803" s="14"/>
      <c r="N1803" s="15"/>
    </row>
    <row r="1804" spans="1:14" s="17" customFormat="1">
      <c r="A1804" s="12"/>
      <c r="B1804" s="13"/>
      <c r="C1804" s="14"/>
      <c r="D1804" s="15"/>
      <c r="E1804" s="16"/>
      <c r="F1804" s="16"/>
      <c r="I1804" s="18"/>
      <c r="J1804" s="12"/>
      <c r="K1804" s="12"/>
      <c r="L1804" s="13"/>
      <c r="M1804" s="14"/>
      <c r="N1804" s="15"/>
    </row>
    <row r="1805" spans="1:14" s="17" customFormat="1">
      <c r="A1805" s="12"/>
      <c r="B1805" s="13"/>
      <c r="C1805" s="14"/>
      <c r="D1805" s="15"/>
      <c r="E1805" s="16"/>
      <c r="F1805" s="16"/>
      <c r="I1805" s="18"/>
      <c r="J1805" s="12"/>
      <c r="K1805" s="12"/>
      <c r="L1805" s="13"/>
      <c r="M1805" s="14"/>
      <c r="N1805" s="15"/>
    </row>
    <row r="1806" spans="1:14" s="17" customFormat="1">
      <c r="A1806" s="12"/>
      <c r="B1806" s="13"/>
      <c r="C1806" s="14"/>
      <c r="D1806" s="15"/>
      <c r="E1806" s="16"/>
      <c r="F1806" s="16"/>
      <c r="I1806" s="18"/>
      <c r="J1806" s="12"/>
      <c r="K1806" s="12"/>
      <c r="L1806" s="13"/>
      <c r="M1806" s="14"/>
      <c r="N1806" s="15"/>
    </row>
    <row r="1807" spans="1:14" s="17" customFormat="1">
      <c r="A1807" s="12"/>
      <c r="B1807" s="13"/>
      <c r="C1807" s="14"/>
      <c r="D1807" s="15"/>
      <c r="E1807" s="16"/>
      <c r="F1807" s="16"/>
      <c r="I1807" s="18"/>
      <c r="J1807" s="12"/>
      <c r="K1807" s="12"/>
      <c r="L1807" s="13"/>
      <c r="M1807" s="14"/>
      <c r="N1807" s="15"/>
    </row>
    <row r="1808" spans="1:14" s="17" customFormat="1">
      <c r="A1808" s="12"/>
      <c r="B1808" s="13"/>
      <c r="C1808" s="14"/>
      <c r="D1808" s="15"/>
      <c r="E1808" s="16"/>
      <c r="F1808" s="16"/>
      <c r="I1808" s="18"/>
      <c r="J1808" s="12"/>
      <c r="K1808" s="12"/>
      <c r="L1808" s="13"/>
      <c r="M1808" s="14"/>
      <c r="N1808" s="15"/>
    </row>
    <row r="1809" spans="1:14" s="17" customFormat="1">
      <c r="A1809" s="12"/>
      <c r="B1809" s="13"/>
      <c r="C1809" s="14"/>
      <c r="D1809" s="15"/>
      <c r="E1809" s="16"/>
      <c r="F1809" s="16"/>
      <c r="I1809" s="18"/>
      <c r="J1809" s="12"/>
      <c r="K1809" s="12"/>
      <c r="L1809" s="13"/>
      <c r="M1809" s="14"/>
      <c r="N1809" s="15"/>
    </row>
    <row r="1810" spans="1:14" s="17" customFormat="1">
      <c r="A1810" s="12"/>
      <c r="B1810" s="13"/>
      <c r="C1810" s="14"/>
      <c r="D1810" s="15"/>
      <c r="E1810" s="16"/>
      <c r="F1810" s="16"/>
      <c r="I1810" s="18"/>
      <c r="J1810" s="12"/>
      <c r="K1810" s="12"/>
      <c r="L1810" s="13"/>
      <c r="M1810" s="14"/>
      <c r="N1810" s="15"/>
    </row>
    <row r="1811" spans="1:14" s="17" customFormat="1">
      <c r="A1811" s="12"/>
      <c r="B1811" s="13"/>
      <c r="C1811" s="14"/>
      <c r="D1811" s="15"/>
      <c r="E1811" s="16"/>
      <c r="F1811" s="16"/>
      <c r="I1811" s="18"/>
      <c r="J1811" s="12"/>
      <c r="K1811" s="12"/>
      <c r="L1811" s="13"/>
      <c r="M1811" s="14"/>
      <c r="N1811" s="15"/>
    </row>
    <row r="1812" spans="1:14" s="17" customFormat="1">
      <c r="A1812" s="12"/>
      <c r="B1812" s="13"/>
      <c r="C1812" s="14"/>
      <c r="D1812" s="15"/>
      <c r="E1812" s="16"/>
      <c r="F1812" s="16"/>
      <c r="I1812" s="18"/>
      <c r="J1812" s="12"/>
      <c r="K1812" s="12"/>
      <c r="L1812" s="13"/>
      <c r="M1812" s="14"/>
      <c r="N1812" s="15"/>
    </row>
    <row r="1813" spans="1:14" s="17" customFormat="1">
      <c r="A1813" s="12"/>
      <c r="B1813" s="13"/>
      <c r="C1813" s="14"/>
      <c r="D1813" s="15"/>
      <c r="E1813" s="16"/>
      <c r="F1813" s="16"/>
      <c r="I1813" s="18"/>
      <c r="J1813" s="12"/>
      <c r="K1813" s="12"/>
      <c r="L1813" s="13"/>
      <c r="M1813" s="14"/>
      <c r="N1813" s="15"/>
    </row>
    <row r="1814" spans="1:14" s="17" customFormat="1">
      <c r="A1814" s="12"/>
      <c r="B1814" s="13"/>
      <c r="C1814" s="14"/>
      <c r="D1814" s="15"/>
      <c r="E1814" s="16"/>
      <c r="F1814" s="16"/>
      <c r="I1814" s="18"/>
      <c r="J1814" s="12"/>
      <c r="K1814" s="12"/>
      <c r="L1814" s="13"/>
      <c r="M1814" s="14"/>
      <c r="N1814" s="15"/>
    </row>
    <row r="1815" spans="1:14" s="17" customFormat="1">
      <c r="A1815" s="12"/>
      <c r="B1815" s="13"/>
      <c r="C1815" s="14"/>
      <c r="D1815" s="15"/>
      <c r="E1815" s="16"/>
      <c r="F1815" s="16"/>
      <c r="I1815" s="18"/>
      <c r="J1815" s="12"/>
      <c r="K1815" s="12"/>
      <c r="L1815" s="13"/>
      <c r="M1815" s="14"/>
      <c r="N1815" s="15"/>
    </row>
    <row r="1816" spans="1:14" s="17" customFormat="1">
      <c r="A1816" s="12"/>
      <c r="B1816" s="13"/>
      <c r="C1816" s="14"/>
      <c r="D1816" s="15"/>
      <c r="E1816" s="16"/>
      <c r="F1816" s="16"/>
      <c r="I1816" s="18"/>
      <c r="J1816" s="12"/>
      <c r="K1816" s="12"/>
      <c r="L1816" s="13"/>
      <c r="M1816" s="14"/>
      <c r="N1816" s="15"/>
    </row>
    <row r="1817" spans="1:14" s="17" customFormat="1">
      <c r="A1817" s="12"/>
      <c r="B1817" s="13"/>
      <c r="C1817" s="14"/>
      <c r="D1817" s="15"/>
      <c r="E1817" s="16"/>
      <c r="F1817" s="16"/>
      <c r="I1817" s="18"/>
      <c r="J1817" s="12"/>
      <c r="K1817" s="12"/>
      <c r="L1817" s="13"/>
      <c r="M1817" s="14"/>
      <c r="N1817" s="15"/>
    </row>
    <row r="1818" spans="1:14" s="17" customFormat="1">
      <c r="A1818" s="12"/>
      <c r="B1818" s="13"/>
      <c r="C1818" s="14"/>
      <c r="D1818" s="15"/>
      <c r="E1818" s="16"/>
      <c r="F1818" s="16"/>
      <c r="I1818" s="18"/>
      <c r="J1818" s="12"/>
      <c r="K1818" s="12"/>
      <c r="L1818" s="13"/>
      <c r="M1818" s="14"/>
      <c r="N1818" s="15"/>
    </row>
    <row r="1819" spans="1:14" s="17" customFormat="1">
      <c r="A1819" s="12"/>
      <c r="B1819" s="13"/>
      <c r="C1819" s="14"/>
      <c r="D1819" s="15"/>
      <c r="E1819" s="16"/>
      <c r="F1819" s="16"/>
      <c r="I1819" s="18"/>
      <c r="J1819" s="12"/>
      <c r="K1819" s="12"/>
      <c r="L1819" s="13"/>
      <c r="M1819" s="14"/>
      <c r="N1819" s="15"/>
    </row>
    <row r="1820" spans="1:14" s="17" customFormat="1">
      <c r="A1820" s="12"/>
      <c r="B1820" s="13"/>
      <c r="C1820" s="14"/>
      <c r="D1820" s="15"/>
      <c r="E1820" s="16"/>
      <c r="F1820" s="16"/>
      <c r="I1820" s="18"/>
      <c r="J1820" s="12"/>
      <c r="K1820" s="12"/>
      <c r="L1820" s="13"/>
      <c r="M1820" s="14"/>
      <c r="N1820" s="15"/>
    </row>
    <row r="1821" spans="1:14" s="17" customFormat="1">
      <c r="A1821" s="12"/>
      <c r="B1821" s="13"/>
      <c r="C1821" s="14"/>
      <c r="D1821" s="15"/>
      <c r="E1821" s="16"/>
      <c r="F1821" s="16"/>
      <c r="I1821" s="18"/>
      <c r="J1821" s="12"/>
      <c r="K1821" s="12"/>
      <c r="L1821" s="13"/>
      <c r="M1821" s="14"/>
      <c r="N1821" s="15"/>
    </row>
    <row r="1822" spans="1:14" s="17" customFormat="1">
      <c r="A1822" s="12"/>
      <c r="B1822" s="13"/>
      <c r="C1822" s="14"/>
      <c r="D1822" s="15"/>
      <c r="E1822" s="16"/>
      <c r="F1822" s="16"/>
      <c r="I1822" s="18"/>
      <c r="J1822" s="12"/>
      <c r="K1822" s="12"/>
      <c r="L1822" s="13"/>
      <c r="M1822" s="14"/>
      <c r="N1822" s="15"/>
    </row>
    <row r="1823" spans="1:14" s="17" customFormat="1">
      <c r="A1823" s="12"/>
      <c r="B1823" s="13"/>
      <c r="C1823" s="14"/>
      <c r="D1823" s="15"/>
      <c r="E1823" s="16"/>
      <c r="F1823" s="16"/>
      <c r="I1823" s="18"/>
      <c r="J1823" s="12"/>
      <c r="K1823" s="12"/>
      <c r="L1823" s="13"/>
      <c r="M1823" s="14"/>
      <c r="N1823" s="15"/>
    </row>
    <row r="1824" spans="1:14" s="17" customFormat="1">
      <c r="A1824" s="12"/>
      <c r="B1824" s="13"/>
      <c r="C1824" s="14"/>
      <c r="D1824" s="15"/>
      <c r="E1824" s="16"/>
      <c r="F1824" s="16"/>
      <c r="I1824" s="18"/>
      <c r="J1824" s="12"/>
      <c r="K1824" s="12"/>
      <c r="L1824" s="13"/>
      <c r="M1824" s="14"/>
      <c r="N1824" s="15"/>
    </row>
    <row r="1825" spans="1:14" s="17" customFormat="1">
      <c r="A1825" s="12"/>
      <c r="B1825" s="13"/>
      <c r="C1825" s="14"/>
      <c r="D1825" s="15"/>
      <c r="E1825" s="16"/>
      <c r="F1825" s="16"/>
      <c r="I1825" s="18"/>
      <c r="J1825" s="12"/>
      <c r="K1825" s="12"/>
      <c r="L1825" s="13"/>
      <c r="M1825" s="14"/>
      <c r="N1825" s="15"/>
    </row>
    <row r="1826" spans="1:14" s="17" customFormat="1">
      <c r="A1826" s="12"/>
      <c r="B1826" s="13"/>
      <c r="C1826" s="14"/>
      <c r="D1826" s="15"/>
      <c r="E1826" s="16"/>
      <c r="F1826" s="16"/>
      <c r="I1826" s="18"/>
      <c r="J1826" s="12"/>
      <c r="K1826" s="12"/>
      <c r="L1826" s="13"/>
      <c r="M1826" s="14"/>
      <c r="N1826" s="15"/>
    </row>
    <row r="1827" spans="1:14" s="17" customFormat="1">
      <c r="A1827" s="12"/>
      <c r="B1827" s="13"/>
      <c r="C1827" s="14"/>
      <c r="D1827" s="15"/>
      <c r="E1827" s="16"/>
      <c r="F1827" s="16"/>
      <c r="I1827" s="18"/>
      <c r="J1827" s="12"/>
      <c r="K1827" s="12"/>
      <c r="L1827" s="13"/>
      <c r="M1827" s="14"/>
      <c r="N1827" s="15"/>
    </row>
    <row r="1828" spans="1:14" s="17" customFormat="1">
      <c r="A1828" s="12"/>
      <c r="B1828" s="13"/>
      <c r="C1828" s="14"/>
      <c r="D1828" s="15"/>
      <c r="E1828" s="16"/>
      <c r="F1828" s="16"/>
      <c r="I1828" s="18"/>
      <c r="J1828" s="12"/>
      <c r="K1828" s="12"/>
      <c r="L1828" s="13"/>
      <c r="M1828" s="14"/>
      <c r="N1828" s="15"/>
    </row>
    <row r="1829" spans="1:14" s="17" customFormat="1">
      <c r="A1829" s="12"/>
      <c r="B1829" s="13"/>
      <c r="C1829" s="14"/>
      <c r="D1829" s="15"/>
      <c r="E1829" s="16"/>
      <c r="F1829" s="16"/>
      <c r="I1829" s="18"/>
      <c r="J1829" s="12"/>
      <c r="K1829" s="12"/>
      <c r="L1829" s="13"/>
      <c r="M1829" s="14"/>
      <c r="N1829" s="15"/>
    </row>
    <row r="1830" spans="1:14" s="17" customFormat="1">
      <c r="A1830" s="12"/>
      <c r="B1830" s="13"/>
      <c r="C1830" s="14"/>
      <c r="D1830" s="15"/>
      <c r="E1830" s="16"/>
      <c r="F1830" s="16"/>
      <c r="I1830" s="18"/>
      <c r="J1830" s="12"/>
      <c r="K1830" s="12"/>
      <c r="L1830" s="13"/>
      <c r="M1830" s="14"/>
      <c r="N1830" s="15"/>
    </row>
    <row r="1831" spans="1:14" s="17" customFormat="1">
      <c r="A1831" s="12"/>
      <c r="B1831" s="13"/>
      <c r="C1831" s="14"/>
      <c r="D1831" s="15"/>
      <c r="E1831" s="16"/>
      <c r="F1831" s="16"/>
      <c r="I1831" s="18"/>
      <c r="J1831" s="12"/>
      <c r="K1831" s="12"/>
      <c r="L1831" s="13"/>
      <c r="M1831" s="14"/>
      <c r="N1831" s="15"/>
    </row>
    <row r="1832" spans="1:14" s="17" customFormat="1">
      <c r="A1832" s="12"/>
      <c r="B1832" s="13"/>
      <c r="C1832" s="14"/>
      <c r="D1832" s="15"/>
      <c r="E1832" s="16"/>
      <c r="F1832" s="16"/>
      <c r="I1832" s="18"/>
      <c r="J1832" s="12"/>
      <c r="K1832" s="12"/>
      <c r="L1832" s="13"/>
      <c r="M1832" s="14"/>
      <c r="N1832" s="15"/>
    </row>
    <row r="1833" spans="1:14" s="17" customFormat="1">
      <c r="A1833" s="12"/>
      <c r="B1833" s="13"/>
      <c r="C1833" s="14"/>
      <c r="D1833" s="15"/>
      <c r="E1833" s="16"/>
      <c r="F1833" s="16"/>
      <c r="I1833" s="18"/>
      <c r="J1833" s="12"/>
      <c r="K1833" s="12"/>
      <c r="L1833" s="13"/>
      <c r="M1833" s="14"/>
      <c r="N1833" s="15"/>
    </row>
    <row r="1834" spans="1:14" s="17" customFormat="1">
      <c r="A1834" s="12"/>
      <c r="B1834" s="13"/>
      <c r="C1834" s="14"/>
      <c r="D1834" s="15"/>
      <c r="E1834" s="16"/>
      <c r="F1834" s="16"/>
      <c r="I1834" s="18"/>
      <c r="J1834" s="12"/>
      <c r="K1834" s="12"/>
      <c r="L1834" s="13"/>
      <c r="M1834" s="14"/>
      <c r="N1834" s="15"/>
    </row>
    <row r="1835" spans="1:14" s="17" customFormat="1">
      <c r="A1835" s="12"/>
      <c r="B1835" s="13"/>
      <c r="C1835" s="14"/>
      <c r="D1835" s="15"/>
      <c r="E1835" s="16"/>
      <c r="F1835" s="16"/>
      <c r="I1835" s="18"/>
      <c r="J1835" s="12"/>
      <c r="K1835" s="12"/>
      <c r="L1835" s="13"/>
      <c r="M1835" s="14"/>
      <c r="N1835" s="15"/>
    </row>
    <row r="1836" spans="1:14" s="17" customFormat="1">
      <c r="A1836" s="12"/>
      <c r="B1836" s="13"/>
      <c r="C1836" s="14"/>
      <c r="D1836" s="15"/>
      <c r="E1836" s="16"/>
      <c r="F1836" s="16"/>
      <c r="I1836" s="18"/>
      <c r="J1836" s="12"/>
      <c r="K1836" s="12"/>
      <c r="L1836" s="13"/>
      <c r="M1836" s="14"/>
      <c r="N1836" s="15"/>
    </row>
    <row r="1837" spans="1:14" s="17" customFormat="1">
      <c r="A1837" s="12"/>
      <c r="B1837" s="13"/>
      <c r="C1837" s="14"/>
      <c r="D1837" s="15"/>
      <c r="E1837" s="16"/>
      <c r="F1837" s="16"/>
      <c r="I1837" s="18"/>
      <c r="J1837" s="12"/>
      <c r="K1837" s="12"/>
      <c r="L1837" s="13"/>
      <c r="M1837" s="14"/>
      <c r="N1837" s="15"/>
    </row>
    <row r="1838" spans="1:14" s="17" customFormat="1">
      <c r="A1838" s="12"/>
      <c r="B1838" s="13"/>
      <c r="C1838" s="14"/>
      <c r="D1838" s="15"/>
      <c r="E1838" s="16"/>
      <c r="F1838" s="16"/>
      <c r="I1838" s="18"/>
      <c r="J1838" s="12"/>
      <c r="K1838" s="12"/>
      <c r="L1838" s="13"/>
      <c r="M1838" s="14"/>
      <c r="N1838" s="15"/>
    </row>
    <row r="1839" spans="1:14" s="17" customFormat="1">
      <c r="A1839" s="12"/>
      <c r="B1839" s="13"/>
      <c r="C1839" s="14"/>
      <c r="D1839" s="15"/>
      <c r="E1839" s="16"/>
      <c r="F1839" s="16"/>
      <c r="I1839" s="18"/>
      <c r="J1839" s="12"/>
      <c r="K1839" s="12"/>
      <c r="L1839" s="13"/>
      <c r="M1839" s="14"/>
      <c r="N1839" s="15"/>
    </row>
    <row r="1840" spans="1:14" s="17" customFormat="1">
      <c r="A1840" s="12"/>
      <c r="B1840" s="13"/>
      <c r="C1840" s="14"/>
      <c r="D1840" s="15"/>
      <c r="E1840" s="16"/>
      <c r="F1840" s="16"/>
      <c r="I1840" s="18"/>
      <c r="J1840" s="12"/>
      <c r="K1840" s="12"/>
      <c r="L1840" s="13"/>
      <c r="M1840" s="14"/>
      <c r="N1840" s="15"/>
    </row>
    <row r="1841" spans="1:14" s="17" customFormat="1">
      <c r="A1841" s="12"/>
      <c r="B1841" s="13"/>
      <c r="C1841" s="14"/>
      <c r="D1841" s="15"/>
      <c r="E1841" s="16"/>
      <c r="F1841" s="16"/>
      <c r="I1841" s="18"/>
      <c r="J1841" s="12"/>
      <c r="K1841" s="12"/>
      <c r="L1841" s="13"/>
      <c r="M1841" s="14"/>
      <c r="N1841" s="15"/>
    </row>
    <row r="1842" spans="1:14" s="17" customFormat="1">
      <c r="A1842" s="12"/>
      <c r="B1842" s="13"/>
      <c r="C1842" s="14"/>
      <c r="D1842" s="15"/>
      <c r="E1842" s="16"/>
      <c r="F1842" s="16"/>
      <c r="I1842" s="18"/>
      <c r="J1842" s="12"/>
      <c r="K1842" s="12"/>
      <c r="L1842" s="13"/>
      <c r="M1842" s="14"/>
      <c r="N1842" s="15"/>
    </row>
    <row r="1843" spans="1:14" s="17" customFormat="1">
      <c r="A1843" s="12"/>
      <c r="B1843" s="13"/>
      <c r="C1843" s="14"/>
      <c r="D1843" s="15"/>
      <c r="E1843" s="16"/>
      <c r="F1843" s="16"/>
      <c r="I1843" s="18"/>
      <c r="J1843" s="12"/>
      <c r="K1843" s="12"/>
      <c r="L1843" s="13"/>
      <c r="M1843" s="14"/>
      <c r="N1843" s="15"/>
    </row>
    <row r="1844" spans="1:14" s="17" customFormat="1">
      <c r="A1844" s="12"/>
      <c r="B1844" s="13"/>
      <c r="C1844" s="14"/>
      <c r="D1844" s="15"/>
      <c r="E1844" s="16"/>
      <c r="F1844" s="16"/>
      <c r="I1844" s="18"/>
      <c r="J1844" s="12"/>
      <c r="K1844" s="12"/>
      <c r="L1844" s="13"/>
      <c r="M1844" s="14"/>
      <c r="N1844" s="15"/>
    </row>
    <row r="1845" spans="1:14" s="17" customFormat="1">
      <c r="A1845" s="12"/>
      <c r="B1845" s="13"/>
      <c r="C1845" s="14"/>
      <c r="D1845" s="15"/>
      <c r="E1845" s="16"/>
      <c r="F1845" s="16"/>
      <c r="I1845" s="18"/>
      <c r="J1845" s="12"/>
      <c r="K1845" s="12"/>
      <c r="L1845" s="13"/>
      <c r="M1845" s="14"/>
      <c r="N1845" s="15"/>
    </row>
    <row r="1846" spans="1:14" s="17" customFormat="1">
      <c r="A1846" s="12"/>
      <c r="B1846" s="13"/>
      <c r="C1846" s="14"/>
      <c r="D1846" s="15"/>
      <c r="E1846" s="16"/>
      <c r="F1846" s="16"/>
      <c r="I1846" s="18"/>
      <c r="J1846" s="12"/>
      <c r="K1846" s="12"/>
      <c r="L1846" s="13"/>
      <c r="M1846" s="14"/>
      <c r="N1846" s="15"/>
    </row>
    <row r="1847" spans="1:14" s="17" customFormat="1">
      <c r="A1847" s="12"/>
      <c r="B1847" s="13"/>
      <c r="C1847" s="14"/>
      <c r="D1847" s="15"/>
      <c r="E1847" s="16"/>
      <c r="F1847" s="16"/>
      <c r="I1847" s="18"/>
      <c r="J1847" s="12"/>
      <c r="K1847" s="12"/>
      <c r="L1847" s="13"/>
      <c r="M1847" s="14"/>
      <c r="N1847" s="15"/>
    </row>
    <row r="1848" spans="1:14" s="17" customFormat="1">
      <c r="A1848" s="12"/>
      <c r="B1848" s="13"/>
      <c r="C1848" s="14"/>
      <c r="D1848" s="15"/>
      <c r="E1848" s="16"/>
      <c r="F1848" s="16"/>
      <c r="I1848" s="18"/>
      <c r="J1848" s="12"/>
      <c r="K1848" s="12"/>
      <c r="L1848" s="13"/>
      <c r="M1848" s="14"/>
      <c r="N1848" s="15"/>
    </row>
    <row r="1849" spans="1:14" s="17" customFormat="1">
      <c r="A1849" s="12"/>
      <c r="B1849" s="13"/>
      <c r="C1849" s="14"/>
      <c r="D1849" s="15"/>
      <c r="E1849" s="16"/>
      <c r="F1849" s="16"/>
      <c r="I1849" s="18"/>
      <c r="J1849" s="12"/>
      <c r="K1849" s="12"/>
      <c r="L1849" s="13"/>
      <c r="M1849" s="14"/>
      <c r="N1849" s="15"/>
    </row>
    <row r="1850" spans="1:14" s="17" customFormat="1">
      <c r="A1850" s="12"/>
      <c r="B1850" s="13"/>
      <c r="C1850" s="14"/>
      <c r="D1850" s="15"/>
      <c r="E1850" s="16"/>
      <c r="F1850" s="16"/>
      <c r="I1850" s="18"/>
      <c r="J1850" s="12"/>
      <c r="K1850" s="12"/>
      <c r="L1850" s="13"/>
      <c r="M1850" s="14"/>
      <c r="N1850" s="15"/>
    </row>
    <row r="1851" spans="1:14" s="17" customFormat="1">
      <c r="A1851" s="12"/>
      <c r="B1851" s="13"/>
      <c r="C1851" s="14"/>
      <c r="D1851" s="15"/>
      <c r="E1851" s="16"/>
      <c r="F1851" s="16"/>
      <c r="I1851" s="18"/>
      <c r="J1851" s="12"/>
      <c r="K1851" s="12"/>
      <c r="L1851" s="13"/>
      <c r="M1851" s="14"/>
      <c r="N1851" s="15"/>
    </row>
    <row r="1852" spans="1:14" s="17" customFormat="1">
      <c r="A1852" s="12"/>
      <c r="B1852" s="13"/>
      <c r="C1852" s="14"/>
      <c r="D1852" s="15"/>
      <c r="E1852" s="16"/>
      <c r="F1852" s="16"/>
      <c r="I1852" s="18"/>
      <c r="J1852" s="12"/>
      <c r="K1852" s="12"/>
      <c r="L1852" s="13"/>
      <c r="M1852" s="14"/>
      <c r="N1852" s="15"/>
    </row>
    <row r="1853" spans="1:14" s="17" customFormat="1">
      <c r="A1853" s="12"/>
      <c r="B1853" s="13"/>
      <c r="C1853" s="14"/>
      <c r="D1853" s="15"/>
      <c r="E1853" s="16"/>
      <c r="F1853" s="16"/>
      <c r="I1853" s="18"/>
      <c r="J1853" s="12"/>
      <c r="K1853" s="12"/>
      <c r="L1853" s="13"/>
      <c r="M1853" s="14"/>
      <c r="N1853" s="15"/>
    </row>
    <row r="1854" spans="1:14" s="17" customFormat="1">
      <c r="A1854" s="12"/>
      <c r="B1854" s="13"/>
      <c r="C1854" s="14"/>
      <c r="D1854" s="15"/>
      <c r="E1854" s="16"/>
      <c r="F1854" s="16"/>
      <c r="I1854" s="18"/>
      <c r="J1854" s="12"/>
      <c r="K1854" s="12"/>
      <c r="L1854" s="13"/>
      <c r="M1854" s="14"/>
      <c r="N1854" s="15"/>
    </row>
    <row r="1855" spans="1:14" s="17" customFormat="1">
      <c r="A1855" s="12"/>
      <c r="B1855" s="13"/>
      <c r="C1855" s="14"/>
      <c r="D1855" s="15"/>
      <c r="E1855" s="16"/>
      <c r="F1855" s="16"/>
      <c r="I1855" s="18"/>
      <c r="J1855" s="12"/>
      <c r="K1855" s="12"/>
      <c r="L1855" s="13"/>
      <c r="M1855" s="14"/>
      <c r="N1855" s="15"/>
    </row>
    <row r="1856" spans="1:14" s="17" customFormat="1">
      <c r="A1856" s="12"/>
      <c r="B1856" s="13"/>
      <c r="C1856" s="14"/>
      <c r="D1856" s="15"/>
      <c r="E1856" s="16"/>
      <c r="F1856" s="16"/>
      <c r="I1856" s="18"/>
      <c r="J1856" s="12"/>
      <c r="K1856" s="12"/>
      <c r="L1856" s="13"/>
      <c r="M1856" s="14"/>
      <c r="N1856" s="15"/>
    </row>
    <row r="1857" spans="1:14" s="17" customFormat="1">
      <c r="A1857" s="12"/>
      <c r="B1857" s="13"/>
      <c r="C1857" s="14"/>
      <c r="D1857" s="15"/>
      <c r="E1857" s="16"/>
      <c r="F1857" s="16"/>
      <c r="I1857" s="18"/>
      <c r="J1857" s="12"/>
      <c r="K1857" s="12"/>
      <c r="L1857" s="13"/>
      <c r="M1857" s="14"/>
      <c r="N1857" s="15"/>
    </row>
    <row r="1858" spans="1:14" s="17" customFormat="1">
      <c r="A1858" s="12"/>
      <c r="B1858" s="13"/>
      <c r="C1858" s="14"/>
      <c r="D1858" s="15"/>
      <c r="E1858" s="16"/>
      <c r="F1858" s="16"/>
      <c r="I1858" s="18"/>
      <c r="J1858" s="12"/>
      <c r="K1858" s="12"/>
      <c r="L1858" s="13"/>
      <c r="M1858" s="14"/>
      <c r="N1858" s="15"/>
    </row>
    <row r="1859" spans="1:14" s="17" customFormat="1">
      <c r="A1859" s="12"/>
      <c r="B1859" s="13"/>
      <c r="C1859" s="14"/>
      <c r="D1859" s="15"/>
      <c r="E1859" s="16"/>
      <c r="F1859" s="16"/>
      <c r="I1859" s="18"/>
      <c r="J1859" s="12"/>
      <c r="K1859" s="12"/>
      <c r="L1859" s="13"/>
      <c r="M1859" s="14"/>
      <c r="N1859" s="15"/>
    </row>
    <row r="1860" spans="1:14" s="17" customFormat="1">
      <c r="A1860" s="12"/>
      <c r="B1860" s="13"/>
      <c r="C1860" s="14"/>
      <c r="D1860" s="15"/>
      <c r="E1860" s="16"/>
      <c r="F1860" s="16"/>
      <c r="I1860" s="18"/>
      <c r="J1860" s="12"/>
      <c r="K1860" s="12"/>
      <c r="L1860" s="13"/>
      <c r="M1860" s="14"/>
      <c r="N1860" s="15"/>
    </row>
    <row r="1861" spans="1:14" s="17" customFormat="1">
      <c r="A1861" s="12"/>
      <c r="B1861" s="13"/>
      <c r="C1861" s="14"/>
      <c r="D1861" s="15"/>
      <c r="E1861" s="16"/>
      <c r="F1861" s="16"/>
      <c r="I1861" s="18"/>
      <c r="J1861" s="12"/>
      <c r="K1861" s="12"/>
      <c r="L1861" s="13"/>
      <c r="M1861" s="14"/>
      <c r="N1861" s="15"/>
    </row>
    <row r="1862" spans="1:14" s="17" customFormat="1">
      <c r="A1862" s="12"/>
      <c r="B1862" s="13"/>
      <c r="C1862" s="14"/>
      <c r="D1862" s="15"/>
      <c r="E1862" s="16"/>
      <c r="F1862" s="16"/>
      <c r="I1862" s="18"/>
      <c r="J1862" s="12"/>
      <c r="K1862" s="12"/>
      <c r="L1862" s="13"/>
      <c r="M1862" s="14"/>
      <c r="N1862" s="15"/>
    </row>
    <row r="1863" spans="1:14" s="17" customFormat="1">
      <c r="A1863" s="12"/>
      <c r="B1863" s="13"/>
      <c r="C1863" s="14"/>
      <c r="D1863" s="15"/>
      <c r="E1863" s="16"/>
      <c r="F1863" s="16"/>
      <c r="I1863" s="18"/>
      <c r="J1863" s="12"/>
      <c r="K1863" s="12"/>
      <c r="L1863" s="13"/>
      <c r="M1863" s="14"/>
      <c r="N1863" s="15"/>
    </row>
    <row r="1864" spans="1:14" s="17" customFormat="1">
      <c r="A1864" s="12"/>
      <c r="B1864" s="13"/>
      <c r="C1864" s="14"/>
      <c r="D1864" s="15"/>
      <c r="E1864" s="16"/>
      <c r="F1864" s="16"/>
      <c r="I1864" s="18"/>
      <c r="J1864" s="12"/>
      <c r="K1864" s="12"/>
      <c r="L1864" s="13"/>
      <c r="M1864" s="14"/>
      <c r="N1864" s="15"/>
    </row>
    <row r="1865" spans="1:14" s="17" customFormat="1">
      <c r="A1865" s="12"/>
      <c r="B1865" s="13"/>
      <c r="C1865" s="14"/>
      <c r="D1865" s="15"/>
      <c r="E1865" s="16"/>
      <c r="F1865" s="16"/>
      <c r="I1865" s="18"/>
      <c r="J1865" s="12"/>
      <c r="K1865" s="12"/>
      <c r="L1865" s="13"/>
      <c r="M1865" s="14"/>
      <c r="N1865" s="15"/>
    </row>
    <row r="1866" spans="1:14" s="17" customFormat="1">
      <c r="A1866" s="12"/>
      <c r="B1866" s="13"/>
      <c r="C1866" s="14"/>
      <c r="D1866" s="15"/>
      <c r="E1866" s="16"/>
      <c r="F1866" s="16"/>
      <c r="I1866" s="18"/>
      <c r="J1866" s="12"/>
      <c r="K1866" s="12"/>
      <c r="L1866" s="13"/>
      <c r="M1866" s="14"/>
      <c r="N1866" s="15"/>
    </row>
    <row r="1867" spans="1:14" s="17" customFormat="1">
      <c r="A1867" s="12"/>
      <c r="B1867" s="13"/>
      <c r="C1867" s="14"/>
      <c r="D1867" s="15"/>
      <c r="E1867" s="16"/>
      <c r="F1867" s="16"/>
      <c r="I1867" s="18"/>
      <c r="J1867" s="12"/>
      <c r="K1867" s="12"/>
      <c r="L1867" s="13"/>
      <c r="M1867" s="14"/>
      <c r="N1867" s="15"/>
    </row>
    <row r="1868" spans="1:14" s="17" customFormat="1">
      <c r="A1868" s="12"/>
      <c r="B1868" s="13"/>
      <c r="C1868" s="14"/>
      <c r="D1868" s="15"/>
      <c r="E1868" s="16"/>
      <c r="F1868" s="16"/>
      <c r="I1868" s="18"/>
      <c r="J1868" s="12"/>
      <c r="K1868" s="12"/>
      <c r="L1868" s="13"/>
      <c r="M1868" s="14"/>
      <c r="N1868" s="15"/>
    </row>
    <row r="1869" spans="1:14" s="17" customFormat="1">
      <c r="A1869" s="12"/>
      <c r="B1869" s="13"/>
      <c r="C1869" s="14"/>
      <c r="D1869" s="15"/>
      <c r="E1869" s="16"/>
      <c r="F1869" s="16"/>
      <c r="I1869" s="18"/>
      <c r="J1869" s="12"/>
      <c r="K1869" s="12"/>
      <c r="L1869" s="13"/>
      <c r="M1869" s="14"/>
      <c r="N1869" s="15"/>
    </row>
    <row r="1870" spans="1:14" s="17" customFormat="1">
      <c r="A1870" s="12"/>
      <c r="B1870" s="13"/>
      <c r="C1870" s="14"/>
      <c r="D1870" s="15"/>
      <c r="E1870" s="16"/>
      <c r="F1870" s="16"/>
      <c r="I1870" s="18"/>
      <c r="J1870" s="12"/>
      <c r="K1870" s="12"/>
      <c r="L1870" s="13"/>
      <c r="M1870" s="14"/>
      <c r="N1870" s="15"/>
    </row>
    <row r="1871" spans="1:14" s="17" customFormat="1">
      <c r="A1871" s="12"/>
      <c r="B1871" s="13"/>
      <c r="C1871" s="14"/>
      <c r="D1871" s="15"/>
      <c r="E1871" s="16"/>
      <c r="F1871" s="16"/>
      <c r="I1871" s="18"/>
      <c r="J1871" s="12"/>
      <c r="K1871" s="12"/>
      <c r="L1871" s="13"/>
      <c r="M1871" s="14"/>
      <c r="N1871" s="15"/>
    </row>
    <row r="1872" spans="1:14" s="17" customFormat="1">
      <c r="A1872" s="12"/>
      <c r="B1872" s="13"/>
      <c r="C1872" s="14"/>
      <c r="D1872" s="15"/>
      <c r="E1872" s="16"/>
      <c r="F1872" s="16"/>
      <c r="I1872" s="18"/>
      <c r="J1872" s="12"/>
      <c r="K1872" s="12"/>
      <c r="L1872" s="13"/>
      <c r="M1872" s="14"/>
      <c r="N1872" s="15"/>
    </row>
    <row r="1873" spans="1:14" s="17" customFormat="1">
      <c r="A1873" s="12"/>
      <c r="B1873" s="13"/>
      <c r="C1873" s="14"/>
      <c r="D1873" s="15"/>
      <c r="E1873" s="16"/>
      <c r="F1873" s="16"/>
      <c r="I1873" s="18"/>
      <c r="J1873" s="12"/>
      <c r="K1873" s="12"/>
      <c r="L1873" s="13"/>
      <c r="M1873" s="14"/>
      <c r="N1873" s="15"/>
    </row>
    <row r="1874" spans="1:14" s="17" customFormat="1">
      <c r="A1874" s="12"/>
      <c r="B1874" s="13"/>
      <c r="C1874" s="14"/>
      <c r="D1874" s="15"/>
      <c r="E1874" s="16"/>
      <c r="F1874" s="16"/>
      <c r="I1874" s="18"/>
      <c r="J1874" s="12"/>
      <c r="K1874" s="12"/>
      <c r="L1874" s="13"/>
      <c r="M1874" s="14"/>
      <c r="N1874" s="15"/>
    </row>
    <row r="1875" spans="1:14" s="17" customFormat="1">
      <c r="A1875" s="12"/>
      <c r="B1875" s="13"/>
      <c r="C1875" s="14"/>
      <c r="D1875" s="15"/>
      <c r="E1875" s="16"/>
      <c r="F1875" s="16"/>
      <c r="I1875" s="18"/>
      <c r="J1875" s="12"/>
      <c r="K1875" s="12"/>
      <c r="L1875" s="13"/>
      <c r="M1875" s="14"/>
      <c r="N1875" s="15"/>
    </row>
    <row r="1876" spans="1:14" s="17" customFormat="1">
      <c r="A1876" s="12"/>
      <c r="B1876" s="13"/>
      <c r="C1876" s="14"/>
      <c r="D1876" s="15"/>
      <c r="E1876" s="16"/>
      <c r="F1876" s="16"/>
      <c r="I1876" s="18"/>
      <c r="J1876" s="12"/>
      <c r="K1876" s="12"/>
      <c r="L1876" s="13"/>
      <c r="M1876" s="14"/>
      <c r="N1876" s="15"/>
    </row>
    <row r="1877" spans="1:14" s="17" customFormat="1">
      <c r="A1877" s="12"/>
      <c r="B1877" s="13"/>
      <c r="C1877" s="14"/>
      <c r="D1877" s="15"/>
      <c r="E1877" s="16"/>
      <c r="F1877" s="16"/>
      <c r="I1877" s="18"/>
      <c r="J1877" s="12"/>
      <c r="K1877" s="12"/>
      <c r="L1877" s="13"/>
      <c r="M1877" s="14"/>
      <c r="N1877" s="15"/>
    </row>
    <row r="1878" spans="1:14" s="17" customFormat="1">
      <c r="A1878" s="12"/>
      <c r="B1878" s="13"/>
      <c r="C1878" s="14"/>
      <c r="D1878" s="15"/>
      <c r="E1878" s="16"/>
      <c r="F1878" s="16"/>
      <c r="I1878" s="18"/>
      <c r="J1878" s="12"/>
      <c r="K1878" s="12"/>
      <c r="L1878" s="13"/>
      <c r="M1878" s="14"/>
      <c r="N1878" s="15"/>
    </row>
    <row r="1879" spans="1:14" s="17" customFormat="1">
      <c r="A1879" s="12"/>
      <c r="B1879" s="13"/>
      <c r="C1879" s="14"/>
      <c r="D1879" s="15"/>
      <c r="E1879" s="16"/>
      <c r="F1879" s="16"/>
      <c r="I1879" s="18"/>
      <c r="J1879" s="12"/>
      <c r="K1879" s="12"/>
      <c r="L1879" s="13"/>
      <c r="M1879" s="14"/>
      <c r="N1879" s="15"/>
    </row>
    <row r="1880" spans="1:14" s="17" customFormat="1">
      <c r="A1880" s="12"/>
      <c r="B1880" s="13"/>
      <c r="C1880" s="14"/>
      <c r="D1880" s="15"/>
      <c r="E1880" s="16"/>
      <c r="F1880" s="16"/>
      <c r="I1880" s="18"/>
      <c r="J1880" s="12"/>
      <c r="K1880" s="12"/>
      <c r="L1880" s="13"/>
      <c r="M1880" s="14"/>
      <c r="N1880" s="15"/>
    </row>
    <row r="1881" spans="1:14" s="17" customFormat="1">
      <c r="A1881" s="12"/>
      <c r="B1881" s="13"/>
      <c r="C1881" s="14"/>
      <c r="D1881" s="15"/>
      <c r="E1881" s="16"/>
      <c r="F1881" s="16"/>
      <c r="I1881" s="18"/>
      <c r="J1881" s="12"/>
      <c r="K1881" s="12"/>
      <c r="L1881" s="13"/>
      <c r="M1881" s="14"/>
      <c r="N1881" s="15"/>
    </row>
    <row r="1882" spans="1:14" s="17" customFormat="1">
      <c r="A1882" s="12"/>
      <c r="B1882" s="13"/>
      <c r="C1882" s="14"/>
      <c r="D1882" s="15"/>
      <c r="E1882" s="16"/>
      <c r="F1882" s="16"/>
      <c r="I1882" s="18"/>
      <c r="J1882" s="12"/>
      <c r="K1882" s="12"/>
      <c r="L1882" s="13"/>
      <c r="M1882" s="14"/>
      <c r="N1882" s="15"/>
    </row>
    <row r="1883" spans="1:14" s="17" customFormat="1">
      <c r="A1883" s="12"/>
      <c r="B1883" s="13"/>
      <c r="C1883" s="14"/>
      <c r="D1883" s="15"/>
      <c r="E1883" s="16"/>
      <c r="F1883" s="16"/>
      <c r="I1883" s="18"/>
      <c r="J1883" s="12"/>
      <c r="K1883" s="12"/>
      <c r="L1883" s="13"/>
      <c r="M1883" s="14"/>
      <c r="N1883" s="15"/>
    </row>
    <row r="1884" spans="1:14" s="17" customFormat="1">
      <c r="A1884" s="12"/>
      <c r="B1884" s="13"/>
      <c r="C1884" s="14"/>
      <c r="D1884" s="15"/>
      <c r="E1884" s="16"/>
      <c r="F1884" s="16"/>
      <c r="I1884" s="18"/>
      <c r="J1884" s="12"/>
      <c r="K1884" s="12"/>
      <c r="L1884" s="13"/>
      <c r="M1884" s="14"/>
      <c r="N1884" s="15"/>
    </row>
    <row r="1885" spans="1:14" s="17" customFormat="1">
      <c r="A1885" s="12"/>
      <c r="B1885" s="13"/>
      <c r="C1885" s="14"/>
      <c r="D1885" s="15"/>
      <c r="E1885" s="16"/>
      <c r="F1885" s="16"/>
      <c r="I1885" s="18"/>
      <c r="J1885" s="12"/>
      <c r="K1885" s="12"/>
      <c r="L1885" s="13"/>
      <c r="M1885" s="14"/>
      <c r="N1885" s="15"/>
    </row>
    <row r="1886" spans="1:14" s="17" customFormat="1">
      <c r="A1886" s="12"/>
      <c r="B1886" s="13"/>
      <c r="C1886" s="14"/>
      <c r="D1886" s="15"/>
      <c r="E1886" s="16"/>
      <c r="F1886" s="16"/>
      <c r="I1886" s="18"/>
      <c r="J1886" s="12"/>
      <c r="K1886" s="12"/>
      <c r="L1886" s="13"/>
      <c r="M1886" s="14"/>
      <c r="N1886" s="15"/>
    </row>
    <row r="1887" spans="1:14" s="17" customFormat="1">
      <c r="A1887" s="12"/>
      <c r="B1887" s="13"/>
      <c r="C1887" s="14"/>
      <c r="D1887" s="15"/>
      <c r="E1887" s="16"/>
      <c r="F1887" s="16"/>
      <c r="I1887" s="18"/>
      <c r="J1887" s="12"/>
      <c r="K1887" s="12"/>
      <c r="L1887" s="13"/>
      <c r="M1887" s="14"/>
      <c r="N1887" s="15"/>
    </row>
    <row r="1888" spans="1:14" s="17" customFormat="1">
      <c r="A1888" s="12"/>
      <c r="B1888" s="13"/>
      <c r="C1888" s="14"/>
      <c r="D1888" s="15"/>
      <c r="E1888" s="16"/>
      <c r="F1888" s="16"/>
      <c r="I1888" s="18"/>
      <c r="J1888" s="12"/>
      <c r="K1888" s="12"/>
      <c r="L1888" s="13"/>
      <c r="M1888" s="14"/>
      <c r="N1888" s="15"/>
    </row>
    <row r="1889" spans="1:14" s="17" customFormat="1">
      <c r="A1889" s="12"/>
      <c r="B1889" s="13"/>
      <c r="C1889" s="14"/>
      <c r="D1889" s="15"/>
      <c r="E1889" s="16"/>
      <c r="F1889" s="16"/>
      <c r="I1889" s="18"/>
      <c r="J1889" s="12"/>
      <c r="K1889" s="12"/>
      <c r="L1889" s="13"/>
      <c r="M1889" s="14"/>
      <c r="N1889" s="15"/>
    </row>
    <row r="1890" spans="1:14" s="17" customFormat="1">
      <c r="A1890" s="12"/>
      <c r="B1890" s="13"/>
      <c r="C1890" s="14"/>
      <c r="D1890" s="15"/>
      <c r="E1890" s="16"/>
      <c r="F1890" s="16"/>
      <c r="I1890" s="18"/>
      <c r="J1890" s="12"/>
      <c r="K1890" s="12"/>
      <c r="L1890" s="13"/>
      <c r="M1890" s="14"/>
      <c r="N1890" s="15"/>
    </row>
    <row r="1891" spans="1:14" s="17" customFormat="1">
      <c r="A1891" s="12"/>
      <c r="B1891" s="13"/>
      <c r="C1891" s="14"/>
      <c r="D1891" s="15"/>
      <c r="E1891" s="16"/>
      <c r="F1891" s="16"/>
      <c r="I1891" s="18"/>
      <c r="J1891" s="12"/>
      <c r="K1891" s="12"/>
      <c r="L1891" s="13"/>
      <c r="M1891" s="14"/>
      <c r="N1891" s="15"/>
    </row>
    <row r="1892" spans="1:14" s="17" customFormat="1">
      <c r="A1892" s="12"/>
      <c r="B1892" s="13"/>
      <c r="C1892" s="14"/>
      <c r="D1892" s="15"/>
      <c r="E1892" s="16"/>
      <c r="F1892" s="16"/>
      <c r="I1892" s="18"/>
      <c r="J1892" s="12"/>
      <c r="K1892" s="12"/>
      <c r="L1892" s="13"/>
      <c r="M1892" s="14"/>
      <c r="N1892" s="15"/>
    </row>
    <row r="1893" spans="1:14" s="17" customFormat="1">
      <c r="A1893" s="12"/>
      <c r="B1893" s="13"/>
      <c r="C1893" s="14"/>
      <c r="D1893" s="15"/>
      <c r="E1893" s="16"/>
      <c r="F1893" s="16"/>
      <c r="I1893" s="18"/>
      <c r="J1893" s="12"/>
      <c r="K1893" s="12"/>
      <c r="L1893" s="13"/>
      <c r="M1893" s="14"/>
      <c r="N1893" s="15"/>
    </row>
    <row r="1894" spans="1:14" s="17" customFormat="1">
      <c r="A1894" s="12"/>
      <c r="B1894" s="13"/>
      <c r="C1894" s="14"/>
      <c r="D1894" s="15"/>
      <c r="E1894" s="16"/>
      <c r="F1894" s="16"/>
      <c r="I1894" s="18"/>
      <c r="J1894" s="12"/>
      <c r="K1894" s="12"/>
      <c r="L1894" s="13"/>
      <c r="M1894" s="14"/>
      <c r="N1894" s="15"/>
    </row>
    <row r="1895" spans="1:14" s="17" customFormat="1">
      <c r="A1895" s="12"/>
      <c r="B1895" s="13"/>
      <c r="C1895" s="14"/>
      <c r="D1895" s="15"/>
      <c r="E1895" s="16"/>
      <c r="F1895" s="16"/>
      <c r="I1895" s="18"/>
      <c r="J1895" s="12"/>
      <c r="K1895" s="12"/>
      <c r="L1895" s="13"/>
      <c r="M1895" s="14"/>
      <c r="N1895" s="15"/>
    </row>
    <row r="1896" spans="1:14" s="17" customFormat="1">
      <c r="A1896" s="12"/>
      <c r="B1896" s="13"/>
      <c r="C1896" s="14"/>
      <c r="D1896" s="15"/>
      <c r="E1896" s="16"/>
      <c r="F1896" s="16"/>
      <c r="I1896" s="18"/>
      <c r="J1896" s="12"/>
      <c r="K1896" s="12"/>
      <c r="L1896" s="13"/>
      <c r="M1896" s="14"/>
      <c r="N1896" s="15"/>
    </row>
    <row r="1897" spans="1:14" s="17" customFormat="1">
      <c r="A1897" s="12"/>
      <c r="B1897" s="13"/>
      <c r="C1897" s="14"/>
      <c r="D1897" s="15"/>
      <c r="E1897" s="16"/>
      <c r="F1897" s="16"/>
      <c r="I1897" s="18"/>
      <c r="J1897" s="12"/>
      <c r="K1897" s="12"/>
      <c r="L1897" s="13"/>
      <c r="M1897" s="14"/>
      <c r="N1897" s="15"/>
    </row>
    <row r="1898" spans="1:14" s="17" customFormat="1">
      <c r="A1898" s="12"/>
      <c r="B1898" s="13"/>
      <c r="C1898" s="14"/>
      <c r="D1898" s="15"/>
      <c r="E1898" s="16"/>
      <c r="F1898" s="16"/>
      <c r="I1898" s="18"/>
      <c r="J1898" s="12"/>
      <c r="K1898" s="12"/>
      <c r="L1898" s="13"/>
      <c r="M1898" s="14"/>
      <c r="N1898" s="15"/>
    </row>
    <row r="1899" spans="1:14" s="17" customFormat="1">
      <c r="A1899" s="12"/>
      <c r="B1899" s="13"/>
      <c r="C1899" s="14"/>
      <c r="D1899" s="15"/>
      <c r="E1899" s="16"/>
      <c r="F1899" s="16"/>
      <c r="I1899" s="18"/>
      <c r="J1899" s="12"/>
      <c r="K1899" s="12"/>
      <c r="L1899" s="13"/>
      <c r="M1899" s="14"/>
      <c r="N1899" s="15"/>
    </row>
    <row r="1900" spans="1:14" s="17" customFormat="1">
      <c r="A1900" s="12"/>
      <c r="B1900" s="13"/>
      <c r="C1900" s="14"/>
      <c r="D1900" s="15"/>
      <c r="E1900" s="16"/>
      <c r="F1900" s="16"/>
      <c r="I1900" s="18"/>
      <c r="J1900" s="12"/>
      <c r="K1900" s="12"/>
      <c r="L1900" s="13"/>
      <c r="M1900" s="14"/>
      <c r="N1900" s="15"/>
    </row>
    <row r="1901" spans="1:14" s="17" customFormat="1">
      <c r="A1901" s="12"/>
      <c r="B1901" s="13"/>
      <c r="C1901" s="14"/>
      <c r="D1901" s="15"/>
      <c r="E1901" s="16"/>
      <c r="F1901" s="16"/>
      <c r="I1901" s="18"/>
      <c r="J1901" s="12"/>
      <c r="K1901" s="12"/>
      <c r="L1901" s="13"/>
      <c r="M1901" s="14"/>
      <c r="N1901" s="15"/>
    </row>
    <row r="1902" spans="1:14" s="17" customFormat="1">
      <c r="A1902" s="12"/>
      <c r="B1902" s="13"/>
      <c r="C1902" s="14"/>
      <c r="D1902" s="15"/>
      <c r="E1902" s="16"/>
      <c r="F1902" s="16"/>
      <c r="I1902" s="18"/>
      <c r="J1902" s="12"/>
      <c r="K1902" s="12"/>
      <c r="L1902" s="13"/>
      <c r="M1902" s="14"/>
      <c r="N1902" s="15"/>
    </row>
    <row r="1903" spans="1:14" s="17" customFormat="1">
      <c r="A1903" s="12"/>
      <c r="B1903" s="13"/>
      <c r="C1903" s="14"/>
      <c r="D1903" s="15"/>
      <c r="E1903" s="16"/>
      <c r="F1903" s="16"/>
      <c r="I1903" s="18"/>
      <c r="J1903" s="12"/>
      <c r="K1903" s="12"/>
      <c r="L1903" s="13"/>
      <c r="M1903" s="14"/>
      <c r="N1903" s="15"/>
    </row>
    <row r="1904" spans="1:14" s="17" customFormat="1">
      <c r="A1904" s="12"/>
      <c r="B1904" s="13"/>
      <c r="C1904" s="14"/>
      <c r="D1904" s="15"/>
      <c r="E1904" s="16"/>
      <c r="F1904" s="16"/>
      <c r="I1904" s="18"/>
      <c r="J1904" s="12"/>
      <c r="K1904" s="12"/>
      <c r="L1904" s="13"/>
      <c r="M1904" s="14"/>
      <c r="N1904" s="15"/>
    </row>
    <row r="1905" spans="1:14" s="17" customFormat="1">
      <c r="A1905" s="12"/>
      <c r="B1905" s="13"/>
      <c r="C1905" s="14"/>
      <c r="D1905" s="15"/>
      <c r="E1905" s="16"/>
      <c r="F1905" s="16"/>
      <c r="I1905" s="18"/>
      <c r="J1905" s="12"/>
      <c r="K1905" s="12"/>
      <c r="L1905" s="13"/>
      <c r="M1905" s="14"/>
      <c r="N1905" s="15"/>
    </row>
    <row r="1906" spans="1:14" s="17" customFormat="1">
      <c r="A1906" s="12"/>
      <c r="B1906" s="13"/>
      <c r="C1906" s="14"/>
      <c r="D1906" s="15"/>
      <c r="E1906" s="16"/>
      <c r="F1906" s="16"/>
      <c r="I1906" s="18"/>
      <c r="J1906" s="12"/>
      <c r="K1906" s="12"/>
      <c r="L1906" s="13"/>
      <c r="M1906" s="14"/>
      <c r="N1906" s="15"/>
    </row>
    <row r="1907" spans="1:14" s="17" customFormat="1">
      <c r="A1907" s="12"/>
      <c r="B1907" s="13"/>
      <c r="C1907" s="14"/>
      <c r="D1907" s="15"/>
      <c r="E1907" s="16"/>
      <c r="F1907" s="16"/>
      <c r="I1907" s="18"/>
      <c r="J1907" s="12"/>
      <c r="K1907" s="12"/>
      <c r="L1907" s="13"/>
      <c r="M1907" s="14"/>
      <c r="N1907" s="15"/>
    </row>
    <row r="1908" spans="1:14" s="17" customFormat="1">
      <c r="A1908" s="12"/>
      <c r="B1908" s="13"/>
      <c r="C1908" s="14"/>
      <c r="D1908" s="15"/>
      <c r="E1908" s="16"/>
      <c r="F1908" s="16"/>
      <c r="I1908" s="18"/>
      <c r="J1908" s="12"/>
      <c r="K1908" s="12"/>
      <c r="L1908" s="13"/>
      <c r="M1908" s="14"/>
      <c r="N1908" s="15"/>
    </row>
    <row r="1909" spans="1:14" s="17" customFormat="1">
      <c r="A1909" s="12"/>
      <c r="B1909" s="13"/>
      <c r="C1909" s="14"/>
      <c r="D1909" s="15"/>
      <c r="E1909" s="16"/>
      <c r="F1909" s="16"/>
      <c r="I1909" s="18"/>
      <c r="J1909" s="12"/>
      <c r="K1909" s="12"/>
      <c r="L1909" s="13"/>
      <c r="M1909" s="14"/>
      <c r="N1909" s="15"/>
    </row>
    <row r="1910" spans="1:14" s="17" customFormat="1">
      <c r="A1910" s="12"/>
      <c r="B1910" s="13"/>
      <c r="C1910" s="14"/>
      <c r="D1910" s="15"/>
      <c r="E1910" s="16"/>
      <c r="F1910" s="16"/>
      <c r="I1910" s="18"/>
      <c r="J1910" s="12"/>
      <c r="K1910" s="12"/>
      <c r="L1910" s="13"/>
      <c r="M1910" s="14"/>
      <c r="N1910" s="15"/>
    </row>
    <row r="1911" spans="1:14" s="17" customFormat="1">
      <c r="A1911" s="12"/>
      <c r="B1911" s="13"/>
      <c r="C1911" s="14"/>
      <c r="D1911" s="15"/>
      <c r="E1911" s="16"/>
      <c r="F1911" s="16"/>
      <c r="I1911" s="18"/>
      <c r="J1911" s="12"/>
      <c r="K1911" s="12"/>
      <c r="L1911" s="13"/>
      <c r="M1911" s="14"/>
      <c r="N1911" s="15"/>
    </row>
    <row r="1912" spans="1:14" s="17" customFormat="1">
      <c r="A1912" s="12"/>
      <c r="B1912" s="13"/>
      <c r="C1912" s="14"/>
      <c r="D1912" s="15"/>
      <c r="E1912" s="16"/>
      <c r="F1912" s="16"/>
      <c r="I1912" s="18"/>
      <c r="J1912" s="12"/>
      <c r="K1912" s="12"/>
      <c r="L1912" s="13"/>
      <c r="M1912" s="14"/>
      <c r="N1912" s="15"/>
    </row>
    <row r="1913" spans="1:14" s="17" customFormat="1">
      <c r="A1913" s="12"/>
      <c r="B1913" s="13"/>
      <c r="C1913" s="14"/>
      <c r="D1913" s="15"/>
      <c r="E1913" s="16"/>
      <c r="F1913" s="16"/>
      <c r="I1913" s="18"/>
      <c r="J1913" s="12"/>
      <c r="K1913" s="12"/>
      <c r="L1913" s="13"/>
      <c r="M1913" s="14"/>
      <c r="N1913" s="15"/>
    </row>
    <row r="1914" spans="1:14" s="17" customFormat="1">
      <c r="A1914" s="12"/>
      <c r="B1914" s="13"/>
      <c r="C1914" s="14"/>
      <c r="D1914" s="15"/>
      <c r="E1914" s="16"/>
      <c r="F1914" s="16"/>
      <c r="I1914" s="18"/>
      <c r="J1914" s="12"/>
      <c r="K1914" s="12"/>
      <c r="L1914" s="13"/>
      <c r="M1914" s="14"/>
      <c r="N1914" s="15"/>
    </row>
    <row r="1915" spans="1:14" s="17" customFormat="1">
      <c r="A1915" s="12"/>
      <c r="B1915" s="13"/>
      <c r="C1915" s="14"/>
      <c r="D1915" s="15"/>
      <c r="E1915" s="16"/>
      <c r="F1915" s="16"/>
      <c r="I1915" s="18"/>
      <c r="J1915" s="12"/>
      <c r="K1915" s="12"/>
      <c r="L1915" s="13"/>
      <c r="M1915" s="14"/>
      <c r="N1915" s="15"/>
    </row>
    <row r="1916" spans="1:14" s="17" customFormat="1">
      <c r="A1916" s="12"/>
      <c r="B1916" s="13"/>
      <c r="C1916" s="14"/>
      <c r="D1916" s="15"/>
      <c r="E1916" s="16"/>
      <c r="F1916" s="16"/>
      <c r="I1916" s="18"/>
      <c r="J1916" s="12"/>
      <c r="K1916" s="12"/>
      <c r="L1916" s="13"/>
      <c r="M1916" s="14"/>
      <c r="N1916" s="15"/>
    </row>
    <row r="1917" spans="1:14" s="17" customFormat="1">
      <c r="A1917" s="12"/>
      <c r="B1917" s="13"/>
      <c r="C1917" s="14"/>
      <c r="D1917" s="15"/>
      <c r="E1917" s="16"/>
      <c r="F1917" s="16"/>
      <c r="I1917" s="18"/>
      <c r="J1917" s="12"/>
      <c r="K1917" s="12"/>
      <c r="L1917" s="13"/>
      <c r="M1917" s="14"/>
      <c r="N1917" s="15"/>
    </row>
    <row r="1918" spans="1:14" s="17" customFormat="1">
      <c r="A1918" s="12"/>
      <c r="B1918" s="13"/>
      <c r="C1918" s="14"/>
      <c r="D1918" s="15"/>
      <c r="E1918" s="16"/>
      <c r="F1918" s="16"/>
      <c r="I1918" s="18"/>
      <c r="J1918" s="12"/>
      <c r="K1918" s="12"/>
      <c r="L1918" s="13"/>
      <c r="M1918" s="14"/>
      <c r="N1918" s="15"/>
    </row>
    <row r="1919" spans="1:14" s="17" customFormat="1">
      <c r="A1919" s="12"/>
      <c r="B1919" s="13"/>
      <c r="C1919" s="14"/>
      <c r="D1919" s="15"/>
      <c r="E1919" s="16"/>
      <c r="F1919" s="16"/>
      <c r="I1919" s="18"/>
      <c r="J1919" s="12"/>
      <c r="K1919" s="12"/>
      <c r="L1919" s="13"/>
      <c r="M1919" s="14"/>
      <c r="N1919" s="15"/>
    </row>
    <row r="1920" spans="1:14" s="17" customFormat="1">
      <c r="A1920" s="12"/>
      <c r="B1920" s="13"/>
      <c r="C1920" s="14"/>
      <c r="D1920" s="15"/>
      <c r="E1920" s="16"/>
      <c r="F1920" s="16"/>
      <c r="I1920" s="18"/>
      <c r="J1920" s="12"/>
      <c r="K1920" s="12"/>
      <c r="L1920" s="13"/>
      <c r="M1920" s="14"/>
      <c r="N1920" s="15"/>
    </row>
    <row r="1921" spans="1:14" s="17" customFormat="1">
      <c r="A1921" s="12"/>
      <c r="B1921" s="13"/>
      <c r="C1921" s="14"/>
      <c r="D1921" s="15"/>
      <c r="E1921" s="16"/>
      <c r="F1921" s="16"/>
      <c r="I1921" s="18"/>
      <c r="J1921" s="12"/>
      <c r="K1921" s="12"/>
      <c r="L1921" s="13"/>
      <c r="M1921" s="14"/>
      <c r="N1921" s="15"/>
    </row>
    <row r="1922" spans="1:14" s="17" customFormat="1">
      <c r="A1922" s="12"/>
      <c r="B1922" s="13"/>
      <c r="C1922" s="14"/>
      <c r="D1922" s="15"/>
      <c r="E1922" s="16"/>
      <c r="F1922" s="16"/>
      <c r="I1922" s="18"/>
      <c r="J1922" s="12"/>
      <c r="K1922" s="12"/>
      <c r="L1922" s="13"/>
      <c r="M1922" s="14"/>
      <c r="N1922" s="15"/>
    </row>
    <row r="1923" spans="1:14" s="17" customFormat="1">
      <c r="A1923" s="12"/>
      <c r="B1923" s="13"/>
      <c r="C1923" s="14"/>
      <c r="D1923" s="15"/>
      <c r="E1923" s="16"/>
      <c r="F1923" s="16"/>
      <c r="I1923" s="18"/>
      <c r="J1923" s="12"/>
      <c r="K1923" s="12"/>
      <c r="L1923" s="13"/>
      <c r="M1923" s="14"/>
      <c r="N1923" s="15"/>
    </row>
    <row r="1924" spans="1:14" s="17" customFormat="1">
      <c r="A1924" s="12"/>
      <c r="B1924" s="13"/>
      <c r="C1924" s="14"/>
      <c r="D1924" s="15"/>
      <c r="E1924" s="16"/>
      <c r="F1924" s="16"/>
      <c r="I1924" s="18"/>
      <c r="J1924" s="12"/>
      <c r="K1924" s="12"/>
      <c r="L1924" s="13"/>
      <c r="M1924" s="14"/>
      <c r="N1924" s="15"/>
    </row>
    <row r="1925" spans="1:14" s="17" customFormat="1">
      <c r="A1925" s="12"/>
      <c r="B1925" s="13"/>
      <c r="C1925" s="14"/>
      <c r="D1925" s="15"/>
      <c r="E1925" s="16"/>
      <c r="F1925" s="16"/>
      <c r="I1925" s="18"/>
      <c r="J1925" s="12"/>
      <c r="K1925" s="12"/>
      <c r="L1925" s="13"/>
      <c r="M1925" s="14"/>
      <c r="N1925" s="15"/>
    </row>
    <row r="1926" spans="1:14" s="17" customFormat="1">
      <c r="A1926" s="12"/>
      <c r="B1926" s="13"/>
      <c r="C1926" s="14"/>
      <c r="D1926" s="15"/>
      <c r="E1926" s="16"/>
      <c r="F1926" s="16"/>
      <c r="I1926" s="18"/>
      <c r="J1926" s="12"/>
      <c r="K1926" s="12"/>
      <c r="L1926" s="13"/>
      <c r="M1926" s="14"/>
      <c r="N1926" s="15"/>
    </row>
    <row r="1927" spans="1:14" s="17" customFormat="1">
      <c r="A1927" s="12"/>
      <c r="B1927" s="13"/>
      <c r="C1927" s="14"/>
      <c r="D1927" s="15"/>
      <c r="E1927" s="16"/>
      <c r="F1927" s="16"/>
      <c r="I1927" s="18"/>
      <c r="J1927" s="12"/>
      <c r="K1927" s="12"/>
      <c r="L1927" s="13"/>
      <c r="M1927" s="14"/>
      <c r="N1927" s="15"/>
    </row>
    <row r="1928" spans="1:14" s="17" customFormat="1">
      <c r="A1928" s="12"/>
      <c r="B1928" s="13"/>
      <c r="C1928" s="14"/>
      <c r="D1928" s="15"/>
      <c r="E1928" s="16"/>
      <c r="F1928" s="16"/>
      <c r="I1928" s="18"/>
      <c r="J1928" s="12"/>
      <c r="K1928" s="12"/>
      <c r="L1928" s="13"/>
      <c r="M1928" s="14"/>
      <c r="N1928" s="15"/>
    </row>
    <row r="1929" spans="1:14" s="17" customFormat="1">
      <c r="A1929" s="12"/>
      <c r="B1929" s="13"/>
      <c r="C1929" s="14"/>
      <c r="D1929" s="15"/>
      <c r="E1929" s="16"/>
      <c r="F1929" s="16"/>
      <c r="I1929" s="18"/>
      <c r="J1929" s="12"/>
      <c r="K1929" s="12"/>
      <c r="L1929" s="13"/>
      <c r="M1929" s="14"/>
      <c r="N1929" s="15"/>
    </row>
    <row r="1930" spans="1:14" s="17" customFormat="1">
      <c r="A1930" s="12"/>
      <c r="B1930" s="13"/>
      <c r="C1930" s="14"/>
      <c r="D1930" s="15"/>
      <c r="E1930" s="16"/>
      <c r="F1930" s="16"/>
      <c r="I1930" s="18"/>
      <c r="J1930" s="12"/>
      <c r="K1930" s="12"/>
      <c r="L1930" s="13"/>
      <c r="M1930" s="14"/>
      <c r="N1930" s="15"/>
    </row>
    <row r="1931" spans="1:14" s="17" customFormat="1">
      <c r="A1931" s="12"/>
      <c r="B1931" s="13"/>
      <c r="C1931" s="14"/>
      <c r="D1931" s="15"/>
      <c r="E1931" s="16"/>
      <c r="F1931" s="16"/>
      <c r="I1931" s="18"/>
      <c r="J1931" s="12"/>
      <c r="K1931" s="12"/>
      <c r="L1931" s="13"/>
      <c r="M1931" s="14"/>
      <c r="N1931" s="15"/>
    </row>
    <row r="1932" spans="1:14" s="17" customFormat="1">
      <c r="A1932" s="12"/>
      <c r="B1932" s="13"/>
      <c r="C1932" s="14"/>
      <c r="D1932" s="15"/>
      <c r="E1932" s="16"/>
      <c r="F1932" s="16"/>
      <c r="I1932" s="18"/>
      <c r="J1932" s="12"/>
      <c r="K1932" s="12"/>
      <c r="L1932" s="13"/>
      <c r="M1932" s="14"/>
      <c r="N1932" s="15"/>
    </row>
    <row r="1933" spans="1:14" s="17" customFormat="1">
      <c r="A1933" s="12"/>
      <c r="B1933" s="13"/>
      <c r="C1933" s="14"/>
      <c r="D1933" s="15"/>
      <c r="E1933" s="16"/>
      <c r="F1933" s="16"/>
      <c r="I1933" s="18"/>
      <c r="J1933" s="12"/>
      <c r="K1933" s="12"/>
      <c r="L1933" s="13"/>
      <c r="M1933" s="14"/>
      <c r="N1933" s="15"/>
    </row>
    <row r="1934" spans="1:14" s="17" customFormat="1">
      <c r="A1934" s="12"/>
      <c r="B1934" s="13"/>
      <c r="C1934" s="14"/>
      <c r="D1934" s="15"/>
      <c r="E1934" s="16"/>
      <c r="F1934" s="16"/>
      <c r="I1934" s="18"/>
      <c r="J1934" s="12"/>
      <c r="K1934" s="12"/>
      <c r="L1934" s="13"/>
      <c r="M1934" s="14"/>
      <c r="N1934" s="15"/>
    </row>
    <row r="1935" spans="1:14" s="17" customFormat="1">
      <c r="A1935" s="12"/>
      <c r="B1935" s="13"/>
      <c r="C1935" s="14"/>
      <c r="D1935" s="15"/>
      <c r="E1935" s="16"/>
      <c r="F1935" s="16"/>
      <c r="I1935" s="18"/>
      <c r="J1935" s="12"/>
      <c r="K1935" s="12"/>
      <c r="L1935" s="13"/>
      <c r="M1935" s="14"/>
      <c r="N1935" s="15"/>
    </row>
    <row r="1936" spans="1:14" s="17" customFormat="1">
      <c r="A1936" s="12"/>
      <c r="B1936" s="13"/>
      <c r="C1936" s="14"/>
      <c r="D1936" s="15"/>
      <c r="E1936" s="16"/>
      <c r="F1936" s="16"/>
      <c r="I1936" s="18"/>
      <c r="J1936" s="12"/>
      <c r="K1936" s="12"/>
      <c r="L1936" s="13"/>
      <c r="M1936" s="14"/>
      <c r="N1936" s="15"/>
    </row>
    <row r="1937" spans="1:14" s="17" customFormat="1">
      <c r="A1937" s="12"/>
      <c r="B1937" s="13"/>
      <c r="C1937" s="14"/>
      <c r="D1937" s="15"/>
      <c r="E1937" s="16"/>
      <c r="F1937" s="16"/>
      <c r="I1937" s="18"/>
      <c r="J1937" s="12"/>
      <c r="K1937" s="12"/>
      <c r="L1937" s="13"/>
      <c r="M1937" s="14"/>
      <c r="N1937" s="15"/>
    </row>
    <row r="1938" spans="1:14" s="17" customFormat="1">
      <c r="A1938" s="12"/>
      <c r="B1938" s="13"/>
      <c r="C1938" s="14"/>
      <c r="D1938" s="15"/>
      <c r="E1938" s="16"/>
      <c r="F1938" s="16"/>
      <c r="I1938" s="18"/>
      <c r="J1938" s="12"/>
      <c r="K1938" s="12"/>
      <c r="L1938" s="13"/>
      <c r="M1938" s="14"/>
      <c r="N1938" s="15"/>
    </row>
    <row r="1939" spans="1:14" s="17" customFormat="1">
      <c r="A1939" s="12"/>
      <c r="B1939" s="13"/>
      <c r="C1939" s="14"/>
      <c r="D1939" s="15"/>
      <c r="E1939" s="16"/>
      <c r="F1939" s="16"/>
      <c r="I1939" s="18"/>
      <c r="J1939" s="12"/>
      <c r="K1939" s="12"/>
      <c r="L1939" s="13"/>
      <c r="M1939" s="14"/>
      <c r="N1939" s="15"/>
    </row>
    <row r="1940" spans="1:14" s="17" customFormat="1">
      <c r="A1940" s="12"/>
      <c r="B1940" s="13"/>
      <c r="C1940" s="14"/>
      <c r="D1940" s="15"/>
      <c r="E1940" s="16"/>
      <c r="F1940" s="16"/>
      <c r="I1940" s="18"/>
      <c r="J1940" s="12"/>
      <c r="K1940" s="12"/>
      <c r="L1940" s="13"/>
      <c r="M1940" s="14"/>
      <c r="N1940" s="15"/>
    </row>
    <row r="1941" spans="1:14" s="17" customFormat="1">
      <c r="A1941" s="12"/>
      <c r="B1941" s="13"/>
      <c r="C1941" s="14"/>
      <c r="D1941" s="15"/>
      <c r="E1941" s="16"/>
      <c r="F1941" s="16"/>
      <c r="I1941" s="18"/>
      <c r="J1941" s="12"/>
      <c r="K1941" s="12"/>
      <c r="L1941" s="13"/>
      <c r="M1941" s="14"/>
      <c r="N1941" s="15"/>
    </row>
    <row r="1942" spans="1:14" s="17" customFormat="1">
      <c r="A1942" s="12"/>
      <c r="B1942" s="13"/>
      <c r="C1942" s="14"/>
      <c r="D1942" s="15"/>
      <c r="E1942" s="16"/>
      <c r="F1942" s="16"/>
      <c r="I1942" s="18"/>
      <c r="J1942" s="12"/>
      <c r="K1942" s="12"/>
      <c r="L1942" s="13"/>
      <c r="M1942" s="14"/>
      <c r="N1942" s="15"/>
    </row>
    <row r="1943" spans="1:14" s="17" customFormat="1">
      <c r="A1943" s="12"/>
      <c r="B1943" s="13"/>
      <c r="C1943" s="14"/>
      <c r="D1943" s="15"/>
      <c r="E1943" s="16"/>
      <c r="F1943" s="16"/>
      <c r="I1943" s="18"/>
      <c r="J1943" s="12"/>
      <c r="K1943" s="12"/>
      <c r="L1943" s="13"/>
      <c r="M1943" s="14"/>
      <c r="N1943" s="15"/>
    </row>
    <row r="1944" spans="1:14" s="17" customFormat="1">
      <c r="A1944" s="12"/>
      <c r="B1944" s="13"/>
      <c r="C1944" s="14"/>
      <c r="D1944" s="15"/>
      <c r="E1944" s="16"/>
      <c r="F1944" s="16"/>
      <c r="I1944" s="18"/>
      <c r="J1944" s="12"/>
      <c r="K1944" s="12"/>
      <c r="L1944" s="13"/>
      <c r="M1944" s="14"/>
      <c r="N1944" s="15"/>
    </row>
    <row r="1945" spans="1:14" s="17" customFormat="1">
      <c r="A1945" s="12"/>
      <c r="B1945" s="13"/>
      <c r="C1945" s="14"/>
      <c r="D1945" s="15"/>
      <c r="E1945" s="16"/>
      <c r="F1945" s="16"/>
      <c r="I1945" s="18"/>
      <c r="J1945" s="12"/>
      <c r="K1945" s="12"/>
      <c r="L1945" s="13"/>
      <c r="M1945" s="14"/>
      <c r="N1945" s="15"/>
    </row>
    <row r="1946" spans="1:14" s="17" customFormat="1">
      <c r="A1946" s="12"/>
      <c r="B1946" s="13"/>
      <c r="C1946" s="14"/>
      <c r="D1946" s="15"/>
      <c r="E1946" s="16"/>
      <c r="F1946" s="16"/>
      <c r="I1946" s="18"/>
      <c r="J1946" s="12"/>
      <c r="K1946" s="12"/>
      <c r="L1946" s="13"/>
      <c r="M1946" s="14"/>
      <c r="N1946" s="15"/>
    </row>
    <row r="1947" spans="1:14" s="17" customFormat="1">
      <c r="A1947" s="12"/>
      <c r="B1947" s="13"/>
      <c r="C1947" s="14"/>
      <c r="D1947" s="15"/>
      <c r="E1947" s="16"/>
      <c r="F1947" s="16"/>
      <c r="I1947" s="18"/>
      <c r="J1947" s="12"/>
      <c r="K1947" s="12"/>
      <c r="L1947" s="13"/>
      <c r="M1947" s="14"/>
      <c r="N1947" s="15"/>
    </row>
    <row r="1948" spans="1:14" s="17" customFormat="1">
      <c r="A1948" s="12"/>
      <c r="B1948" s="13"/>
      <c r="C1948" s="14"/>
      <c r="D1948" s="15"/>
      <c r="E1948" s="16"/>
      <c r="F1948" s="16"/>
      <c r="I1948" s="18"/>
      <c r="J1948" s="12"/>
      <c r="K1948" s="12"/>
      <c r="L1948" s="13"/>
      <c r="M1948" s="14"/>
      <c r="N1948" s="15"/>
    </row>
    <row r="1949" spans="1:14" s="17" customFormat="1">
      <c r="A1949" s="12"/>
      <c r="B1949" s="13"/>
      <c r="C1949" s="14"/>
      <c r="D1949" s="15"/>
      <c r="E1949" s="16"/>
      <c r="F1949" s="16"/>
      <c r="I1949" s="18"/>
      <c r="J1949" s="12"/>
      <c r="K1949" s="12"/>
      <c r="L1949" s="13"/>
      <c r="M1949" s="14"/>
      <c r="N1949" s="15"/>
    </row>
    <row r="1950" spans="1:14" s="17" customFormat="1">
      <c r="A1950" s="12"/>
      <c r="B1950" s="13"/>
      <c r="C1950" s="14"/>
      <c r="D1950" s="15"/>
      <c r="E1950" s="16"/>
      <c r="F1950" s="16"/>
      <c r="I1950" s="18"/>
      <c r="J1950" s="12"/>
      <c r="K1950" s="12"/>
      <c r="L1950" s="13"/>
      <c r="M1950" s="14"/>
      <c r="N1950" s="15"/>
    </row>
    <row r="1951" spans="1:14" s="17" customFormat="1">
      <c r="A1951" s="12"/>
      <c r="B1951" s="13"/>
      <c r="C1951" s="14"/>
      <c r="D1951" s="15"/>
      <c r="E1951" s="16"/>
      <c r="F1951" s="16"/>
      <c r="I1951" s="18"/>
      <c r="J1951" s="12"/>
      <c r="K1951" s="12"/>
      <c r="L1951" s="13"/>
      <c r="M1951" s="14"/>
      <c r="N1951" s="15"/>
    </row>
    <row r="1952" spans="1:14" s="17" customFormat="1">
      <c r="A1952" s="12"/>
      <c r="B1952" s="13"/>
      <c r="C1952" s="14"/>
      <c r="D1952" s="15"/>
      <c r="E1952" s="16"/>
      <c r="F1952" s="16"/>
      <c r="I1952" s="18"/>
      <c r="J1952" s="12"/>
      <c r="K1952" s="12"/>
      <c r="L1952" s="13"/>
      <c r="M1952" s="14"/>
      <c r="N1952" s="15"/>
    </row>
    <row r="1953" spans="1:14" s="17" customFormat="1">
      <c r="A1953" s="12"/>
      <c r="B1953" s="13"/>
      <c r="C1953" s="14"/>
      <c r="D1953" s="15"/>
      <c r="E1953" s="16"/>
      <c r="F1953" s="16"/>
      <c r="I1953" s="18"/>
      <c r="J1953" s="12"/>
      <c r="K1953" s="12"/>
      <c r="L1953" s="13"/>
      <c r="M1953" s="14"/>
      <c r="N1953" s="15"/>
    </row>
    <row r="1954" spans="1:14" s="17" customFormat="1">
      <c r="A1954" s="12"/>
      <c r="B1954" s="13"/>
      <c r="C1954" s="14"/>
      <c r="D1954" s="15"/>
      <c r="E1954" s="16"/>
      <c r="F1954" s="16"/>
      <c r="I1954" s="18"/>
      <c r="J1954" s="12"/>
      <c r="K1954" s="12"/>
      <c r="L1954" s="13"/>
      <c r="M1954" s="14"/>
      <c r="N1954" s="15"/>
    </row>
    <row r="1955" spans="1:14" s="17" customFormat="1">
      <c r="A1955" s="12"/>
      <c r="B1955" s="13"/>
      <c r="C1955" s="14"/>
      <c r="D1955" s="15"/>
      <c r="E1955" s="16"/>
      <c r="F1955" s="16"/>
      <c r="I1955" s="18"/>
      <c r="J1955" s="12"/>
      <c r="K1955" s="12"/>
      <c r="L1955" s="13"/>
      <c r="M1955" s="14"/>
      <c r="N1955" s="15"/>
    </row>
    <row r="1956" spans="1:14" s="17" customFormat="1">
      <c r="A1956" s="12"/>
      <c r="B1956" s="13"/>
      <c r="C1956" s="14"/>
      <c r="D1956" s="15"/>
      <c r="E1956" s="16"/>
      <c r="F1956" s="16"/>
      <c r="I1956" s="18"/>
      <c r="J1956" s="12"/>
      <c r="K1956" s="12"/>
      <c r="L1956" s="13"/>
      <c r="M1956" s="14"/>
      <c r="N1956" s="15"/>
    </row>
    <row r="1957" spans="1:14" s="17" customFormat="1">
      <c r="A1957" s="12"/>
      <c r="B1957" s="13"/>
      <c r="C1957" s="14"/>
      <c r="D1957" s="15"/>
      <c r="E1957" s="16"/>
      <c r="F1957" s="16"/>
      <c r="I1957" s="18"/>
      <c r="J1957" s="12"/>
      <c r="K1957" s="12"/>
      <c r="L1957" s="13"/>
      <c r="M1957" s="14"/>
      <c r="N1957" s="15"/>
    </row>
    <row r="1958" spans="1:14" s="17" customFormat="1">
      <c r="A1958" s="12"/>
      <c r="B1958" s="13"/>
      <c r="C1958" s="14"/>
      <c r="D1958" s="15"/>
      <c r="E1958" s="16"/>
      <c r="F1958" s="16"/>
      <c r="I1958" s="18"/>
      <c r="J1958" s="12"/>
      <c r="K1958" s="12"/>
      <c r="L1958" s="13"/>
      <c r="M1958" s="14"/>
      <c r="N1958" s="15"/>
    </row>
    <row r="1959" spans="1:14" s="17" customFormat="1">
      <c r="A1959" s="12"/>
      <c r="B1959" s="13"/>
      <c r="C1959" s="14"/>
      <c r="D1959" s="15"/>
      <c r="E1959" s="16"/>
      <c r="F1959" s="16"/>
      <c r="I1959" s="18"/>
      <c r="J1959" s="12"/>
      <c r="K1959" s="12"/>
      <c r="L1959" s="13"/>
      <c r="M1959" s="14"/>
      <c r="N1959" s="15"/>
    </row>
    <row r="1960" spans="1:14" s="17" customFormat="1">
      <c r="A1960" s="12"/>
      <c r="B1960" s="13"/>
      <c r="C1960" s="14"/>
      <c r="D1960" s="15"/>
      <c r="E1960" s="16"/>
      <c r="F1960" s="16"/>
      <c r="I1960" s="18"/>
      <c r="J1960" s="12"/>
      <c r="K1960" s="12"/>
      <c r="L1960" s="13"/>
      <c r="M1960" s="14"/>
      <c r="N1960" s="15"/>
    </row>
    <row r="1961" spans="1:14" s="17" customFormat="1">
      <c r="A1961" s="12"/>
      <c r="B1961" s="13"/>
      <c r="C1961" s="14"/>
      <c r="D1961" s="15"/>
      <c r="E1961" s="16"/>
      <c r="F1961" s="16"/>
      <c r="I1961" s="18"/>
      <c r="J1961" s="12"/>
      <c r="K1961" s="12"/>
      <c r="L1961" s="13"/>
      <c r="M1961" s="14"/>
      <c r="N1961" s="15"/>
    </row>
    <row r="1962" spans="1:14" s="17" customFormat="1">
      <c r="A1962" s="12"/>
      <c r="B1962" s="13"/>
      <c r="C1962" s="14"/>
      <c r="D1962" s="15"/>
      <c r="E1962" s="16"/>
      <c r="F1962" s="16"/>
      <c r="I1962" s="18"/>
      <c r="J1962" s="12"/>
      <c r="K1962" s="12"/>
      <c r="L1962" s="13"/>
      <c r="M1962" s="14"/>
      <c r="N1962" s="15"/>
    </row>
    <row r="1963" spans="1:14" s="17" customFormat="1">
      <c r="A1963" s="12"/>
      <c r="B1963" s="13"/>
      <c r="C1963" s="14"/>
      <c r="D1963" s="15"/>
      <c r="E1963" s="16"/>
      <c r="F1963" s="16"/>
      <c r="I1963" s="18"/>
      <c r="J1963" s="12"/>
      <c r="K1963" s="12"/>
      <c r="L1963" s="13"/>
      <c r="M1963" s="14"/>
      <c r="N1963" s="15"/>
    </row>
    <row r="1964" spans="1:14" s="17" customFormat="1">
      <c r="A1964" s="12"/>
      <c r="B1964" s="13"/>
      <c r="C1964" s="14"/>
      <c r="D1964" s="15"/>
      <c r="E1964" s="16"/>
      <c r="F1964" s="16"/>
      <c r="I1964" s="18"/>
      <c r="J1964" s="12"/>
      <c r="K1964" s="12"/>
      <c r="L1964" s="13"/>
      <c r="M1964" s="14"/>
      <c r="N1964" s="15"/>
    </row>
    <row r="1965" spans="1:14" s="17" customFormat="1">
      <c r="A1965" s="12"/>
      <c r="B1965" s="13"/>
      <c r="C1965" s="14"/>
      <c r="D1965" s="15"/>
      <c r="E1965" s="16"/>
      <c r="F1965" s="16"/>
      <c r="I1965" s="18"/>
      <c r="J1965" s="12"/>
      <c r="K1965" s="12"/>
      <c r="L1965" s="13"/>
      <c r="M1965" s="14"/>
      <c r="N1965" s="15"/>
    </row>
    <row r="1966" spans="1:14" s="17" customFormat="1">
      <c r="A1966" s="12"/>
      <c r="B1966" s="13"/>
      <c r="C1966" s="14"/>
      <c r="D1966" s="15"/>
      <c r="E1966" s="16"/>
      <c r="F1966" s="16"/>
      <c r="I1966" s="18"/>
      <c r="J1966" s="12"/>
      <c r="K1966" s="12"/>
      <c r="L1966" s="13"/>
      <c r="M1966" s="14"/>
      <c r="N1966" s="15"/>
    </row>
    <row r="1967" spans="1:14" s="17" customFormat="1">
      <c r="A1967" s="12"/>
      <c r="B1967" s="13"/>
      <c r="C1967" s="14"/>
      <c r="D1967" s="15"/>
      <c r="E1967" s="16"/>
      <c r="F1967" s="16"/>
      <c r="I1967" s="18"/>
      <c r="J1967" s="12"/>
      <c r="K1967" s="12"/>
      <c r="L1967" s="13"/>
      <c r="M1967" s="14"/>
      <c r="N1967" s="15"/>
    </row>
    <row r="1968" spans="1:14" s="17" customFormat="1">
      <c r="A1968" s="12"/>
      <c r="B1968" s="13"/>
      <c r="C1968" s="14"/>
      <c r="D1968" s="15"/>
      <c r="E1968" s="16"/>
      <c r="F1968" s="16"/>
      <c r="I1968" s="18"/>
      <c r="J1968" s="12"/>
      <c r="K1968" s="12"/>
      <c r="L1968" s="13"/>
      <c r="M1968" s="14"/>
      <c r="N1968" s="15"/>
    </row>
    <row r="1969" spans="1:14" s="17" customFormat="1">
      <c r="A1969" s="12"/>
      <c r="B1969" s="13"/>
      <c r="C1969" s="14"/>
      <c r="D1969" s="15"/>
      <c r="E1969" s="16"/>
      <c r="F1969" s="16"/>
      <c r="G1969" s="25"/>
      <c r="H1969" s="25"/>
      <c r="I1969" s="95"/>
      <c r="J1969" s="12"/>
      <c r="K1969" s="12"/>
      <c r="L1969" s="13"/>
      <c r="M1969" s="14"/>
      <c r="N1969" s="15"/>
    </row>
    <row r="1970" spans="1:14" s="17" customFormat="1">
      <c r="A1970" s="12"/>
      <c r="B1970" s="13"/>
      <c r="C1970" s="14"/>
      <c r="D1970" s="15"/>
      <c r="E1970" s="16"/>
      <c r="F1970" s="16"/>
      <c r="G1970" s="25"/>
      <c r="H1970" s="25"/>
      <c r="I1970" s="95"/>
      <c r="J1970" s="12"/>
      <c r="K1970" s="12"/>
      <c r="L1970" s="13"/>
      <c r="M1970" s="14"/>
      <c r="N1970" s="15"/>
    </row>
    <row r="1971" spans="1:14" s="17" customFormat="1">
      <c r="A1971" s="12"/>
      <c r="B1971" s="13"/>
      <c r="C1971" s="14"/>
      <c r="D1971" s="15"/>
      <c r="E1971" s="16"/>
      <c r="F1971" s="16"/>
      <c r="G1971" s="34"/>
      <c r="H1971" s="34"/>
      <c r="I1971" s="95"/>
      <c r="J1971" s="12"/>
      <c r="K1971" s="12"/>
      <c r="L1971" s="13"/>
      <c r="M1971" s="14"/>
      <c r="N1971" s="15"/>
    </row>
    <row r="1972" spans="1:14" s="17" customFormat="1">
      <c r="A1972" s="12"/>
      <c r="B1972" s="13"/>
      <c r="C1972" s="14"/>
      <c r="D1972" s="15"/>
      <c r="E1972" s="16"/>
      <c r="F1972" s="16"/>
      <c r="G1972" s="34"/>
      <c r="H1972" s="34"/>
      <c r="I1972" s="95"/>
      <c r="J1972" s="12"/>
      <c r="K1972" s="12"/>
      <c r="L1972" s="13"/>
      <c r="M1972" s="14"/>
      <c r="N1972" s="15"/>
    </row>
    <row r="1973" spans="1:14" s="17" customFormat="1">
      <c r="A1973" s="12"/>
      <c r="B1973" s="13"/>
      <c r="C1973" s="14"/>
      <c r="D1973" s="15"/>
      <c r="E1973" s="16"/>
      <c r="F1973" s="16"/>
      <c r="G1973" s="25"/>
      <c r="H1973" s="25"/>
      <c r="I1973" s="95"/>
      <c r="J1973" s="12"/>
      <c r="K1973" s="12"/>
      <c r="L1973" s="13"/>
      <c r="M1973" s="14"/>
      <c r="N1973" s="15"/>
    </row>
    <row r="1974" spans="1:14" s="17" customFormat="1">
      <c r="A1974" s="12"/>
      <c r="B1974" s="13"/>
      <c r="C1974" s="14"/>
      <c r="D1974" s="15"/>
      <c r="E1974" s="16"/>
      <c r="F1974" s="16"/>
      <c r="G1974" s="25"/>
      <c r="H1974" s="25"/>
      <c r="I1974" s="95"/>
      <c r="J1974" s="12"/>
      <c r="K1974" s="12"/>
      <c r="L1974" s="13"/>
      <c r="M1974" s="14"/>
      <c r="N1974" s="15"/>
    </row>
    <row r="1975" spans="1:14" s="17" customFormat="1">
      <c r="A1975" s="12"/>
      <c r="B1975" s="13"/>
      <c r="C1975" s="14"/>
      <c r="D1975" s="15"/>
      <c r="E1975" s="16"/>
      <c r="F1975" s="16"/>
      <c r="G1975" s="25"/>
      <c r="H1975" s="25"/>
      <c r="I1975" s="95"/>
      <c r="J1975" s="12"/>
      <c r="K1975" s="12"/>
      <c r="L1975" s="13"/>
      <c r="M1975" s="14"/>
      <c r="N1975" s="15"/>
    </row>
    <row r="1976" spans="1:14" s="17" customFormat="1">
      <c r="A1976" s="12"/>
      <c r="B1976" s="13"/>
      <c r="C1976" s="14"/>
      <c r="D1976" s="15"/>
      <c r="E1976" s="16"/>
      <c r="F1976" s="16"/>
      <c r="G1976" s="25"/>
      <c r="H1976" s="25"/>
      <c r="I1976" s="95"/>
      <c r="J1976" s="12"/>
      <c r="K1976" s="12"/>
      <c r="L1976" s="13"/>
      <c r="M1976" s="14"/>
      <c r="N1976" s="15"/>
    </row>
    <row r="1977" spans="1:14" s="17" customFormat="1">
      <c r="A1977" s="12"/>
      <c r="B1977" s="13"/>
      <c r="C1977" s="14"/>
      <c r="D1977" s="15"/>
      <c r="E1977" s="16"/>
      <c r="F1977" s="16"/>
      <c r="G1977" s="25"/>
      <c r="H1977" s="25"/>
      <c r="I1977" s="95"/>
      <c r="J1977" s="12"/>
      <c r="K1977" s="12"/>
      <c r="L1977" s="13"/>
      <c r="M1977" s="14"/>
      <c r="N1977" s="15"/>
    </row>
    <row r="1978" spans="1:14" s="17" customFormat="1">
      <c r="A1978" s="12"/>
      <c r="B1978" s="13"/>
      <c r="C1978" s="14"/>
      <c r="D1978" s="15"/>
      <c r="E1978" s="16"/>
      <c r="F1978" s="16"/>
      <c r="G1978" s="25"/>
      <c r="H1978" s="25"/>
      <c r="I1978" s="95"/>
      <c r="J1978" s="12"/>
      <c r="K1978" s="12"/>
      <c r="L1978" s="13"/>
      <c r="M1978" s="14"/>
      <c r="N1978" s="15"/>
    </row>
    <row r="1979" spans="1:14" s="17" customFormat="1">
      <c r="A1979" s="12"/>
      <c r="B1979" s="13"/>
      <c r="C1979" s="14"/>
      <c r="D1979" s="15"/>
      <c r="E1979" s="16"/>
      <c r="F1979" s="16"/>
      <c r="G1979" s="25"/>
      <c r="H1979" s="25"/>
      <c r="I1979" s="95"/>
      <c r="J1979" s="12"/>
      <c r="K1979" s="12"/>
      <c r="L1979" s="13"/>
      <c r="M1979" s="14"/>
      <c r="N1979" s="15"/>
    </row>
    <row r="1980" spans="1:14" s="17" customFormat="1">
      <c r="A1980" s="12"/>
      <c r="B1980" s="13"/>
      <c r="C1980" s="14"/>
      <c r="D1980" s="15"/>
      <c r="E1980" s="16"/>
      <c r="F1980" s="16"/>
      <c r="G1980" s="25"/>
      <c r="H1980" s="25"/>
      <c r="I1980" s="95"/>
      <c r="J1980" s="12"/>
      <c r="K1980" s="12"/>
      <c r="L1980" s="13"/>
      <c r="M1980" s="14"/>
      <c r="N1980" s="15"/>
    </row>
    <row r="1981" spans="1:14" s="17" customFormat="1">
      <c r="A1981" s="12"/>
      <c r="B1981" s="13"/>
      <c r="C1981" s="14"/>
      <c r="D1981" s="15"/>
      <c r="E1981" s="16"/>
      <c r="F1981" s="16"/>
      <c r="G1981" s="25"/>
      <c r="H1981" s="25"/>
      <c r="I1981" s="95"/>
      <c r="J1981" s="12"/>
      <c r="K1981" s="12"/>
      <c r="L1981" s="13"/>
      <c r="M1981" s="14"/>
      <c r="N1981" s="15"/>
    </row>
    <row r="1982" spans="1:14" s="17" customFormat="1">
      <c r="A1982" s="12"/>
      <c r="B1982" s="13"/>
      <c r="C1982" s="14"/>
      <c r="D1982" s="15"/>
      <c r="E1982" s="16"/>
      <c r="F1982" s="16"/>
      <c r="G1982" s="25"/>
      <c r="H1982" s="25"/>
      <c r="I1982" s="95"/>
      <c r="J1982" s="12"/>
      <c r="K1982" s="12"/>
      <c r="L1982" s="13"/>
      <c r="M1982" s="14"/>
      <c r="N1982" s="15"/>
    </row>
    <row r="1983" spans="1:14" s="17" customFormat="1">
      <c r="A1983" s="12"/>
      <c r="B1983" s="13"/>
      <c r="C1983" s="14"/>
      <c r="D1983" s="15"/>
      <c r="E1983" s="16"/>
      <c r="F1983" s="16"/>
      <c r="G1983" s="25"/>
      <c r="H1983" s="25"/>
      <c r="I1983" s="95"/>
      <c r="J1983" s="12"/>
      <c r="K1983" s="12"/>
      <c r="L1983" s="13"/>
      <c r="M1983" s="14"/>
      <c r="N1983" s="15"/>
    </row>
    <row r="1984" spans="1:14" s="17" customFormat="1">
      <c r="A1984" s="12"/>
      <c r="B1984" s="13"/>
      <c r="C1984" s="14"/>
      <c r="D1984" s="15"/>
      <c r="E1984" s="16"/>
      <c r="F1984" s="16"/>
      <c r="G1984" s="25"/>
      <c r="H1984" s="25"/>
      <c r="I1984" s="95"/>
      <c r="J1984" s="12"/>
      <c r="K1984" s="12"/>
      <c r="L1984" s="13"/>
      <c r="M1984" s="14"/>
      <c r="N1984" s="15"/>
    </row>
    <row r="1985" spans="1:14" s="17" customFormat="1">
      <c r="A1985" s="12"/>
      <c r="B1985" s="13"/>
      <c r="C1985" s="14"/>
      <c r="D1985" s="15"/>
      <c r="E1985" s="16"/>
      <c r="F1985" s="16"/>
      <c r="G1985" s="25"/>
      <c r="H1985" s="25"/>
      <c r="I1985" s="95"/>
      <c r="J1985" s="12"/>
      <c r="K1985" s="12"/>
      <c r="L1985" s="13"/>
      <c r="M1985" s="14"/>
      <c r="N1985" s="15"/>
    </row>
    <row r="1986" spans="1:14" s="17" customFormat="1">
      <c r="A1986" s="12"/>
      <c r="B1986" s="13"/>
      <c r="C1986" s="14"/>
      <c r="D1986" s="15"/>
      <c r="E1986" s="16"/>
      <c r="F1986" s="16"/>
      <c r="G1986" s="25"/>
      <c r="H1986" s="25"/>
      <c r="I1986" s="95"/>
      <c r="J1986" s="12"/>
      <c r="K1986" s="12"/>
      <c r="L1986" s="13"/>
      <c r="M1986" s="14"/>
      <c r="N1986" s="15"/>
    </row>
    <row r="1987" spans="1:14" s="17" customFormat="1">
      <c r="A1987" s="12"/>
      <c r="B1987" s="13"/>
      <c r="C1987" s="14"/>
      <c r="D1987" s="15"/>
      <c r="E1987" s="16"/>
      <c r="F1987" s="16"/>
      <c r="G1987" s="25"/>
      <c r="H1987" s="25"/>
      <c r="I1987" s="95"/>
      <c r="J1987" s="12"/>
      <c r="K1987" s="12"/>
      <c r="L1987" s="13"/>
      <c r="M1987" s="14"/>
      <c r="N1987" s="15"/>
    </row>
    <row r="1988" spans="1:14" s="17" customFormat="1">
      <c r="A1988" s="12"/>
      <c r="B1988" s="13"/>
      <c r="C1988" s="14"/>
      <c r="D1988" s="15"/>
      <c r="E1988" s="16"/>
      <c r="F1988" s="16"/>
      <c r="G1988" s="25"/>
      <c r="H1988" s="25"/>
      <c r="I1988" s="95"/>
      <c r="J1988" s="12"/>
      <c r="K1988" s="12"/>
      <c r="L1988" s="13"/>
      <c r="M1988" s="14"/>
      <c r="N1988" s="15"/>
    </row>
    <row r="1989" spans="1:14" s="17" customFormat="1">
      <c r="A1989" s="12"/>
      <c r="B1989" s="13"/>
      <c r="C1989" s="14"/>
      <c r="D1989" s="15"/>
      <c r="E1989" s="16"/>
      <c r="F1989" s="16"/>
      <c r="G1989" s="25"/>
      <c r="H1989" s="25"/>
      <c r="I1989" s="95"/>
      <c r="J1989" s="12"/>
      <c r="K1989" s="12"/>
      <c r="L1989" s="13"/>
      <c r="M1989" s="14"/>
      <c r="N1989" s="15"/>
    </row>
    <row r="1990" spans="1:14" s="17" customFormat="1">
      <c r="A1990" s="12"/>
      <c r="B1990" s="13"/>
      <c r="C1990" s="14"/>
      <c r="D1990" s="15"/>
      <c r="E1990" s="16"/>
      <c r="F1990" s="16"/>
      <c r="G1990" s="25"/>
      <c r="H1990" s="25"/>
      <c r="I1990" s="95"/>
      <c r="J1990" s="12"/>
      <c r="K1990" s="12"/>
      <c r="L1990" s="13"/>
      <c r="M1990" s="14"/>
      <c r="N1990" s="15"/>
    </row>
    <row r="1991" spans="1:14" s="17" customFormat="1">
      <c r="A1991" s="12"/>
      <c r="B1991" s="13"/>
      <c r="C1991" s="14"/>
      <c r="D1991" s="15"/>
      <c r="E1991" s="16"/>
      <c r="F1991" s="16"/>
      <c r="G1991" s="25"/>
      <c r="H1991" s="25"/>
      <c r="I1991" s="95"/>
      <c r="J1991" s="12"/>
      <c r="K1991" s="12"/>
      <c r="L1991" s="13"/>
      <c r="M1991" s="14"/>
      <c r="N1991" s="15"/>
    </row>
    <row r="1992" spans="1:14" s="17" customFormat="1">
      <c r="A1992" s="12"/>
      <c r="B1992" s="13"/>
      <c r="C1992" s="14"/>
      <c r="D1992" s="15"/>
      <c r="E1992" s="16"/>
      <c r="F1992" s="16"/>
      <c r="G1992" s="25"/>
      <c r="H1992" s="25"/>
      <c r="I1992" s="95"/>
      <c r="J1992" s="12"/>
      <c r="K1992" s="12"/>
      <c r="L1992" s="13"/>
      <c r="M1992" s="14"/>
      <c r="N1992" s="15"/>
    </row>
    <row r="1993" spans="1:14" s="17" customFormat="1">
      <c r="A1993" s="12"/>
      <c r="B1993" s="13"/>
      <c r="C1993" s="14"/>
      <c r="D1993" s="15"/>
      <c r="E1993" s="16"/>
      <c r="F1993" s="16"/>
      <c r="I1993" s="18"/>
      <c r="J1993" s="12"/>
      <c r="K1993" s="12"/>
      <c r="L1993" s="13"/>
      <c r="M1993" s="14"/>
      <c r="N1993" s="15"/>
    </row>
    <row r="1994" spans="1:14" s="17" customFormat="1">
      <c r="A1994" s="12"/>
      <c r="B1994" s="13"/>
      <c r="C1994" s="14"/>
      <c r="D1994" s="15"/>
      <c r="E1994" s="16"/>
      <c r="F1994" s="16"/>
      <c r="G1994" s="25"/>
      <c r="H1994" s="25"/>
      <c r="I1994" s="95"/>
      <c r="J1994" s="12"/>
      <c r="K1994" s="12"/>
      <c r="L1994" s="13"/>
      <c r="M1994" s="14"/>
      <c r="N1994" s="15"/>
    </row>
    <row r="1995" spans="1:14" s="17" customFormat="1">
      <c r="A1995" s="12"/>
      <c r="B1995" s="13"/>
      <c r="C1995" s="14"/>
      <c r="D1995" s="15"/>
      <c r="E1995" s="16"/>
      <c r="F1995" s="16"/>
      <c r="I1995" s="18"/>
      <c r="J1995" s="12"/>
      <c r="K1995" s="12"/>
      <c r="L1995" s="13"/>
      <c r="M1995" s="14"/>
      <c r="N1995" s="15"/>
    </row>
    <row r="1996" spans="1:14" s="17" customFormat="1">
      <c r="A1996" s="12"/>
      <c r="B1996" s="13"/>
      <c r="C1996" s="14"/>
      <c r="D1996" s="15"/>
      <c r="E1996" s="16"/>
      <c r="F1996" s="16"/>
      <c r="I1996" s="18"/>
      <c r="J1996" s="12"/>
      <c r="K1996" s="12"/>
      <c r="L1996" s="13"/>
      <c r="M1996" s="14"/>
      <c r="N1996" s="15"/>
    </row>
    <row r="1997" spans="1:14" s="17" customFormat="1">
      <c r="A1997" s="12"/>
      <c r="B1997" s="13"/>
      <c r="C1997" s="14"/>
      <c r="D1997" s="15"/>
      <c r="E1997" s="16"/>
      <c r="F1997" s="16"/>
      <c r="I1997" s="18"/>
      <c r="J1997" s="12"/>
      <c r="K1997" s="12"/>
      <c r="L1997" s="13"/>
      <c r="M1997" s="14"/>
      <c r="N1997" s="15"/>
    </row>
    <row r="1998" spans="1:14" s="17" customFormat="1">
      <c r="A1998" s="12"/>
      <c r="B1998" s="13"/>
      <c r="C1998" s="14"/>
      <c r="D1998" s="15"/>
      <c r="E1998" s="16"/>
      <c r="F1998" s="16"/>
      <c r="I1998" s="18"/>
      <c r="J1998" s="12"/>
      <c r="K1998" s="12"/>
      <c r="L1998" s="13"/>
      <c r="M1998" s="14"/>
      <c r="N1998" s="15"/>
    </row>
    <row r="1999" spans="1:14" s="17" customFormat="1">
      <c r="A1999" s="12"/>
      <c r="B1999" s="13"/>
      <c r="C1999" s="14"/>
      <c r="D1999" s="15"/>
      <c r="E1999" s="16"/>
      <c r="F1999" s="16"/>
      <c r="G1999" s="25"/>
      <c r="H1999" s="25"/>
      <c r="I1999" s="95"/>
      <c r="J1999" s="12"/>
      <c r="K1999" s="12"/>
      <c r="L1999" s="13"/>
      <c r="M1999" s="14"/>
      <c r="N1999" s="15"/>
    </row>
    <row r="2000" spans="1:14" s="17" customFormat="1">
      <c r="A2000" s="12"/>
      <c r="B2000" s="13"/>
      <c r="C2000" s="14"/>
      <c r="D2000" s="15"/>
      <c r="E2000" s="16"/>
      <c r="F2000" s="16"/>
      <c r="G2000" s="25"/>
      <c r="H2000" s="25"/>
      <c r="I2000" s="95"/>
      <c r="J2000" s="12"/>
      <c r="K2000" s="12"/>
      <c r="L2000" s="13"/>
      <c r="M2000" s="14"/>
      <c r="N2000" s="15"/>
    </row>
    <row r="2001" spans="1:14" s="17" customFormat="1">
      <c r="A2001" s="12"/>
      <c r="B2001" s="13"/>
      <c r="C2001" s="14"/>
      <c r="D2001" s="15"/>
      <c r="E2001" s="16"/>
      <c r="F2001" s="16"/>
      <c r="G2001" s="25"/>
      <c r="H2001" s="25"/>
      <c r="I2001" s="95"/>
      <c r="J2001" s="12"/>
      <c r="K2001" s="12"/>
      <c r="L2001" s="13"/>
      <c r="M2001" s="14"/>
      <c r="N2001" s="15"/>
    </row>
    <row r="2002" spans="1:14" s="17" customFormat="1">
      <c r="A2002" s="12"/>
      <c r="B2002" s="13"/>
      <c r="C2002" s="14"/>
      <c r="D2002" s="15"/>
      <c r="E2002" s="16"/>
      <c r="F2002" s="16"/>
      <c r="G2002" s="25"/>
      <c r="H2002" s="25"/>
      <c r="I2002" s="95"/>
      <c r="J2002" s="12"/>
      <c r="K2002" s="12"/>
      <c r="L2002" s="13"/>
      <c r="M2002" s="14"/>
      <c r="N2002" s="15"/>
    </row>
    <row r="2003" spans="1:14" s="17" customFormat="1">
      <c r="A2003" s="12"/>
      <c r="B2003" s="13"/>
      <c r="C2003" s="14"/>
      <c r="D2003" s="15"/>
      <c r="E2003" s="16"/>
      <c r="F2003" s="16"/>
      <c r="G2003" s="25"/>
      <c r="H2003" s="25"/>
      <c r="I2003" s="95"/>
      <c r="J2003" s="12"/>
      <c r="K2003" s="12"/>
      <c r="L2003" s="13"/>
      <c r="M2003" s="14"/>
      <c r="N2003" s="15"/>
    </row>
    <row r="2004" spans="1:14" s="17" customFormat="1">
      <c r="A2004" s="12"/>
      <c r="B2004" s="13"/>
      <c r="C2004" s="14"/>
      <c r="D2004" s="15"/>
      <c r="E2004" s="16"/>
      <c r="F2004" s="16"/>
      <c r="G2004" s="25"/>
      <c r="H2004" s="25"/>
      <c r="I2004" s="95"/>
      <c r="J2004" s="12"/>
      <c r="K2004" s="12"/>
      <c r="L2004" s="13"/>
      <c r="M2004" s="14"/>
      <c r="N2004" s="15"/>
    </row>
    <row r="2005" spans="1:14" s="17" customFormat="1">
      <c r="A2005" s="12"/>
      <c r="B2005" s="13"/>
      <c r="C2005" s="14"/>
      <c r="D2005" s="15"/>
      <c r="E2005" s="16"/>
      <c r="F2005" s="16"/>
      <c r="G2005" s="25"/>
      <c r="H2005" s="25"/>
      <c r="I2005" s="95"/>
      <c r="J2005" s="12"/>
      <c r="K2005" s="12"/>
      <c r="L2005" s="13"/>
      <c r="M2005" s="14"/>
      <c r="N2005" s="15"/>
    </row>
    <row r="2006" spans="1:14" s="17" customFormat="1">
      <c r="A2006" s="12"/>
      <c r="B2006" s="13"/>
      <c r="C2006" s="14"/>
      <c r="D2006" s="15"/>
      <c r="E2006" s="16"/>
      <c r="F2006" s="16"/>
      <c r="G2006" s="25"/>
      <c r="H2006" s="25"/>
      <c r="I2006" s="95"/>
      <c r="J2006" s="12"/>
      <c r="K2006" s="12"/>
      <c r="L2006" s="13"/>
      <c r="M2006" s="14"/>
      <c r="N2006" s="15"/>
    </row>
    <row r="2007" spans="1:14" s="17" customFormat="1">
      <c r="A2007" s="12"/>
      <c r="B2007" s="13"/>
      <c r="C2007" s="14"/>
      <c r="D2007" s="15"/>
      <c r="E2007" s="16"/>
      <c r="F2007" s="16"/>
      <c r="G2007" s="25"/>
      <c r="H2007" s="25"/>
      <c r="I2007" s="95"/>
      <c r="J2007" s="12"/>
      <c r="K2007" s="12"/>
      <c r="L2007" s="13"/>
      <c r="M2007" s="14"/>
      <c r="N2007" s="15"/>
    </row>
    <row r="2008" spans="1:14" s="17" customFormat="1">
      <c r="A2008" s="12"/>
      <c r="B2008" s="13"/>
      <c r="C2008" s="14"/>
      <c r="D2008" s="15"/>
      <c r="E2008" s="16"/>
      <c r="F2008" s="16"/>
      <c r="G2008" s="25"/>
      <c r="H2008" s="25"/>
      <c r="I2008" s="95"/>
      <c r="J2008" s="12"/>
      <c r="K2008" s="12"/>
      <c r="L2008" s="13"/>
      <c r="M2008" s="14"/>
      <c r="N2008" s="15"/>
    </row>
    <row r="2009" spans="1:14" s="17" customFormat="1">
      <c r="A2009" s="12"/>
      <c r="B2009" s="13"/>
      <c r="C2009" s="14"/>
      <c r="D2009" s="15"/>
      <c r="E2009" s="16"/>
      <c r="F2009" s="16"/>
      <c r="G2009" s="25"/>
      <c r="H2009" s="25"/>
      <c r="I2009" s="95"/>
      <c r="J2009" s="12"/>
      <c r="K2009" s="12"/>
      <c r="L2009" s="13"/>
      <c r="M2009" s="14"/>
      <c r="N2009" s="15"/>
    </row>
    <row r="2010" spans="1:14" s="17" customFormat="1">
      <c r="A2010" s="12"/>
      <c r="B2010" s="13"/>
      <c r="C2010" s="14"/>
      <c r="D2010" s="15"/>
      <c r="E2010" s="16"/>
      <c r="F2010" s="16"/>
      <c r="G2010" s="25"/>
      <c r="H2010" s="25"/>
      <c r="I2010" s="95"/>
      <c r="J2010" s="12"/>
      <c r="K2010" s="12"/>
      <c r="L2010" s="13"/>
      <c r="M2010" s="14"/>
      <c r="N2010" s="15"/>
    </row>
    <row r="2011" spans="1:14" s="17" customFormat="1">
      <c r="A2011" s="12"/>
      <c r="B2011" s="13"/>
      <c r="C2011" s="14"/>
      <c r="D2011" s="15"/>
      <c r="E2011" s="16"/>
      <c r="F2011" s="16"/>
      <c r="G2011" s="25"/>
      <c r="H2011" s="25"/>
      <c r="I2011" s="95"/>
      <c r="J2011" s="12"/>
      <c r="K2011" s="12"/>
      <c r="L2011" s="13"/>
      <c r="M2011" s="14"/>
      <c r="N2011" s="15"/>
    </row>
    <row r="2012" spans="1:14" s="17" customFormat="1">
      <c r="A2012" s="12"/>
      <c r="B2012" s="13"/>
      <c r="C2012" s="14"/>
      <c r="D2012" s="15"/>
      <c r="E2012" s="16"/>
      <c r="F2012" s="16"/>
      <c r="G2012" s="25"/>
      <c r="H2012" s="25"/>
      <c r="I2012" s="95"/>
      <c r="J2012" s="12"/>
      <c r="K2012" s="12"/>
      <c r="L2012" s="13"/>
      <c r="M2012" s="14"/>
      <c r="N2012" s="15"/>
    </row>
    <row r="2013" spans="1:14" s="17" customFormat="1">
      <c r="A2013" s="12"/>
      <c r="B2013" s="13"/>
      <c r="C2013" s="14"/>
      <c r="D2013" s="15"/>
      <c r="E2013" s="16"/>
      <c r="F2013" s="16"/>
      <c r="G2013" s="25"/>
      <c r="H2013" s="25"/>
      <c r="I2013" s="95"/>
      <c r="J2013" s="12"/>
      <c r="K2013" s="12"/>
      <c r="L2013" s="13"/>
      <c r="M2013" s="14"/>
      <c r="N2013" s="15"/>
    </row>
    <row r="2014" spans="1:14" s="17" customFormat="1">
      <c r="A2014" s="12"/>
      <c r="B2014" s="13"/>
      <c r="C2014" s="14"/>
      <c r="D2014" s="15"/>
      <c r="E2014" s="16"/>
      <c r="F2014" s="16"/>
      <c r="G2014" s="25"/>
      <c r="H2014" s="25"/>
      <c r="I2014" s="95"/>
      <c r="J2014" s="12"/>
      <c r="K2014" s="12"/>
      <c r="L2014" s="13"/>
      <c r="M2014" s="14"/>
      <c r="N2014" s="15"/>
    </row>
    <row r="2015" spans="1:14" s="17" customFormat="1">
      <c r="A2015" s="12"/>
      <c r="B2015" s="13"/>
      <c r="C2015" s="14"/>
      <c r="D2015" s="15"/>
      <c r="E2015" s="16"/>
      <c r="F2015" s="16"/>
      <c r="G2015" s="25"/>
      <c r="H2015" s="25"/>
      <c r="I2015" s="95"/>
      <c r="J2015" s="12"/>
      <c r="K2015" s="12"/>
      <c r="L2015" s="13"/>
      <c r="M2015" s="14"/>
      <c r="N2015" s="15"/>
    </row>
    <row r="2016" spans="1:14" s="17" customFormat="1">
      <c r="A2016" s="12"/>
      <c r="B2016" s="13"/>
      <c r="C2016" s="14"/>
      <c r="D2016" s="15"/>
      <c r="E2016" s="16"/>
      <c r="F2016" s="16"/>
      <c r="G2016" s="25"/>
      <c r="H2016" s="25"/>
      <c r="I2016" s="95"/>
      <c r="J2016" s="12"/>
      <c r="K2016" s="12"/>
      <c r="L2016" s="13"/>
      <c r="M2016" s="14"/>
      <c r="N2016" s="15"/>
    </row>
    <row r="2017" spans="1:14" s="17" customFormat="1">
      <c r="A2017" s="12"/>
      <c r="B2017" s="13"/>
      <c r="C2017" s="14"/>
      <c r="D2017" s="15"/>
      <c r="E2017" s="16"/>
      <c r="F2017" s="16"/>
      <c r="G2017" s="25"/>
      <c r="H2017" s="25"/>
      <c r="I2017" s="95"/>
      <c r="J2017" s="12"/>
      <c r="K2017" s="12"/>
      <c r="L2017" s="13"/>
      <c r="M2017" s="14"/>
      <c r="N2017" s="15"/>
    </row>
    <row r="2018" spans="1:14" s="17" customFormat="1">
      <c r="A2018" s="12"/>
      <c r="B2018" s="13"/>
      <c r="C2018" s="14"/>
      <c r="D2018" s="15"/>
      <c r="E2018" s="16"/>
      <c r="F2018" s="16"/>
      <c r="G2018" s="25"/>
      <c r="H2018" s="25"/>
      <c r="I2018" s="95"/>
      <c r="J2018" s="12"/>
      <c r="K2018" s="12"/>
      <c r="L2018" s="13"/>
      <c r="M2018" s="14"/>
      <c r="N2018" s="15"/>
    </row>
    <row r="2019" spans="1:14" s="17" customFormat="1">
      <c r="A2019" s="12"/>
      <c r="B2019" s="13"/>
      <c r="C2019" s="14"/>
      <c r="D2019" s="15"/>
      <c r="E2019" s="16"/>
      <c r="F2019" s="16"/>
      <c r="G2019" s="25"/>
      <c r="H2019" s="25"/>
      <c r="I2019" s="95"/>
      <c r="J2019" s="12"/>
      <c r="K2019" s="12"/>
      <c r="L2019" s="13"/>
      <c r="M2019" s="14"/>
      <c r="N2019" s="15"/>
    </row>
    <row r="2020" spans="1:14" s="17" customFormat="1">
      <c r="A2020" s="12"/>
      <c r="B2020" s="13"/>
      <c r="C2020" s="14"/>
      <c r="D2020" s="15"/>
      <c r="E2020" s="16"/>
      <c r="F2020" s="16"/>
      <c r="G2020" s="25"/>
      <c r="H2020" s="25"/>
      <c r="I2020" s="95"/>
      <c r="J2020" s="12"/>
      <c r="K2020" s="12"/>
      <c r="L2020" s="13"/>
      <c r="M2020" s="14"/>
      <c r="N2020" s="15"/>
    </row>
    <row r="2021" spans="1:14" s="17" customFormat="1">
      <c r="A2021" s="12"/>
      <c r="B2021" s="13"/>
      <c r="C2021" s="14"/>
      <c r="D2021" s="15"/>
      <c r="E2021" s="16"/>
      <c r="F2021" s="16"/>
      <c r="G2021" s="34"/>
      <c r="H2021" s="34"/>
      <c r="I2021" s="95"/>
      <c r="J2021" s="12"/>
      <c r="K2021" s="12"/>
      <c r="L2021" s="13"/>
      <c r="M2021" s="14"/>
      <c r="N2021" s="15"/>
    </row>
    <row r="2022" spans="1:14" s="17" customFormat="1">
      <c r="A2022" s="12"/>
      <c r="B2022" s="13"/>
      <c r="C2022" s="14"/>
      <c r="D2022" s="15"/>
      <c r="E2022" s="16"/>
      <c r="F2022" s="16"/>
      <c r="G2022" s="34"/>
      <c r="H2022" s="34"/>
      <c r="I2022" s="95"/>
      <c r="J2022" s="12"/>
      <c r="K2022" s="12"/>
      <c r="L2022" s="13"/>
      <c r="M2022" s="14"/>
      <c r="N2022" s="15"/>
    </row>
    <row r="2023" spans="1:14" s="17" customFormat="1">
      <c r="A2023" s="12"/>
      <c r="B2023" s="13"/>
      <c r="C2023" s="14"/>
      <c r="D2023" s="15"/>
      <c r="E2023" s="16"/>
      <c r="F2023" s="16"/>
      <c r="G2023" s="25"/>
      <c r="H2023" s="25"/>
      <c r="I2023" s="95"/>
      <c r="J2023" s="12"/>
      <c r="K2023" s="12"/>
      <c r="L2023" s="13"/>
      <c r="M2023" s="14"/>
      <c r="N2023" s="15"/>
    </row>
    <row r="2024" spans="1:14" s="17" customFormat="1">
      <c r="A2024" s="12"/>
      <c r="B2024" s="13"/>
      <c r="C2024" s="14"/>
      <c r="D2024" s="15"/>
      <c r="E2024" s="16"/>
      <c r="F2024" s="16"/>
      <c r="G2024" s="25"/>
      <c r="H2024" s="25"/>
      <c r="I2024" s="95"/>
      <c r="J2024" s="12"/>
      <c r="K2024" s="12"/>
      <c r="L2024" s="13"/>
      <c r="M2024" s="14"/>
      <c r="N2024" s="15"/>
    </row>
    <row r="2025" spans="1:14" s="17" customFormat="1">
      <c r="A2025" s="12"/>
      <c r="B2025" s="13"/>
      <c r="C2025" s="14"/>
      <c r="D2025" s="15"/>
      <c r="E2025" s="16"/>
      <c r="F2025" s="16"/>
      <c r="G2025" s="25"/>
      <c r="H2025" s="25"/>
      <c r="I2025" s="95"/>
      <c r="J2025" s="12"/>
      <c r="K2025" s="12"/>
      <c r="L2025" s="13"/>
      <c r="M2025" s="14"/>
      <c r="N2025" s="15"/>
    </row>
    <row r="2026" spans="1:14" s="17" customFormat="1">
      <c r="A2026" s="12"/>
      <c r="B2026" s="13"/>
      <c r="C2026" s="14"/>
      <c r="D2026" s="15"/>
      <c r="E2026" s="16"/>
      <c r="F2026" s="16"/>
      <c r="G2026" s="25"/>
      <c r="H2026" s="25"/>
      <c r="I2026" s="95"/>
      <c r="J2026" s="12"/>
      <c r="K2026" s="12"/>
      <c r="L2026" s="13"/>
      <c r="M2026" s="14"/>
      <c r="N2026" s="15"/>
    </row>
    <row r="2027" spans="1:14" s="17" customFormat="1">
      <c r="A2027" s="12"/>
      <c r="B2027" s="13"/>
      <c r="C2027" s="14"/>
      <c r="D2027" s="15"/>
      <c r="E2027" s="16"/>
      <c r="F2027" s="16"/>
      <c r="G2027" s="25"/>
      <c r="H2027" s="25"/>
      <c r="I2027" s="95"/>
      <c r="J2027" s="12"/>
      <c r="K2027" s="12"/>
      <c r="L2027" s="13"/>
      <c r="M2027" s="14"/>
      <c r="N2027" s="15"/>
    </row>
    <row r="2028" spans="1:14" s="17" customFormat="1">
      <c r="A2028" s="12"/>
      <c r="B2028" s="13"/>
      <c r="C2028" s="14"/>
      <c r="D2028" s="15"/>
      <c r="E2028" s="16"/>
      <c r="F2028" s="16"/>
      <c r="G2028" s="25"/>
      <c r="H2028" s="25"/>
      <c r="I2028" s="95"/>
      <c r="J2028" s="12"/>
      <c r="K2028" s="12"/>
      <c r="L2028" s="13"/>
      <c r="M2028" s="14"/>
      <c r="N2028" s="15"/>
    </row>
    <row r="2029" spans="1:14" s="17" customFormat="1">
      <c r="A2029" s="12"/>
      <c r="B2029" s="13"/>
      <c r="C2029" s="14"/>
      <c r="D2029" s="15"/>
      <c r="E2029" s="16"/>
      <c r="F2029" s="16"/>
      <c r="G2029" s="25"/>
      <c r="H2029" s="25"/>
      <c r="I2029" s="95"/>
      <c r="J2029" s="12"/>
      <c r="K2029" s="12"/>
      <c r="L2029" s="13"/>
      <c r="M2029" s="14"/>
      <c r="N2029" s="15"/>
    </row>
    <row r="2030" spans="1:14" s="17" customFormat="1">
      <c r="A2030" s="12"/>
      <c r="B2030" s="13"/>
      <c r="C2030" s="14"/>
      <c r="D2030" s="15"/>
      <c r="E2030" s="16"/>
      <c r="F2030" s="16"/>
      <c r="G2030" s="25"/>
      <c r="H2030" s="25"/>
      <c r="I2030" s="95"/>
      <c r="J2030" s="12"/>
      <c r="K2030" s="12"/>
      <c r="L2030" s="13"/>
      <c r="M2030" s="14"/>
      <c r="N2030" s="15"/>
    </row>
    <row r="2031" spans="1:14" s="17" customFormat="1">
      <c r="A2031" s="12"/>
      <c r="B2031" s="13"/>
      <c r="C2031" s="14"/>
      <c r="D2031" s="15"/>
      <c r="E2031" s="16"/>
      <c r="F2031" s="16"/>
      <c r="G2031" s="25"/>
      <c r="H2031" s="25"/>
      <c r="I2031" s="95"/>
      <c r="J2031" s="12"/>
      <c r="K2031" s="12"/>
      <c r="L2031" s="13"/>
      <c r="M2031" s="14"/>
      <c r="N2031" s="15"/>
    </row>
    <row r="2032" spans="1:14" s="17" customFormat="1">
      <c r="A2032" s="12"/>
      <c r="B2032" s="13"/>
      <c r="C2032" s="14"/>
      <c r="D2032" s="15"/>
      <c r="E2032" s="16"/>
      <c r="F2032" s="16"/>
      <c r="G2032" s="25"/>
      <c r="H2032" s="25"/>
      <c r="I2032" s="95"/>
      <c r="J2032" s="12"/>
      <c r="K2032" s="12"/>
      <c r="L2032" s="13"/>
      <c r="M2032" s="14"/>
      <c r="N2032" s="15"/>
    </row>
    <row r="2033" spans="1:14" s="17" customFormat="1">
      <c r="A2033" s="12"/>
      <c r="B2033" s="13"/>
      <c r="C2033" s="14"/>
      <c r="D2033" s="15"/>
      <c r="E2033" s="16"/>
      <c r="F2033" s="16"/>
      <c r="G2033" s="25"/>
      <c r="H2033" s="25"/>
      <c r="I2033" s="95"/>
      <c r="J2033" s="12"/>
      <c r="K2033" s="12"/>
      <c r="L2033" s="13"/>
      <c r="M2033" s="14"/>
      <c r="N2033" s="15"/>
    </row>
    <row r="2034" spans="1:14" s="17" customFormat="1">
      <c r="A2034" s="12"/>
      <c r="B2034" s="13"/>
      <c r="C2034" s="14"/>
      <c r="D2034" s="15"/>
      <c r="E2034" s="16"/>
      <c r="F2034" s="16"/>
      <c r="G2034" s="25"/>
      <c r="H2034" s="25"/>
      <c r="I2034" s="95"/>
      <c r="J2034" s="12"/>
      <c r="K2034" s="12"/>
      <c r="L2034" s="13"/>
      <c r="M2034" s="14"/>
      <c r="N2034" s="15"/>
    </row>
    <row r="2035" spans="1:14" s="17" customFormat="1">
      <c r="A2035" s="12"/>
      <c r="B2035" s="13"/>
      <c r="C2035" s="14"/>
      <c r="D2035" s="15"/>
      <c r="E2035" s="16"/>
      <c r="F2035" s="16"/>
      <c r="G2035" s="25"/>
      <c r="H2035" s="25"/>
      <c r="I2035" s="95"/>
      <c r="J2035" s="12"/>
      <c r="K2035" s="12"/>
      <c r="L2035" s="13"/>
      <c r="M2035" s="14"/>
      <c r="N2035" s="15"/>
    </row>
    <row r="2036" spans="1:14" s="17" customFormat="1">
      <c r="A2036" s="12"/>
      <c r="B2036" s="13"/>
      <c r="C2036" s="14"/>
      <c r="D2036" s="15"/>
      <c r="E2036" s="16"/>
      <c r="F2036" s="16"/>
      <c r="G2036" s="25"/>
      <c r="H2036" s="25"/>
      <c r="I2036" s="95"/>
      <c r="J2036" s="12"/>
      <c r="K2036" s="12"/>
      <c r="L2036" s="13"/>
      <c r="M2036" s="14"/>
      <c r="N2036" s="15"/>
    </row>
    <row r="2037" spans="1:14" s="17" customFormat="1">
      <c r="A2037" s="12"/>
      <c r="B2037" s="13"/>
      <c r="C2037" s="14"/>
      <c r="D2037" s="15"/>
      <c r="E2037" s="16"/>
      <c r="F2037" s="16"/>
      <c r="G2037" s="25"/>
      <c r="H2037" s="25"/>
      <c r="I2037" s="95"/>
      <c r="J2037" s="12"/>
      <c r="K2037" s="12"/>
      <c r="L2037" s="13"/>
      <c r="M2037" s="14"/>
      <c r="N2037" s="15"/>
    </row>
    <row r="2038" spans="1:14" s="17" customFormat="1">
      <c r="A2038" s="12"/>
      <c r="B2038" s="13"/>
      <c r="C2038" s="14"/>
      <c r="D2038" s="15"/>
      <c r="E2038" s="16"/>
      <c r="F2038" s="16"/>
      <c r="G2038" s="25"/>
      <c r="H2038" s="25"/>
      <c r="I2038" s="95"/>
      <c r="J2038" s="12"/>
      <c r="K2038" s="12"/>
      <c r="L2038" s="13"/>
      <c r="M2038" s="14"/>
      <c r="N2038" s="15"/>
    </row>
    <row r="2039" spans="1:14" s="17" customFormat="1">
      <c r="A2039" s="12"/>
      <c r="B2039" s="13"/>
      <c r="C2039" s="14"/>
      <c r="D2039" s="15"/>
      <c r="E2039" s="16"/>
      <c r="F2039" s="16"/>
      <c r="G2039" s="25"/>
      <c r="H2039" s="25"/>
      <c r="I2039" s="95"/>
      <c r="J2039" s="12"/>
      <c r="K2039" s="12"/>
      <c r="L2039" s="13"/>
      <c r="M2039" s="14"/>
      <c r="N2039" s="15"/>
    </row>
    <row r="2040" spans="1:14" s="17" customFormat="1">
      <c r="A2040" s="12"/>
      <c r="B2040" s="13"/>
      <c r="C2040" s="14"/>
      <c r="D2040" s="15"/>
      <c r="E2040" s="16"/>
      <c r="F2040" s="16"/>
      <c r="G2040" s="25"/>
      <c r="H2040" s="25"/>
      <c r="I2040" s="95"/>
      <c r="J2040" s="12"/>
      <c r="K2040" s="12"/>
      <c r="L2040" s="13"/>
      <c r="M2040" s="14"/>
      <c r="N2040" s="15"/>
    </row>
    <row r="2041" spans="1:14" s="17" customFormat="1">
      <c r="A2041" s="12"/>
      <c r="B2041" s="13"/>
      <c r="C2041" s="14"/>
      <c r="D2041" s="15"/>
      <c r="E2041" s="16"/>
      <c r="F2041" s="16"/>
      <c r="G2041" s="25"/>
      <c r="H2041" s="25"/>
      <c r="I2041" s="95"/>
      <c r="J2041" s="12"/>
      <c r="K2041" s="12"/>
      <c r="L2041" s="13"/>
      <c r="M2041" s="14"/>
      <c r="N2041" s="15"/>
    </row>
    <row r="2042" spans="1:14" s="17" customFormat="1">
      <c r="A2042" s="12"/>
      <c r="B2042" s="13"/>
      <c r="C2042" s="14"/>
      <c r="D2042" s="15"/>
      <c r="E2042" s="16"/>
      <c r="F2042" s="16"/>
      <c r="G2042" s="25"/>
      <c r="H2042" s="25"/>
      <c r="I2042" s="95"/>
      <c r="J2042" s="12"/>
      <c r="K2042" s="12"/>
      <c r="L2042" s="13"/>
      <c r="M2042" s="14"/>
      <c r="N2042" s="15"/>
    </row>
    <row r="2043" spans="1:14" s="17" customFormat="1">
      <c r="A2043" s="12"/>
      <c r="B2043" s="13"/>
      <c r="C2043" s="14"/>
      <c r="D2043" s="15"/>
      <c r="E2043" s="16"/>
      <c r="F2043" s="16"/>
      <c r="G2043" s="25"/>
      <c r="H2043" s="25"/>
      <c r="I2043" s="95"/>
      <c r="J2043" s="12"/>
      <c r="K2043" s="12"/>
      <c r="L2043" s="13"/>
      <c r="M2043" s="14"/>
      <c r="N2043" s="15"/>
    </row>
    <row r="2044" spans="1:14" s="17" customFormat="1">
      <c r="A2044" s="12"/>
      <c r="B2044" s="13"/>
      <c r="C2044" s="14"/>
      <c r="D2044" s="15"/>
      <c r="E2044" s="16"/>
      <c r="F2044" s="16"/>
      <c r="G2044" s="25"/>
      <c r="H2044" s="25"/>
      <c r="I2044" s="95"/>
      <c r="J2044" s="12"/>
      <c r="K2044" s="12"/>
      <c r="L2044" s="13"/>
      <c r="M2044" s="14"/>
      <c r="N2044" s="15"/>
    </row>
    <row r="2045" spans="1:14" s="17" customFormat="1">
      <c r="A2045" s="12"/>
      <c r="B2045" s="13"/>
      <c r="C2045" s="14"/>
      <c r="D2045" s="15"/>
      <c r="E2045" s="16"/>
      <c r="F2045" s="16"/>
      <c r="G2045" s="25"/>
      <c r="H2045" s="25"/>
      <c r="I2045" s="95"/>
      <c r="J2045" s="12"/>
      <c r="K2045" s="12"/>
      <c r="L2045" s="13"/>
      <c r="M2045" s="14"/>
      <c r="N2045" s="15"/>
    </row>
    <row r="2046" spans="1:14" s="17" customFormat="1">
      <c r="A2046" s="12"/>
      <c r="B2046" s="13"/>
      <c r="C2046" s="14"/>
      <c r="D2046" s="15"/>
      <c r="E2046" s="16"/>
      <c r="F2046" s="16"/>
      <c r="G2046" s="25"/>
      <c r="H2046" s="25"/>
      <c r="I2046" s="95"/>
      <c r="J2046" s="12"/>
      <c r="K2046" s="12"/>
      <c r="L2046" s="13"/>
      <c r="M2046" s="14"/>
      <c r="N2046" s="15"/>
    </row>
    <row r="2047" spans="1:14" s="17" customFormat="1">
      <c r="A2047" s="12"/>
      <c r="B2047" s="13"/>
      <c r="C2047" s="14"/>
      <c r="D2047" s="15"/>
      <c r="E2047" s="16"/>
      <c r="F2047" s="16"/>
      <c r="G2047" s="25"/>
      <c r="H2047" s="25"/>
      <c r="I2047" s="95"/>
      <c r="J2047" s="12"/>
      <c r="K2047" s="12"/>
      <c r="L2047" s="13"/>
      <c r="M2047" s="14"/>
      <c r="N2047" s="15"/>
    </row>
    <row r="2048" spans="1:14" s="17" customFormat="1">
      <c r="A2048" s="12"/>
      <c r="B2048" s="13"/>
      <c r="C2048" s="14"/>
      <c r="D2048" s="15"/>
      <c r="E2048" s="16"/>
      <c r="F2048" s="16"/>
      <c r="G2048" s="25"/>
      <c r="H2048" s="25"/>
      <c r="I2048" s="95"/>
      <c r="J2048" s="12"/>
      <c r="K2048" s="12"/>
      <c r="L2048" s="13"/>
      <c r="M2048" s="14"/>
      <c r="N2048" s="15"/>
    </row>
    <row r="2049" spans="1:14" s="17" customFormat="1">
      <c r="A2049" s="12"/>
      <c r="B2049" s="13"/>
      <c r="C2049" s="14"/>
      <c r="D2049" s="15"/>
      <c r="E2049" s="16"/>
      <c r="F2049" s="16"/>
      <c r="G2049" s="25"/>
      <c r="H2049" s="25"/>
      <c r="I2049" s="95"/>
      <c r="J2049" s="12"/>
      <c r="K2049" s="12"/>
      <c r="L2049" s="13"/>
      <c r="M2049" s="14"/>
      <c r="N2049" s="15"/>
    </row>
    <row r="2050" spans="1:14" s="17" customFormat="1">
      <c r="A2050" s="12"/>
      <c r="B2050" s="13"/>
      <c r="C2050" s="14"/>
      <c r="D2050" s="15"/>
      <c r="E2050" s="16"/>
      <c r="F2050" s="16"/>
      <c r="G2050" s="25"/>
      <c r="H2050" s="25"/>
      <c r="I2050" s="95"/>
      <c r="J2050" s="12"/>
      <c r="K2050" s="12"/>
      <c r="L2050" s="13"/>
      <c r="M2050" s="14"/>
      <c r="N2050" s="15"/>
    </row>
    <row r="2051" spans="1:14" s="17" customFormat="1">
      <c r="A2051" s="12"/>
      <c r="B2051" s="13"/>
      <c r="C2051" s="14"/>
      <c r="D2051" s="15"/>
      <c r="E2051" s="16"/>
      <c r="F2051" s="16"/>
      <c r="G2051" s="25"/>
      <c r="H2051" s="25"/>
      <c r="I2051" s="95"/>
      <c r="J2051" s="12"/>
      <c r="K2051" s="12"/>
      <c r="L2051" s="13"/>
      <c r="M2051" s="14"/>
      <c r="N2051" s="15"/>
    </row>
    <row r="2052" spans="1:14" s="17" customFormat="1">
      <c r="A2052" s="12"/>
      <c r="B2052" s="13"/>
      <c r="C2052" s="14"/>
      <c r="D2052" s="15"/>
      <c r="E2052" s="16"/>
      <c r="F2052" s="16"/>
      <c r="G2052" s="25"/>
      <c r="H2052" s="25"/>
      <c r="I2052" s="95"/>
      <c r="J2052" s="12"/>
      <c r="K2052" s="12"/>
      <c r="L2052" s="13"/>
      <c r="M2052" s="14"/>
      <c r="N2052" s="15"/>
    </row>
    <row r="2053" spans="1:14" s="17" customFormat="1">
      <c r="A2053" s="12"/>
      <c r="B2053" s="13"/>
      <c r="C2053" s="14"/>
      <c r="D2053" s="15"/>
      <c r="E2053" s="16"/>
      <c r="F2053" s="16"/>
      <c r="G2053" s="25"/>
      <c r="H2053" s="25"/>
      <c r="I2053" s="95"/>
      <c r="J2053" s="12"/>
      <c r="K2053" s="12"/>
      <c r="L2053" s="13"/>
      <c r="M2053" s="14"/>
      <c r="N2053" s="15"/>
    </row>
    <row r="2054" spans="1:14" s="17" customFormat="1">
      <c r="A2054" s="12"/>
      <c r="B2054" s="13"/>
      <c r="C2054" s="14"/>
      <c r="D2054" s="15"/>
      <c r="E2054" s="16"/>
      <c r="F2054" s="16"/>
      <c r="G2054" s="25"/>
      <c r="H2054" s="25"/>
      <c r="I2054" s="95"/>
      <c r="J2054" s="12"/>
      <c r="K2054" s="12"/>
      <c r="L2054" s="13"/>
      <c r="M2054" s="14"/>
      <c r="N2054" s="15"/>
    </row>
    <row r="2055" spans="1:14" s="17" customFormat="1">
      <c r="A2055" s="12"/>
      <c r="B2055" s="13"/>
      <c r="C2055" s="14"/>
      <c r="D2055" s="15"/>
      <c r="E2055" s="16"/>
      <c r="F2055" s="16"/>
      <c r="G2055" s="25"/>
      <c r="H2055" s="25"/>
      <c r="I2055" s="95"/>
      <c r="J2055" s="12"/>
      <c r="K2055" s="12"/>
      <c r="L2055" s="13"/>
      <c r="M2055" s="14"/>
      <c r="N2055" s="15"/>
    </row>
    <row r="2056" spans="1:14" s="17" customFormat="1">
      <c r="A2056" s="12"/>
      <c r="B2056" s="13"/>
      <c r="C2056" s="14"/>
      <c r="D2056" s="15"/>
      <c r="E2056" s="16"/>
      <c r="F2056" s="16"/>
      <c r="G2056" s="34"/>
      <c r="H2056" s="34"/>
      <c r="I2056" s="95"/>
      <c r="J2056" s="12"/>
      <c r="K2056" s="12"/>
      <c r="L2056" s="13"/>
      <c r="M2056" s="14"/>
      <c r="N2056" s="15"/>
    </row>
    <row r="2057" spans="1:14" s="17" customFormat="1">
      <c r="A2057" s="12"/>
      <c r="B2057" s="13"/>
      <c r="C2057" s="14"/>
      <c r="D2057" s="15"/>
      <c r="E2057" s="16"/>
      <c r="F2057" s="16"/>
      <c r="G2057" s="34"/>
      <c r="H2057" s="34"/>
      <c r="I2057" s="95"/>
      <c r="J2057" s="12"/>
      <c r="K2057" s="12"/>
      <c r="L2057" s="13"/>
      <c r="M2057" s="14"/>
      <c r="N2057" s="15"/>
    </row>
    <row r="2058" spans="1:14" s="17" customFormat="1">
      <c r="A2058" s="12"/>
      <c r="B2058" s="13"/>
      <c r="C2058" s="14"/>
      <c r="D2058" s="15"/>
      <c r="E2058" s="16"/>
      <c r="F2058" s="16"/>
      <c r="G2058" s="34"/>
      <c r="H2058" s="34"/>
      <c r="I2058" s="95"/>
      <c r="J2058" s="12"/>
      <c r="K2058" s="12"/>
      <c r="L2058" s="13"/>
      <c r="M2058" s="14"/>
      <c r="N2058" s="15"/>
    </row>
    <row r="2059" spans="1:14" s="17" customFormat="1">
      <c r="A2059" s="12"/>
      <c r="B2059" s="13"/>
      <c r="C2059" s="14"/>
      <c r="D2059" s="15"/>
      <c r="E2059" s="16"/>
      <c r="F2059" s="16"/>
      <c r="G2059" s="34"/>
      <c r="H2059" s="34"/>
      <c r="I2059" s="95"/>
      <c r="J2059" s="12"/>
      <c r="K2059" s="12"/>
      <c r="L2059" s="13"/>
      <c r="M2059" s="14"/>
      <c r="N2059" s="15"/>
    </row>
    <row r="2060" spans="1:14" s="17" customFormat="1">
      <c r="A2060" s="12"/>
      <c r="B2060" s="13"/>
      <c r="C2060" s="14"/>
      <c r="D2060" s="15"/>
      <c r="E2060" s="16"/>
      <c r="F2060" s="16"/>
      <c r="G2060" s="34"/>
      <c r="H2060" s="34"/>
      <c r="I2060" s="95"/>
      <c r="J2060" s="12"/>
      <c r="K2060" s="12"/>
      <c r="L2060" s="13"/>
      <c r="M2060" s="14"/>
      <c r="N2060" s="15"/>
    </row>
    <row r="2061" spans="1:14" s="17" customFormat="1">
      <c r="A2061" s="12"/>
      <c r="B2061" s="13"/>
      <c r="C2061" s="14"/>
      <c r="D2061" s="15"/>
      <c r="E2061" s="16"/>
      <c r="F2061" s="16"/>
      <c r="G2061" s="34"/>
      <c r="H2061" s="34"/>
      <c r="I2061" s="95"/>
      <c r="J2061" s="12"/>
      <c r="K2061" s="12"/>
      <c r="L2061" s="13"/>
      <c r="M2061" s="14"/>
      <c r="N2061" s="15"/>
    </row>
    <row r="2062" spans="1:14" s="17" customFormat="1">
      <c r="A2062" s="12"/>
      <c r="B2062" s="13"/>
      <c r="C2062" s="14"/>
      <c r="D2062" s="15"/>
      <c r="E2062" s="16"/>
      <c r="F2062" s="16"/>
      <c r="G2062" s="34"/>
      <c r="H2062" s="34"/>
      <c r="I2062" s="95"/>
      <c r="J2062" s="12"/>
      <c r="K2062" s="12"/>
      <c r="L2062" s="13"/>
      <c r="M2062" s="14"/>
      <c r="N2062" s="15"/>
    </row>
    <row r="2063" spans="1:14" s="17" customFormat="1">
      <c r="A2063" s="12"/>
      <c r="B2063" s="13"/>
      <c r="C2063" s="14"/>
      <c r="D2063" s="15"/>
      <c r="E2063" s="16"/>
      <c r="F2063" s="16"/>
      <c r="I2063" s="18"/>
      <c r="J2063" s="12"/>
      <c r="K2063" s="12"/>
      <c r="L2063" s="13"/>
      <c r="M2063" s="14"/>
      <c r="N2063" s="15"/>
    </row>
    <row r="2064" spans="1:14" s="17" customFormat="1">
      <c r="A2064" s="12"/>
      <c r="B2064" s="13"/>
      <c r="C2064" s="14"/>
      <c r="D2064" s="15"/>
      <c r="E2064" s="16"/>
      <c r="F2064" s="16"/>
      <c r="I2064" s="18"/>
      <c r="J2064" s="12"/>
      <c r="K2064" s="12"/>
      <c r="L2064" s="13"/>
      <c r="M2064" s="14"/>
      <c r="N2064" s="15"/>
    </row>
    <row r="2065" spans="1:14" s="17" customFormat="1">
      <c r="A2065" s="12"/>
      <c r="B2065" s="13"/>
      <c r="C2065" s="14"/>
      <c r="D2065" s="15"/>
      <c r="E2065" s="16"/>
      <c r="F2065" s="16"/>
      <c r="G2065" s="25"/>
      <c r="H2065" s="25"/>
      <c r="I2065" s="95"/>
      <c r="J2065" s="12"/>
      <c r="K2065" s="12"/>
      <c r="L2065" s="13"/>
      <c r="M2065" s="14"/>
      <c r="N2065" s="15"/>
    </row>
    <row r="2066" spans="1:14" s="17" customFormat="1">
      <c r="A2066" s="12"/>
      <c r="B2066" s="13"/>
      <c r="C2066" s="14"/>
      <c r="D2066" s="15"/>
      <c r="E2066" s="16"/>
      <c r="F2066" s="16"/>
      <c r="G2066" s="25"/>
      <c r="H2066" s="25"/>
      <c r="I2066" s="95"/>
      <c r="J2066" s="12"/>
      <c r="K2066" s="12"/>
      <c r="L2066" s="13"/>
      <c r="M2066" s="14"/>
      <c r="N2066" s="15"/>
    </row>
    <row r="2067" spans="1:14" s="17" customFormat="1">
      <c r="A2067" s="12"/>
      <c r="B2067" s="13"/>
      <c r="C2067" s="14"/>
      <c r="D2067" s="15"/>
      <c r="E2067" s="16"/>
      <c r="F2067" s="16"/>
      <c r="I2067" s="18"/>
      <c r="J2067" s="12"/>
      <c r="K2067" s="12"/>
      <c r="L2067" s="13"/>
      <c r="M2067" s="14"/>
      <c r="N2067" s="15"/>
    </row>
    <row r="2068" spans="1:14" s="17" customFormat="1">
      <c r="A2068" s="12"/>
      <c r="B2068" s="13"/>
      <c r="C2068" s="14"/>
      <c r="D2068" s="15"/>
      <c r="E2068" s="16"/>
      <c r="F2068" s="16"/>
      <c r="I2068" s="18"/>
      <c r="J2068" s="12"/>
      <c r="K2068" s="12"/>
      <c r="L2068" s="13"/>
      <c r="M2068" s="14"/>
      <c r="N2068" s="15"/>
    </row>
    <row r="2069" spans="1:14" s="17" customFormat="1">
      <c r="A2069" s="12"/>
      <c r="B2069" s="13"/>
      <c r="C2069" s="14"/>
      <c r="D2069" s="15"/>
      <c r="E2069" s="16"/>
      <c r="F2069" s="16"/>
      <c r="G2069" s="25"/>
      <c r="H2069" s="25"/>
      <c r="I2069" s="95"/>
      <c r="J2069" s="12"/>
      <c r="K2069" s="12"/>
      <c r="L2069" s="13"/>
      <c r="M2069" s="14"/>
      <c r="N2069" s="15"/>
    </row>
    <row r="2070" spans="1:14" s="17" customFormat="1">
      <c r="A2070" s="12"/>
      <c r="B2070" s="13"/>
      <c r="C2070" s="14"/>
      <c r="D2070" s="15"/>
      <c r="E2070" s="16"/>
      <c r="F2070" s="16"/>
      <c r="G2070" s="25"/>
      <c r="H2070" s="25"/>
      <c r="I2070" s="95"/>
      <c r="J2070" s="12"/>
      <c r="K2070" s="12"/>
      <c r="L2070" s="13"/>
      <c r="M2070" s="14"/>
      <c r="N2070" s="15"/>
    </row>
    <row r="2071" spans="1:14" s="17" customFormat="1">
      <c r="A2071" s="12"/>
      <c r="B2071" s="13"/>
      <c r="C2071" s="14"/>
      <c r="D2071" s="15"/>
      <c r="E2071" s="16"/>
      <c r="F2071" s="16"/>
      <c r="I2071" s="18"/>
      <c r="J2071" s="12"/>
      <c r="K2071" s="12"/>
      <c r="L2071" s="13"/>
      <c r="M2071" s="14"/>
      <c r="N2071" s="15"/>
    </row>
    <row r="2072" spans="1:14" s="17" customFormat="1">
      <c r="A2072" s="12"/>
      <c r="B2072" s="13"/>
      <c r="C2072" s="14"/>
      <c r="D2072" s="15"/>
      <c r="E2072" s="16"/>
      <c r="F2072" s="16"/>
      <c r="I2072" s="18"/>
      <c r="J2072" s="12"/>
      <c r="K2072" s="12"/>
      <c r="L2072" s="13"/>
      <c r="M2072" s="14"/>
      <c r="N2072" s="15"/>
    </row>
    <row r="2073" spans="1:14" s="17" customFormat="1">
      <c r="A2073" s="12"/>
      <c r="B2073" s="13"/>
      <c r="C2073" s="14"/>
      <c r="D2073" s="15"/>
      <c r="E2073" s="16"/>
      <c r="F2073" s="16"/>
      <c r="G2073" s="25"/>
      <c r="H2073" s="25"/>
      <c r="I2073" s="95"/>
      <c r="J2073" s="12"/>
      <c r="K2073" s="12"/>
      <c r="L2073" s="13"/>
      <c r="M2073" s="14"/>
      <c r="N2073" s="15"/>
    </row>
    <row r="2074" spans="1:14" s="17" customFormat="1">
      <c r="A2074" s="12"/>
      <c r="B2074" s="13"/>
      <c r="C2074" s="14"/>
      <c r="D2074" s="15"/>
      <c r="E2074" s="16"/>
      <c r="F2074" s="16"/>
      <c r="G2074" s="34"/>
      <c r="H2074" s="34"/>
      <c r="I2074" s="95"/>
      <c r="J2074" s="12"/>
      <c r="K2074" s="12"/>
      <c r="L2074" s="13"/>
      <c r="M2074" s="14"/>
      <c r="N2074" s="15"/>
    </row>
    <row r="2075" spans="1:14" s="17" customFormat="1">
      <c r="A2075" s="12"/>
      <c r="B2075" s="13"/>
      <c r="C2075" s="14"/>
      <c r="D2075" s="15"/>
      <c r="E2075" s="16"/>
      <c r="F2075" s="16"/>
      <c r="G2075" s="25"/>
      <c r="H2075" s="25"/>
      <c r="I2075" s="95"/>
      <c r="J2075" s="12"/>
      <c r="K2075" s="12"/>
      <c r="L2075" s="13"/>
      <c r="M2075" s="14"/>
      <c r="N2075" s="15"/>
    </row>
    <row r="2076" spans="1:14" s="17" customFormat="1">
      <c r="A2076" s="12"/>
      <c r="B2076" s="13"/>
      <c r="C2076" s="14"/>
      <c r="D2076" s="15"/>
      <c r="E2076" s="16"/>
      <c r="F2076" s="16"/>
      <c r="G2076" s="34"/>
      <c r="H2076" s="34"/>
      <c r="I2076" s="95"/>
      <c r="J2076" s="12"/>
      <c r="K2076" s="12"/>
      <c r="L2076" s="13"/>
      <c r="M2076" s="14"/>
      <c r="N2076" s="15"/>
    </row>
    <row r="2077" spans="1:14" s="17" customFormat="1">
      <c r="A2077" s="12"/>
      <c r="B2077" s="13"/>
      <c r="C2077" s="14"/>
      <c r="D2077" s="15"/>
      <c r="E2077" s="16"/>
      <c r="F2077" s="16"/>
      <c r="G2077" s="34"/>
      <c r="H2077" s="34"/>
      <c r="I2077" s="95"/>
      <c r="J2077" s="12"/>
      <c r="K2077" s="12"/>
      <c r="L2077" s="13"/>
      <c r="M2077" s="14"/>
      <c r="N2077" s="15"/>
    </row>
    <row r="2078" spans="1:14" s="17" customFormat="1">
      <c r="A2078" s="12"/>
      <c r="B2078" s="13"/>
      <c r="C2078" s="14"/>
      <c r="D2078" s="15"/>
      <c r="E2078" s="16"/>
      <c r="F2078" s="16"/>
      <c r="G2078" s="25"/>
      <c r="H2078" s="25"/>
      <c r="I2078" s="95"/>
      <c r="J2078" s="12"/>
      <c r="K2078" s="12"/>
      <c r="L2078" s="13"/>
      <c r="M2078" s="14"/>
      <c r="N2078" s="15"/>
    </row>
    <row r="2079" spans="1:14" s="17" customFormat="1">
      <c r="A2079" s="12"/>
      <c r="B2079" s="13"/>
      <c r="C2079" s="14"/>
      <c r="D2079" s="15"/>
      <c r="E2079" s="16"/>
      <c r="F2079" s="16"/>
      <c r="G2079" s="25"/>
      <c r="H2079" s="25"/>
      <c r="I2079" s="95"/>
      <c r="J2079" s="12"/>
      <c r="K2079" s="12"/>
      <c r="L2079" s="13"/>
      <c r="M2079" s="14"/>
      <c r="N2079" s="15"/>
    </row>
    <row r="2080" spans="1:14" s="17" customFormat="1">
      <c r="A2080" s="12"/>
      <c r="B2080" s="13"/>
      <c r="C2080" s="14"/>
      <c r="D2080" s="15"/>
      <c r="E2080" s="16"/>
      <c r="F2080" s="16"/>
      <c r="I2080" s="18"/>
      <c r="J2080" s="12"/>
      <c r="K2080" s="12"/>
      <c r="L2080" s="13"/>
      <c r="M2080" s="14"/>
      <c r="N2080" s="15"/>
    </row>
    <row r="2081" spans="1:14" s="17" customFormat="1">
      <c r="A2081" s="12"/>
      <c r="B2081" s="13"/>
      <c r="C2081" s="14"/>
      <c r="D2081" s="15"/>
      <c r="E2081" s="16"/>
      <c r="F2081" s="16"/>
      <c r="G2081" s="25"/>
      <c r="H2081" s="25"/>
      <c r="I2081" s="95"/>
      <c r="J2081" s="12"/>
      <c r="K2081" s="12"/>
      <c r="L2081" s="13"/>
      <c r="M2081" s="14"/>
      <c r="N2081" s="15"/>
    </row>
    <row r="2082" spans="1:14" s="17" customFormat="1">
      <c r="A2082" s="12"/>
      <c r="B2082" s="13"/>
      <c r="C2082" s="14"/>
      <c r="D2082" s="15"/>
      <c r="E2082" s="16"/>
      <c r="F2082" s="16"/>
      <c r="G2082" s="25"/>
      <c r="H2082" s="25"/>
      <c r="I2082" s="95"/>
      <c r="J2082" s="12"/>
      <c r="K2082" s="12"/>
      <c r="L2082" s="13"/>
      <c r="M2082" s="14"/>
      <c r="N2082" s="15"/>
    </row>
    <row r="2083" spans="1:14" s="17" customFormat="1">
      <c r="A2083" s="12"/>
      <c r="B2083" s="13"/>
      <c r="C2083" s="14"/>
      <c r="D2083" s="15"/>
      <c r="E2083" s="16"/>
      <c r="F2083" s="16"/>
      <c r="I2083" s="18"/>
      <c r="J2083" s="12"/>
      <c r="K2083" s="12"/>
      <c r="L2083" s="13"/>
      <c r="M2083" s="14"/>
      <c r="N2083" s="15"/>
    </row>
    <row r="2084" spans="1:14" s="17" customFormat="1">
      <c r="A2084" s="12"/>
      <c r="B2084" s="13"/>
      <c r="C2084" s="14"/>
      <c r="D2084" s="15"/>
      <c r="E2084" s="16"/>
      <c r="F2084" s="16"/>
      <c r="I2084" s="18"/>
      <c r="J2084" s="12"/>
      <c r="K2084" s="12"/>
      <c r="L2084" s="13"/>
      <c r="M2084" s="14"/>
      <c r="N2084" s="15"/>
    </row>
    <row r="2085" spans="1:14" s="17" customFormat="1">
      <c r="A2085" s="12"/>
      <c r="B2085" s="13"/>
      <c r="C2085" s="14"/>
      <c r="D2085" s="15"/>
      <c r="E2085" s="16"/>
      <c r="F2085" s="16"/>
      <c r="I2085" s="18"/>
      <c r="J2085" s="12"/>
      <c r="K2085" s="12"/>
      <c r="L2085" s="13"/>
      <c r="M2085" s="14"/>
      <c r="N2085" s="15"/>
    </row>
    <row r="2086" spans="1:14" s="17" customFormat="1">
      <c r="A2086" s="12"/>
      <c r="B2086" s="13"/>
      <c r="C2086" s="14"/>
      <c r="D2086" s="15"/>
      <c r="E2086" s="16"/>
      <c r="F2086" s="16"/>
      <c r="I2086" s="18"/>
      <c r="J2086" s="12"/>
      <c r="K2086" s="12"/>
      <c r="L2086" s="13"/>
      <c r="M2086" s="14"/>
      <c r="N2086" s="15"/>
    </row>
    <row r="2087" spans="1:14" s="17" customFormat="1">
      <c r="A2087" s="12"/>
      <c r="B2087" s="13"/>
      <c r="C2087" s="14"/>
      <c r="D2087" s="15"/>
      <c r="E2087" s="16"/>
      <c r="F2087" s="16"/>
      <c r="I2087" s="18"/>
      <c r="J2087" s="12"/>
      <c r="K2087" s="12"/>
      <c r="L2087" s="13"/>
      <c r="M2087" s="14"/>
      <c r="N2087" s="15"/>
    </row>
    <row r="2088" spans="1:14" s="17" customFormat="1">
      <c r="A2088" s="12"/>
      <c r="B2088" s="13"/>
      <c r="C2088" s="14"/>
      <c r="D2088" s="15"/>
      <c r="E2088" s="16"/>
      <c r="F2088" s="16"/>
      <c r="I2088" s="18"/>
      <c r="J2088" s="12"/>
      <c r="K2088" s="12"/>
      <c r="L2088" s="13"/>
      <c r="M2088" s="14"/>
      <c r="N2088" s="15"/>
    </row>
    <row r="2089" spans="1:14" s="17" customFormat="1">
      <c r="A2089" s="12"/>
      <c r="B2089" s="13"/>
      <c r="C2089" s="14"/>
      <c r="D2089" s="15"/>
      <c r="E2089" s="16"/>
      <c r="F2089" s="16"/>
      <c r="I2089" s="18"/>
      <c r="J2089" s="12"/>
      <c r="K2089" s="12"/>
      <c r="L2089" s="13"/>
      <c r="M2089" s="14"/>
      <c r="N2089" s="15"/>
    </row>
    <row r="2090" spans="1:14" s="17" customFormat="1">
      <c r="A2090" s="12"/>
      <c r="B2090" s="13"/>
      <c r="C2090" s="14"/>
      <c r="D2090" s="15"/>
      <c r="E2090" s="16"/>
      <c r="F2090" s="16"/>
      <c r="I2090" s="18"/>
      <c r="J2090" s="12"/>
      <c r="K2090" s="12"/>
      <c r="L2090" s="13"/>
      <c r="M2090" s="14"/>
      <c r="N2090" s="15"/>
    </row>
    <row r="2091" spans="1:14">
      <c r="G2091" s="17"/>
      <c r="H2091" s="17"/>
      <c r="I2091" s="18"/>
    </row>
    <row r="2092" spans="1:14">
      <c r="G2092" s="17"/>
      <c r="H2092" s="17"/>
      <c r="I2092" s="18"/>
    </row>
    <row r="2093" spans="1:14" s="34" customFormat="1">
      <c r="A2093" s="12"/>
      <c r="B2093" s="13"/>
      <c r="C2093" s="14"/>
      <c r="D2093" s="15"/>
      <c r="E2093" s="16"/>
      <c r="F2093" s="16"/>
      <c r="G2093" s="17"/>
      <c r="H2093" s="17"/>
      <c r="I2093" s="18"/>
      <c r="J2093" s="12"/>
      <c r="K2093" s="12"/>
      <c r="L2093" s="13"/>
      <c r="M2093" s="14"/>
      <c r="N2093" s="15"/>
    </row>
    <row r="2094" spans="1:14" s="34" customFormat="1">
      <c r="A2094" s="12"/>
      <c r="B2094" s="13"/>
      <c r="C2094" s="14"/>
      <c r="D2094" s="15"/>
      <c r="E2094" s="16"/>
      <c r="F2094" s="16"/>
      <c r="G2094" s="17"/>
      <c r="H2094" s="17"/>
      <c r="I2094" s="18"/>
      <c r="J2094" s="12"/>
      <c r="K2094" s="12"/>
      <c r="L2094" s="13"/>
      <c r="M2094" s="14"/>
      <c r="N2094" s="15"/>
    </row>
    <row r="2095" spans="1:14">
      <c r="G2095" s="17"/>
      <c r="H2095" s="17"/>
      <c r="I2095" s="18"/>
    </row>
    <row r="2096" spans="1:14">
      <c r="G2096" s="17"/>
      <c r="H2096" s="17"/>
      <c r="I2096" s="18"/>
    </row>
    <row r="2097" spans="7:9">
      <c r="G2097" s="17"/>
      <c r="H2097" s="17"/>
      <c r="I2097" s="18"/>
    </row>
    <row r="2098" spans="7:9">
      <c r="G2098" s="17"/>
      <c r="H2098" s="17"/>
      <c r="I2098" s="18"/>
    </row>
    <row r="2099" spans="7:9">
      <c r="G2099" s="17"/>
      <c r="H2099" s="17"/>
      <c r="I2099" s="18"/>
    </row>
    <row r="2100" spans="7:9">
      <c r="G2100" s="17"/>
      <c r="H2100" s="17"/>
      <c r="I2100" s="18"/>
    </row>
    <row r="2101" spans="7:9">
      <c r="G2101" s="17"/>
      <c r="H2101" s="17"/>
      <c r="I2101" s="18"/>
    </row>
    <row r="2102" spans="7:9">
      <c r="G2102" s="17"/>
      <c r="H2102" s="17"/>
      <c r="I2102" s="18"/>
    </row>
    <row r="2103" spans="7:9">
      <c r="G2103" s="17"/>
      <c r="H2103" s="17"/>
      <c r="I2103" s="18"/>
    </row>
    <row r="2104" spans="7:9">
      <c r="G2104" s="17"/>
      <c r="H2104" s="17"/>
      <c r="I2104" s="18"/>
    </row>
    <row r="2105" spans="7:9">
      <c r="G2105" s="17"/>
      <c r="H2105" s="17"/>
      <c r="I2105" s="18"/>
    </row>
    <row r="2106" spans="7:9">
      <c r="G2106" s="17"/>
      <c r="H2106" s="17"/>
      <c r="I2106" s="18"/>
    </row>
    <row r="2107" spans="7:9">
      <c r="G2107" s="17"/>
      <c r="H2107" s="17"/>
      <c r="I2107" s="18"/>
    </row>
    <row r="2108" spans="7:9">
      <c r="G2108" s="17"/>
      <c r="H2108" s="17"/>
      <c r="I2108" s="18"/>
    </row>
    <row r="2109" spans="7:9">
      <c r="G2109" s="17"/>
      <c r="H2109" s="17"/>
      <c r="I2109" s="18"/>
    </row>
    <row r="2110" spans="7:9">
      <c r="G2110" s="17"/>
      <c r="H2110" s="17"/>
      <c r="I2110" s="18"/>
    </row>
    <row r="2111" spans="7:9">
      <c r="G2111" s="17"/>
      <c r="H2111" s="17"/>
      <c r="I2111" s="18"/>
    </row>
    <row r="2112" spans="7:9">
      <c r="G2112" s="17"/>
      <c r="H2112" s="17"/>
      <c r="I2112" s="18"/>
    </row>
    <row r="2113" spans="1:14">
      <c r="G2113" s="17"/>
      <c r="H2113" s="17"/>
      <c r="I2113" s="18"/>
    </row>
    <row r="2114" spans="1:14">
      <c r="G2114" s="17"/>
      <c r="H2114" s="17"/>
      <c r="I2114" s="18"/>
    </row>
    <row r="2115" spans="1:14" s="17" customFormat="1">
      <c r="A2115" s="12"/>
      <c r="B2115" s="13"/>
      <c r="C2115" s="14"/>
      <c r="D2115" s="15"/>
      <c r="E2115" s="16"/>
      <c r="F2115" s="16"/>
      <c r="I2115" s="18"/>
      <c r="J2115" s="12"/>
      <c r="K2115" s="12"/>
      <c r="L2115" s="13"/>
      <c r="M2115" s="14"/>
      <c r="N2115" s="15"/>
    </row>
    <row r="2116" spans="1:14">
      <c r="G2116" s="17"/>
      <c r="H2116" s="17"/>
      <c r="I2116" s="18"/>
    </row>
    <row r="2117" spans="1:14" s="17" customFormat="1">
      <c r="A2117" s="12"/>
      <c r="B2117" s="13"/>
      <c r="C2117" s="14"/>
      <c r="D2117" s="15"/>
      <c r="E2117" s="16"/>
      <c r="F2117" s="16"/>
      <c r="I2117" s="18"/>
      <c r="J2117" s="12"/>
      <c r="K2117" s="12"/>
      <c r="L2117" s="13"/>
      <c r="M2117" s="14"/>
      <c r="N2117" s="15"/>
    </row>
    <row r="2118" spans="1:14" s="17" customFormat="1">
      <c r="A2118" s="12"/>
      <c r="B2118" s="13"/>
      <c r="C2118" s="14"/>
      <c r="D2118" s="15"/>
      <c r="E2118" s="16"/>
      <c r="F2118" s="16"/>
      <c r="I2118" s="18"/>
      <c r="J2118" s="12"/>
      <c r="K2118" s="12"/>
      <c r="L2118" s="13"/>
      <c r="M2118" s="14"/>
      <c r="N2118" s="15"/>
    </row>
    <row r="2119" spans="1:14" s="17" customFormat="1">
      <c r="A2119" s="12"/>
      <c r="B2119" s="13"/>
      <c r="C2119" s="14"/>
      <c r="D2119" s="15"/>
      <c r="E2119" s="16"/>
      <c r="F2119" s="16"/>
      <c r="I2119" s="18"/>
      <c r="J2119" s="12"/>
      <c r="K2119" s="12"/>
      <c r="L2119" s="13"/>
      <c r="M2119" s="14"/>
      <c r="N2119" s="15"/>
    </row>
    <row r="2120" spans="1:14" s="17" customFormat="1">
      <c r="A2120" s="12"/>
      <c r="B2120" s="13"/>
      <c r="C2120" s="14"/>
      <c r="D2120" s="15"/>
      <c r="E2120" s="16"/>
      <c r="F2120" s="16"/>
      <c r="I2120" s="18"/>
      <c r="J2120" s="12"/>
      <c r="K2120" s="12"/>
      <c r="L2120" s="13"/>
      <c r="M2120" s="14"/>
      <c r="N2120" s="15"/>
    </row>
    <row r="2121" spans="1:14">
      <c r="G2121" s="17"/>
      <c r="H2121" s="17"/>
      <c r="I2121" s="18"/>
    </row>
    <row r="2122" spans="1:14">
      <c r="G2122" s="17"/>
      <c r="H2122" s="17"/>
      <c r="I2122" s="18"/>
    </row>
    <row r="2123" spans="1:14">
      <c r="G2123" s="17"/>
      <c r="H2123" s="17"/>
      <c r="I2123" s="18"/>
    </row>
    <row r="2124" spans="1:14">
      <c r="G2124" s="17"/>
      <c r="H2124" s="17"/>
      <c r="I2124" s="18"/>
    </row>
    <row r="2125" spans="1:14">
      <c r="G2125" s="17"/>
      <c r="H2125" s="17"/>
      <c r="I2125" s="18"/>
    </row>
    <row r="2126" spans="1:14">
      <c r="G2126" s="17"/>
      <c r="H2126" s="17"/>
      <c r="I2126" s="18"/>
    </row>
    <row r="2127" spans="1:14">
      <c r="G2127" s="17"/>
      <c r="H2127" s="17"/>
      <c r="I2127" s="18"/>
    </row>
    <row r="2128" spans="1:14">
      <c r="G2128" s="17"/>
      <c r="H2128" s="17"/>
      <c r="I2128" s="18"/>
    </row>
    <row r="2129" spans="1:14">
      <c r="G2129" s="17"/>
      <c r="H2129" s="17"/>
      <c r="I2129" s="18"/>
    </row>
    <row r="2130" spans="1:14">
      <c r="G2130" s="17"/>
      <c r="H2130" s="17"/>
      <c r="I2130" s="18"/>
    </row>
    <row r="2131" spans="1:14">
      <c r="G2131" s="17"/>
      <c r="H2131" s="17"/>
      <c r="I2131" s="18"/>
    </row>
    <row r="2132" spans="1:14">
      <c r="G2132" s="17"/>
      <c r="H2132" s="17"/>
      <c r="I2132" s="18"/>
    </row>
    <row r="2133" spans="1:14">
      <c r="G2133" s="17"/>
      <c r="H2133" s="17"/>
      <c r="I2133" s="18"/>
    </row>
    <row r="2134" spans="1:14">
      <c r="G2134" s="17"/>
      <c r="H2134" s="17"/>
      <c r="I2134" s="18"/>
    </row>
    <row r="2135" spans="1:14">
      <c r="G2135" s="17"/>
      <c r="H2135" s="17"/>
      <c r="I2135" s="18"/>
    </row>
    <row r="2136" spans="1:14">
      <c r="G2136" s="17"/>
      <c r="H2136" s="17"/>
      <c r="I2136" s="18"/>
    </row>
    <row r="2137" spans="1:14">
      <c r="G2137" s="17"/>
      <c r="H2137" s="17"/>
      <c r="I2137" s="18"/>
    </row>
    <row r="2138" spans="1:14">
      <c r="G2138" s="17"/>
      <c r="H2138" s="17"/>
      <c r="I2138" s="18"/>
    </row>
    <row r="2139" spans="1:14">
      <c r="G2139" s="17"/>
      <c r="H2139" s="17"/>
      <c r="I2139" s="18"/>
    </row>
    <row r="2140" spans="1:14">
      <c r="G2140" s="17"/>
      <c r="H2140" s="17"/>
      <c r="I2140" s="18"/>
    </row>
    <row r="2141" spans="1:14">
      <c r="G2141" s="17"/>
      <c r="H2141" s="17"/>
      <c r="I2141" s="18"/>
    </row>
    <row r="2142" spans="1:14">
      <c r="G2142" s="17"/>
      <c r="H2142" s="17"/>
      <c r="I2142" s="18"/>
    </row>
    <row r="2143" spans="1:14" s="34" customFormat="1">
      <c r="A2143" s="12"/>
      <c r="B2143" s="13"/>
      <c r="C2143" s="14"/>
      <c r="D2143" s="15"/>
      <c r="E2143" s="16"/>
      <c r="F2143" s="16"/>
      <c r="G2143" s="17"/>
      <c r="H2143" s="17"/>
      <c r="I2143" s="18"/>
      <c r="J2143" s="12"/>
      <c r="K2143" s="12"/>
      <c r="L2143" s="13"/>
      <c r="M2143" s="14"/>
      <c r="N2143" s="15"/>
    </row>
    <row r="2144" spans="1:14" s="34" customFormat="1">
      <c r="A2144" s="12"/>
      <c r="B2144" s="13"/>
      <c r="C2144" s="14"/>
      <c r="D2144" s="15"/>
      <c r="E2144" s="16"/>
      <c r="F2144" s="16"/>
      <c r="G2144" s="17"/>
      <c r="H2144" s="17"/>
      <c r="I2144" s="18"/>
      <c r="J2144" s="12"/>
      <c r="K2144" s="12"/>
      <c r="L2144" s="13"/>
      <c r="M2144" s="14"/>
      <c r="N2144" s="15"/>
    </row>
    <row r="2145" spans="7:9">
      <c r="G2145" s="17"/>
      <c r="H2145" s="17"/>
      <c r="I2145" s="18"/>
    </row>
    <row r="2146" spans="7:9">
      <c r="G2146" s="17"/>
      <c r="H2146" s="17"/>
      <c r="I2146" s="18"/>
    </row>
    <row r="2147" spans="7:9">
      <c r="G2147" s="17"/>
      <c r="H2147" s="17"/>
      <c r="I2147" s="18"/>
    </row>
    <row r="2148" spans="7:9">
      <c r="G2148" s="17"/>
      <c r="H2148" s="17"/>
      <c r="I2148" s="18"/>
    </row>
    <row r="2149" spans="7:9">
      <c r="G2149" s="17"/>
      <c r="H2149" s="17"/>
      <c r="I2149" s="18"/>
    </row>
    <row r="2150" spans="7:9">
      <c r="G2150" s="17"/>
      <c r="H2150" s="17"/>
      <c r="I2150" s="18"/>
    </row>
    <row r="2151" spans="7:9">
      <c r="G2151" s="17"/>
      <c r="H2151" s="17"/>
      <c r="I2151" s="18"/>
    </row>
    <row r="2152" spans="7:9">
      <c r="G2152" s="17"/>
      <c r="H2152" s="17"/>
      <c r="I2152" s="18"/>
    </row>
    <row r="2153" spans="7:9">
      <c r="G2153" s="17"/>
      <c r="H2153" s="17"/>
      <c r="I2153" s="18"/>
    </row>
    <row r="2154" spans="7:9">
      <c r="G2154" s="17"/>
      <c r="H2154" s="17"/>
      <c r="I2154" s="18"/>
    </row>
    <row r="2155" spans="7:9">
      <c r="G2155" s="17"/>
      <c r="H2155" s="17"/>
      <c r="I2155" s="18"/>
    </row>
    <row r="2156" spans="7:9">
      <c r="G2156" s="17"/>
      <c r="H2156" s="17"/>
      <c r="I2156" s="18"/>
    </row>
    <row r="2157" spans="7:9">
      <c r="G2157" s="17"/>
      <c r="H2157" s="17"/>
      <c r="I2157" s="18"/>
    </row>
    <row r="2158" spans="7:9">
      <c r="G2158" s="17"/>
      <c r="H2158" s="17"/>
      <c r="I2158" s="18"/>
    </row>
    <row r="2159" spans="7:9">
      <c r="G2159" s="17"/>
      <c r="H2159" s="17"/>
      <c r="I2159" s="18"/>
    </row>
    <row r="2160" spans="7:9">
      <c r="G2160" s="17"/>
      <c r="H2160" s="17"/>
      <c r="I2160" s="18"/>
    </row>
    <row r="2161" spans="7:9">
      <c r="G2161" s="17"/>
      <c r="H2161" s="17"/>
      <c r="I2161" s="18"/>
    </row>
    <row r="2162" spans="7:9">
      <c r="G2162" s="17"/>
      <c r="H2162" s="17"/>
      <c r="I2162" s="18"/>
    </row>
    <row r="2163" spans="7:9">
      <c r="G2163" s="17"/>
      <c r="H2163" s="17"/>
      <c r="I2163" s="18"/>
    </row>
    <row r="2164" spans="7:9">
      <c r="G2164" s="17"/>
      <c r="H2164" s="17"/>
      <c r="I2164" s="18"/>
    </row>
    <row r="2165" spans="7:9">
      <c r="G2165" s="17"/>
      <c r="H2165" s="17"/>
      <c r="I2165" s="18"/>
    </row>
    <row r="2166" spans="7:9">
      <c r="G2166" s="17"/>
      <c r="H2166" s="17"/>
      <c r="I2166" s="18"/>
    </row>
    <row r="2167" spans="7:9">
      <c r="G2167" s="17"/>
      <c r="H2167" s="17"/>
      <c r="I2167" s="18"/>
    </row>
    <row r="2168" spans="7:9">
      <c r="G2168" s="17"/>
      <c r="H2168" s="17"/>
      <c r="I2168" s="18"/>
    </row>
    <row r="2169" spans="7:9">
      <c r="G2169" s="17"/>
      <c r="H2169" s="17"/>
      <c r="I2169" s="18"/>
    </row>
    <row r="2170" spans="7:9">
      <c r="G2170" s="17"/>
      <c r="H2170" s="17"/>
      <c r="I2170" s="18"/>
    </row>
    <row r="2171" spans="7:9">
      <c r="G2171" s="17"/>
      <c r="H2171" s="17"/>
      <c r="I2171" s="18"/>
    </row>
    <row r="2172" spans="7:9">
      <c r="G2172" s="17"/>
      <c r="H2172" s="17"/>
      <c r="I2172" s="18"/>
    </row>
    <row r="2173" spans="7:9">
      <c r="G2173" s="17"/>
      <c r="H2173" s="17"/>
      <c r="I2173" s="18"/>
    </row>
    <row r="2174" spans="7:9">
      <c r="G2174" s="17"/>
      <c r="H2174" s="17"/>
      <c r="I2174" s="18"/>
    </row>
    <row r="2175" spans="7:9">
      <c r="G2175" s="17"/>
      <c r="H2175" s="17"/>
      <c r="I2175" s="18"/>
    </row>
    <row r="2176" spans="7:9">
      <c r="G2176" s="17"/>
      <c r="H2176" s="17"/>
      <c r="I2176" s="18"/>
    </row>
    <row r="2177" spans="1:14">
      <c r="G2177" s="17"/>
      <c r="H2177" s="17"/>
      <c r="I2177" s="18"/>
    </row>
    <row r="2178" spans="1:14" s="34" customFormat="1">
      <c r="A2178" s="12"/>
      <c r="B2178" s="13"/>
      <c r="C2178" s="14"/>
      <c r="D2178" s="15"/>
      <c r="E2178" s="16"/>
      <c r="F2178" s="16"/>
      <c r="G2178" s="25"/>
      <c r="H2178" s="25"/>
      <c r="I2178" s="95"/>
      <c r="J2178" s="12"/>
      <c r="K2178" s="12"/>
      <c r="L2178" s="13"/>
      <c r="M2178" s="14"/>
      <c r="N2178" s="15"/>
    </row>
    <row r="2179" spans="1:14" s="34" customFormat="1">
      <c r="A2179" s="12"/>
      <c r="B2179" s="13"/>
      <c r="C2179" s="14"/>
      <c r="D2179" s="15"/>
      <c r="E2179" s="16"/>
      <c r="F2179" s="16"/>
      <c r="G2179" s="17"/>
      <c r="H2179" s="17"/>
      <c r="I2179" s="18"/>
      <c r="J2179" s="12"/>
      <c r="K2179" s="12"/>
      <c r="L2179" s="13"/>
      <c r="M2179" s="14"/>
      <c r="N2179" s="15"/>
    </row>
    <row r="2180" spans="1:14" s="34" customFormat="1">
      <c r="A2180" s="12"/>
      <c r="B2180" s="13"/>
      <c r="C2180" s="14"/>
      <c r="D2180" s="15"/>
      <c r="E2180" s="16"/>
      <c r="F2180" s="16"/>
      <c r="G2180" s="17"/>
      <c r="H2180" s="17"/>
      <c r="I2180" s="18"/>
      <c r="J2180" s="12"/>
      <c r="K2180" s="12"/>
      <c r="L2180" s="13"/>
      <c r="M2180" s="14"/>
      <c r="N2180" s="15"/>
    </row>
    <row r="2181" spans="1:14" s="34" customFormat="1">
      <c r="A2181" s="12"/>
      <c r="B2181" s="13"/>
      <c r="C2181" s="14"/>
      <c r="D2181" s="15"/>
      <c r="E2181" s="16"/>
      <c r="F2181" s="16"/>
      <c r="G2181" s="25"/>
      <c r="H2181" s="25"/>
      <c r="I2181" s="95"/>
      <c r="J2181" s="12"/>
      <c r="K2181" s="12"/>
      <c r="L2181" s="13"/>
      <c r="M2181" s="14"/>
      <c r="N2181" s="15"/>
    </row>
    <row r="2182" spans="1:14" s="34" customFormat="1">
      <c r="A2182" s="12"/>
      <c r="B2182" s="13"/>
      <c r="C2182" s="14"/>
      <c r="D2182" s="15"/>
      <c r="E2182" s="16"/>
      <c r="F2182" s="16"/>
      <c r="G2182" s="17"/>
      <c r="H2182" s="17"/>
      <c r="I2182" s="18"/>
      <c r="J2182" s="12"/>
      <c r="K2182" s="12"/>
      <c r="L2182" s="13"/>
      <c r="M2182" s="14"/>
      <c r="N2182" s="15"/>
    </row>
    <row r="2183" spans="1:14" s="34" customFormat="1">
      <c r="A2183" s="12"/>
      <c r="B2183" s="13"/>
      <c r="C2183" s="14"/>
      <c r="D2183" s="15"/>
      <c r="E2183" s="16"/>
      <c r="F2183" s="16"/>
      <c r="G2183" s="17"/>
      <c r="H2183" s="17"/>
      <c r="I2183" s="18"/>
      <c r="J2183" s="12"/>
      <c r="K2183" s="12"/>
      <c r="L2183" s="13"/>
      <c r="M2183" s="14"/>
      <c r="N2183" s="15"/>
    </row>
    <row r="2184" spans="1:14" s="34" customFormat="1">
      <c r="A2184" s="12"/>
      <c r="B2184" s="13"/>
      <c r="C2184" s="14"/>
      <c r="D2184" s="15"/>
      <c r="E2184" s="16"/>
      <c r="F2184" s="16"/>
      <c r="G2184" s="25"/>
      <c r="H2184" s="25"/>
      <c r="I2184" s="95"/>
      <c r="J2184" s="12"/>
      <c r="K2184" s="12"/>
      <c r="L2184" s="13"/>
      <c r="M2184" s="14"/>
      <c r="N2184" s="15"/>
    </row>
    <row r="2185" spans="1:14" s="17" customFormat="1">
      <c r="A2185" s="12"/>
      <c r="B2185" s="13"/>
      <c r="C2185" s="14"/>
      <c r="D2185" s="15"/>
      <c r="E2185" s="16"/>
      <c r="F2185" s="16"/>
      <c r="G2185" s="25"/>
      <c r="H2185" s="25"/>
      <c r="I2185" s="95"/>
      <c r="J2185" s="12"/>
      <c r="K2185" s="12"/>
      <c r="L2185" s="13"/>
      <c r="M2185" s="14"/>
      <c r="N2185" s="15"/>
    </row>
    <row r="2186" spans="1:14" s="17" customFormat="1">
      <c r="A2186" s="12"/>
      <c r="B2186" s="13"/>
      <c r="C2186" s="14"/>
      <c r="D2186" s="15"/>
      <c r="E2186" s="16"/>
      <c r="F2186" s="16"/>
      <c r="I2186" s="18"/>
      <c r="J2186" s="12"/>
      <c r="K2186" s="12"/>
      <c r="L2186" s="13"/>
      <c r="M2186" s="14"/>
      <c r="N2186" s="15"/>
    </row>
    <row r="2189" spans="1:14" s="17" customFormat="1">
      <c r="A2189" s="12"/>
      <c r="B2189" s="13"/>
      <c r="C2189" s="14"/>
      <c r="D2189" s="15"/>
      <c r="E2189" s="16"/>
      <c r="F2189" s="16"/>
      <c r="G2189" s="25"/>
      <c r="H2189" s="25"/>
      <c r="I2189" s="95"/>
      <c r="J2189" s="12"/>
      <c r="K2189" s="12"/>
      <c r="L2189" s="13"/>
      <c r="M2189" s="14"/>
      <c r="N2189" s="15"/>
    </row>
    <row r="2190" spans="1:14" s="17" customFormat="1">
      <c r="A2190" s="12"/>
      <c r="B2190" s="13"/>
      <c r="C2190" s="14"/>
      <c r="D2190" s="15"/>
      <c r="E2190" s="16"/>
      <c r="F2190" s="16"/>
      <c r="G2190" s="25"/>
      <c r="H2190" s="25"/>
      <c r="I2190" s="95"/>
      <c r="J2190" s="12"/>
      <c r="K2190" s="12"/>
      <c r="L2190" s="13"/>
      <c r="M2190" s="14"/>
      <c r="N2190" s="15"/>
    </row>
    <row r="2192" spans="1:14">
      <c r="G2192" s="17"/>
      <c r="H2192" s="17"/>
      <c r="I2192" s="18"/>
    </row>
    <row r="2193" spans="1:14" s="17" customFormat="1">
      <c r="A2193" s="12"/>
      <c r="B2193" s="13"/>
      <c r="C2193" s="14"/>
      <c r="D2193" s="15"/>
      <c r="E2193" s="16"/>
      <c r="F2193" s="16"/>
      <c r="G2193" s="25"/>
      <c r="H2193" s="25"/>
      <c r="I2193" s="95"/>
      <c r="J2193" s="12"/>
      <c r="K2193" s="12"/>
      <c r="L2193" s="13"/>
      <c r="M2193" s="14"/>
      <c r="N2193" s="15"/>
    </row>
    <row r="2194" spans="1:14" s="17" customFormat="1">
      <c r="A2194" s="12"/>
      <c r="B2194" s="13"/>
      <c r="C2194" s="14"/>
      <c r="D2194" s="15"/>
      <c r="E2194" s="16"/>
      <c r="F2194" s="16"/>
      <c r="G2194" s="25"/>
      <c r="H2194" s="25"/>
      <c r="I2194" s="95"/>
      <c r="J2194" s="12"/>
      <c r="K2194" s="12"/>
      <c r="L2194" s="13"/>
      <c r="M2194" s="14"/>
      <c r="N2194" s="15"/>
    </row>
    <row r="2195" spans="1:14">
      <c r="G2195" s="34"/>
      <c r="H2195" s="34"/>
    </row>
    <row r="2196" spans="1:14" s="34" customFormat="1">
      <c r="A2196" s="12"/>
      <c r="B2196" s="13"/>
      <c r="C2196" s="14"/>
      <c r="D2196" s="15"/>
      <c r="E2196" s="16"/>
      <c r="F2196" s="16"/>
      <c r="I2196" s="95"/>
      <c r="J2196" s="12"/>
      <c r="K2196" s="12"/>
      <c r="L2196" s="13"/>
      <c r="M2196" s="14"/>
      <c r="N2196" s="15"/>
    </row>
    <row r="2198" spans="1:14" s="34" customFormat="1">
      <c r="A2198" s="12"/>
      <c r="B2198" s="13"/>
      <c r="C2198" s="14"/>
      <c r="D2198" s="15"/>
      <c r="E2198" s="16"/>
      <c r="F2198" s="16"/>
      <c r="G2198" s="25"/>
      <c r="H2198" s="25"/>
      <c r="I2198" s="95"/>
      <c r="J2198" s="12"/>
      <c r="K2198" s="12"/>
      <c r="L2198" s="13"/>
      <c r="M2198" s="14"/>
      <c r="N2198" s="15"/>
    </row>
    <row r="2199" spans="1:14" s="34" customFormat="1">
      <c r="A2199" s="12"/>
      <c r="B2199" s="13"/>
      <c r="C2199" s="14"/>
      <c r="D2199" s="15"/>
      <c r="E2199" s="16"/>
      <c r="F2199" s="16"/>
      <c r="G2199" s="17"/>
      <c r="H2199" s="17"/>
      <c r="I2199" s="18"/>
      <c r="J2199" s="12"/>
      <c r="K2199" s="12"/>
      <c r="L2199" s="13"/>
      <c r="M2199" s="14"/>
      <c r="N2199" s="15"/>
    </row>
    <row r="2200" spans="1:14">
      <c r="G2200" s="17"/>
      <c r="H2200" s="17"/>
      <c r="I2200" s="18"/>
    </row>
    <row r="2201" spans="1:14">
      <c r="G2201" s="17"/>
      <c r="H2201" s="17"/>
      <c r="I2201" s="18"/>
    </row>
    <row r="2202" spans="1:14" s="17" customFormat="1">
      <c r="A2202" s="12"/>
      <c r="B2202" s="13"/>
      <c r="C2202" s="14"/>
      <c r="D2202" s="15"/>
      <c r="E2202" s="16"/>
      <c r="F2202" s="16"/>
      <c r="I2202" s="18"/>
      <c r="J2202" s="12"/>
      <c r="K2202" s="12"/>
      <c r="L2202" s="13"/>
      <c r="M2202" s="14"/>
      <c r="N2202" s="15"/>
    </row>
    <row r="2203" spans="1:14">
      <c r="G2203" s="17"/>
      <c r="H2203" s="17"/>
      <c r="I2203" s="18"/>
    </row>
    <row r="2204" spans="1:14">
      <c r="G2204" s="17"/>
      <c r="H2204" s="17"/>
      <c r="I2204" s="18"/>
    </row>
    <row r="2205" spans="1:14" s="17" customFormat="1">
      <c r="A2205" s="12"/>
      <c r="B2205" s="13"/>
      <c r="C2205" s="14"/>
      <c r="D2205" s="15"/>
      <c r="E2205" s="16"/>
      <c r="F2205" s="16"/>
      <c r="I2205" s="18"/>
      <c r="J2205" s="12"/>
      <c r="K2205" s="12"/>
      <c r="L2205" s="13"/>
      <c r="M2205" s="14"/>
      <c r="N2205" s="15"/>
    </row>
    <row r="2206" spans="1:14" s="17" customFormat="1">
      <c r="A2206" s="12"/>
      <c r="B2206" s="13"/>
      <c r="C2206" s="14"/>
      <c r="D2206" s="15"/>
      <c r="E2206" s="16"/>
      <c r="F2206" s="16"/>
      <c r="I2206" s="18"/>
      <c r="J2206" s="12"/>
      <c r="K2206" s="12"/>
      <c r="L2206" s="13"/>
      <c r="M2206" s="14"/>
      <c r="N2206" s="15"/>
    </row>
    <row r="2207" spans="1:14" s="17" customFormat="1">
      <c r="A2207" s="12"/>
      <c r="B2207" s="13"/>
      <c r="C2207" s="14"/>
      <c r="D2207" s="15"/>
      <c r="E2207" s="16"/>
      <c r="F2207" s="16"/>
      <c r="G2207" s="25"/>
      <c r="H2207" s="25"/>
      <c r="I2207" s="95"/>
      <c r="J2207" s="12"/>
      <c r="K2207" s="12"/>
      <c r="L2207" s="13"/>
      <c r="M2207" s="14"/>
      <c r="N2207" s="15"/>
    </row>
    <row r="2208" spans="1:14" s="17" customFormat="1">
      <c r="A2208" s="12"/>
      <c r="B2208" s="13"/>
      <c r="C2208" s="14"/>
      <c r="D2208" s="15"/>
      <c r="E2208" s="16"/>
      <c r="F2208" s="16"/>
      <c r="G2208" s="25"/>
      <c r="H2208" s="25"/>
      <c r="I2208" s="95"/>
      <c r="J2208" s="12"/>
      <c r="K2208" s="12"/>
      <c r="L2208" s="13"/>
      <c r="M2208" s="14"/>
      <c r="N2208" s="15"/>
    </row>
    <row r="2209" spans="1:14" s="17" customFormat="1">
      <c r="A2209" s="12"/>
      <c r="B2209" s="13"/>
      <c r="C2209" s="14"/>
      <c r="D2209" s="15"/>
      <c r="E2209" s="16"/>
      <c r="F2209" s="16"/>
      <c r="G2209" s="34"/>
      <c r="H2209" s="34"/>
      <c r="I2209" s="95"/>
      <c r="J2209" s="12"/>
      <c r="K2209" s="12"/>
      <c r="L2209" s="13"/>
      <c r="M2209" s="14"/>
      <c r="N2209" s="15"/>
    </row>
    <row r="2210" spans="1:14" s="17" customFormat="1">
      <c r="A2210" s="12"/>
      <c r="B2210" s="13"/>
      <c r="C2210" s="14"/>
      <c r="D2210" s="15"/>
      <c r="E2210" s="16"/>
      <c r="F2210" s="16"/>
      <c r="G2210" s="34"/>
      <c r="H2210" s="34"/>
      <c r="I2210" s="95"/>
      <c r="J2210" s="12"/>
      <c r="K2210" s="12"/>
      <c r="L2210" s="13"/>
      <c r="M2210" s="14"/>
      <c r="N2210" s="15"/>
    </row>
    <row r="2211" spans="1:14" s="17" customFormat="1">
      <c r="A2211" s="12"/>
      <c r="B2211" s="13"/>
      <c r="C2211" s="14"/>
      <c r="D2211" s="15"/>
      <c r="E2211" s="16"/>
      <c r="F2211" s="16"/>
      <c r="G2211" s="25"/>
      <c r="H2211" s="25"/>
      <c r="I2211" s="95"/>
      <c r="J2211" s="12"/>
      <c r="K2211" s="12"/>
      <c r="L2211" s="13"/>
      <c r="M2211" s="14"/>
      <c r="N2211" s="15"/>
    </row>
    <row r="2212" spans="1:14" s="17" customFormat="1">
      <c r="A2212" s="12"/>
      <c r="B2212" s="13"/>
      <c r="C2212" s="14"/>
      <c r="D2212" s="15"/>
      <c r="E2212" s="16"/>
      <c r="F2212" s="16"/>
      <c r="G2212" s="25"/>
      <c r="H2212" s="25"/>
      <c r="I2212" s="95"/>
      <c r="J2212" s="12"/>
      <c r="K2212" s="12"/>
      <c r="L2212" s="13"/>
      <c r="M2212" s="14"/>
      <c r="N2212" s="15"/>
    </row>
    <row r="2213" spans="1:14" s="17" customFormat="1">
      <c r="A2213" s="12"/>
      <c r="B2213" s="13"/>
      <c r="C2213" s="14"/>
      <c r="D2213" s="15"/>
      <c r="E2213" s="16"/>
      <c r="F2213" s="16"/>
      <c r="I2213" s="18"/>
      <c r="J2213" s="12"/>
      <c r="K2213" s="12"/>
      <c r="L2213" s="13"/>
      <c r="M2213" s="14"/>
      <c r="N2213" s="15"/>
    </row>
    <row r="2214" spans="1:14" s="17" customFormat="1">
      <c r="A2214" s="12"/>
      <c r="B2214" s="13"/>
      <c r="C2214" s="14"/>
      <c r="D2214" s="15"/>
      <c r="E2214" s="16"/>
      <c r="F2214" s="16"/>
      <c r="I2214" s="18"/>
      <c r="J2214" s="12"/>
      <c r="K2214" s="12"/>
      <c r="L2214" s="13"/>
      <c r="M2214" s="14"/>
      <c r="N2214" s="15"/>
    </row>
    <row r="2215" spans="1:14" s="17" customFormat="1">
      <c r="A2215" s="12"/>
      <c r="B2215" s="13"/>
      <c r="C2215" s="14"/>
      <c r="D2215" s="15"/>
      <c r="E2215" s="16"/>
      <c r="F2215" s="16"/>
      <c r="I2215" s="18"/>
      <c r="J2215" s="12"/>
      <c r="K2215" s="12"/>
      <c r="L2215" s="13"/>
      <c r="M2215" s="14"/>
      <c r="N2215" s="15"/>
    </row>
    <row r="2216" spans="1:14" s="17" customFormat="1">
      <c r="A2216" s="12"/>
      <c r="B2216" s="13"/>
      <c r="C2216" s="14"/>
      <c r="D2216" s="15"/>
      <c r="E2216" s="16"/>
      <c r="F2216" s="16"/>
      <c r="I2216" s="18"/>
      <c r="J2216" s="12"/>
      <c r="K2216" s="12"/>
      <c r="L2216" s="13"/>
      <c r="M2216" s="14"/>
      <c r="N2216" s="15"/>
    </row>
    <row r="2217" spans="1:14" s="17" customFormat="1">
      <c r="A2217" s="12"/>
      <c r="B2217" s="13"/>
      <c r="C2217" s="14"/>
      <c r="D2217" s="15"/>
      <c r="E2217" s="16"/>
      <c r="F2217" s="16"/>
      <c r="I2217" s="18"/>
      <c r="J2217" s="12"/>
      <c r="K2217" s="12"/>
      <c r="L2217" s="13"/>
      <c r="M2217" s="14"/>
      <c r="N2217" s="15"/>
    </row>
    <row r="2218" spans="1:14" s="17" customFormat="1">
      <c r="A2218" s="12"/>
      <c r="B2218" s="13"/>
      <c r="C2218" s="14"/>
      <c r="D2218" s="15"/>
      <c r="E2218" s="16"/>
      <c r="F2218" s="16"/>
      <c r="I2218" s="18"/>
      <c r="J2218" s="12"/>
      <c r="K2218" s="12"/>
      <c r="L2218" s="13"/>
      <c r="M2218" s="14"/>
      <c r="N2218" s="15"/>
    </row>
    <row r="2219" spans="1:14" s="17" customFormat="1">
      <c r="A2219" s="12"/>
      <c r="B2219" s="13"/>
      <c r="C2219" s="14"/>
      <c r="D2219" s="15"/>
      <c r="E2219" s="16"/>
      <c r="F2219" s="16"/>
      <c r="I2219" s="18"/>
      <c r="J2219" s="12"/>
      <c r="K2219" s="12"/>
      <c r="L2219" s="13"/>
      <c r="M2219" s="14"/>
      <c r="N2219" s="15"/>
    </row>
    <row r="2220" spans="1:14" s="17" customFormat="1">
      <c r="A2220" s="12"/>
      <c r="B2220" s="13"/>
      <c r="C2220" s="14"/>
      <c r="D2220" s="15"/>
      <c r="E2220" s="16"/>
      <c r="F2220" s="16"/>
      <c r="I2220" s="18"/>
      <c r="J2220" s="12"/>
      <c r="K2220" s="12"/>
      <c r="L2220" s="13"/>
      <c r="M2220" s="14"/>
      <c r="N2220" s="15"/>
    </row>
    <row r="2221" spans="1:14" s="17" customFormat="1">
      <c r="A2221" s="12"/>
      <c r="B2221" s="13"/>
      <c r="C2221" s="14"/>
      <c r="D2221" s="15"/>
      <c r="E2221" s="16"/>
      <c r="F2221" s="16"/>
      <c r="I2221" s="18"/>
      <c r="J2221" s="12"/>
      <c r="K2221" s="12"/>
      <c r="L2221" s="13"/>
      <c r="M2221" s="14"/>
      <c r="N2221" s="15"/>
    </row>
    <row r="2222" spans="1:14" s="17" customFormat="1">
      <c r="A2222" s="12"/>
      <c r="B2222" s="13"/>
      <c r="C2222" s="14"/>
      <c r="D2222" s="15"/>
      <c r="E2222" s="16"/>
      <c r="F2222" s="16"/>
      <c r="I2222" s="18"/>
      <c r="J2222" s="12"/>
      <c r="K2222" s="12"/>
      <c r="L2222" s="13"/>
      <c r="M2222" s="14"/>
      <c r="N2222" s="15"/>
    </row>
    <row r="2223" spans="1:14" s="17" customFormat="1">
      <c r="A2223" s="12"/>
      <c r="B2223" s="13"/>
      <c r="C2223" s="14"/>
      <c r="D2223" s="15"/>
      <c r="E2223" s="16"/>
      <c r="F2223" s="16"/>
      <c r="I2223" s="18"/>
      <c r="J2223" s="12"/>
      <c r="K2223" s="12"/>
      <c r="L2223" s="13"/>
      <c r="M2223" s="14"/>
      <c r="N2223" s="15"/>
    </row>
    <row r="2224" spans="1:14" s="17" customFormat="1">
      <c r="A2224" s="12"/>
      <c r="B2224" s="13"/>
      <c r="C2224" s="14"/>
      <c r="D2224" s="15"/>
      <c r="E2224" s="16"/>
      <c r="F2224" s="16"/>
      <c r="I2224" s="18"/>
      <c r="J2224" s="12"/>
      <c r="K2224" s="12"/>
      <c r="L2224" s="13"/>
      <c r="M2224" s="14"/>
      <c r="N2224" s="15"/>
    </row>
    <row r="2225" spans="1:14" s="17" customFormat="1">
      <c r="A2225" s="12"/>
      <c r="B2225" s="13"/>
      <c r="C2225" s="14"/>
      <c r="D2225" s="15"/>
      <c r="E2225" s="16"/>
      <c r="F2225" s="16"/>
      <c r="I2225" s="18"/>
      <c r="J2225" s="12"/>
      <c r="K2225" s="12"/>
      <c r="L2225" s="13"/>
      <c r="M2225" s="14"/>
      <c r="N2225" s="15"/>
    </row>
    <row r="2226" spans="1:14" s="17" customFormat="1">
      <c r="A2226" s="12"/>
      <c r="B2226" s="13"/>
      <c r="C2226" s="14"/>
      <c r="D2226" s="15"/>
      <c r="E2226" s="16"/>
      <c r="F2226" s="16"/>
      <c r="I2226" s="18"/>
      <c r="J2226" s="12"/>
      <c r="K2226" s="12"/>
      <c r="L2226" s="13"/>
      <c r="M2226" s="14"/>
      <c r="N2226" s="15"/>
    </row>
    <row r="2227" spans="1:14" s="17" customFormat="1">
      <c r="A2227" s="12"/>
      <c r="B2227" s="13"/>
      <c r="C2227" s="14"/>
      <c r="D2227" s="15"/>
      <c r="E2227" s="16"/>
      <c r="F2227" s="16"/>
      <c r="I2227" s="18"/>
      <c r="J2227" s="12"/>
      <c r="K2227" s="12"/>
      <c r="L2227" s="13"/>
      <c r="M2227" s="14"/>
      <c r="N2227" s="15"/>
    </row>
    <row r="2228" spans="1:14" s="17" customFormat="1">
      <c r="A2228" s="12"/>
      <c r="B2228" s="13"/>
      <c r="C2228" s="14"/>
      <c r="D2228" s="15"/>
      <c r="E2228" s="16"/>
      <c r="F2228" s="16"/>
      <c r="I2228" s="18"/>
      <c r="J2228" s="12"/>
      <c r="K2228" s="12"/>
      <c r="L2228" s="13"/>
      <c r="M2228" s="14"/>
      <c r="N2228" s="15"/>
    </row>
    <row r="2229" spans="1:14" s="17" customFormat="1">
      <c r="A2229" s="12"/>
      <c r="B2229" s="13"/>
      <c r="C2229" s="14"/>
      <c r="D2229" s="15"/>
      <c r="E2229" s="16"/>
      <c r="F2229" s="16"/>
      <c r="I2229" s="18"/>
      <c r="J2229" s="12"/>
      <c r="K2229" s="12"/>
      <c r="L2229" s="13"/>
      <c r="M2229" s="14"/>
      <c r="N2229" s="15"/>
    </row>
    <row r="2230" spans="1:14" s="17" customFormat="1">
      <c r="A2230" s="12"/>
      <c r="B2230" s="13"/>
      <c r="C2230" s="14"/>
      <c r="D2230" s="15"/>
      <c r="E2230" s="16"/>
      <c r="F2230" s="16"/>
      <c r="I2230" s="18"/>
      <c r="J2230" s="12"/>
      <c r="K2230" s="12"/>
      <c r="L2230" s="13"/>
      <c r="M2230" s="14"/>
      <c r="N2230" s="15"/>
    </row>
    <row r="2231" spans="1:14" s="17" customFormat="1">
      <c r="A2231" s="12"/>
      <c r="B2231" s="13"/>
      <c r="C2231" s="14"/>
      <c r="D2231" s="15"/>
      <c r="E2231" s="16"/>
      <c r="F2231" s="16"/>
      <c r="I2231" s="18"/>
      <c r="J2231" s="12"/>
      <c r="K2231" s="12"/>
      <c r="L2231" s="13"/>
      <c r="M2231" s="14"/>
      <c r="N2231" s="15"/>
    </row>
    <row r="2232" spans="1:14" s="17" customFormat="1">
      <c r="A2232" s="12"/>
      <c r="B2232" s="13"/>
      <c r="C2232" s="14"/>
      <c r="D2232" s="15"/>
      <c r="E2232" s="16"/>
      <c r="F2232" s="16"/>
      <c r="I2232" s="18"/>
      <c r="J2232" s="12"/>
      <c r="K2232" s="12"/>
      <c r="L2232" s="13"/>
      <c r="M2232" s="14"/>
      <c r="N2232" s="15"/>
    </row>
    <row r="2233" spans="1:14" s="17" customFormat="1">
      <c r="A2233" s="12"/>
      <c r="B2233" s="13"/>
      <c r="C2233" s="14"/>
      <c r="D2233" s="15"/>
      <c r="E2233" s="16"/>
      <c r="F2233" s="16"/>
      <c r="I2233" s="18"/>
      <c r="J2233" s="12"/>
      <c r="K2233" s="12"/>
      <c r="L2233" s="13"/>
      <c r="M2233" s="14"/>
      <c r="N2233" s="15"/>
    </row>
    <row r="2234" spans="1:14" s="17" customFormat="1">
      <c r="A2234" s="12"/>
      <c r="B2234" s="13"/>
      <c r="C2234" s="14"/>
      <c r="D2234" s="15"/>
      <c r="E2234" s="16"/>
      <c r="F2234" s="16"/>
      <c r="I2234" s="18"/>
      <c r="J2234" s="12"/>
      <c r="K2234" s="12"/>
      <c r="L2234" s="13"/>
      <c r="M2234" s="14"/>
      <c r="N2234" s="15"/>
    </row>
    <row r="2235" spans="1:14" s="17" customFormat="1">
      <c r="A2235" s="12"/>
      <c r="B2235" s="13"/>
      <c r="C2235" s="14"/>
      <c r="D2235" s="15"/>
      <c r="E2235" s="16"/>
      <c r="F2235" s="16"/>
      <c r="I2235" s="18"/>
      <c r="J2235" s="12"/>
      <c r="K2235" s="12"/>
      <c r="L2235" s="13"/>
      <c r="M2235" s="14"/>
      <c r="N2235" s="15"/>
    </row>
    <row r="2236" spans="1:14" s="17" customFormat="1">
      <c r="A2236" s="12"/>
      <c r="B2236" s="13"/>
      <c r="C2236" s="14"/>
      <c r="D2236" s="15"/>
      <c r="E2236" s="16"/>
      <c r="F2236" s="16"/>
      <c r="I2236" s="18"/>
      <c r="J2236" s="12"/>
      <c r="K2236" s="12"/>
      <c r="L2236" s="13"/>
      <c r="M2236" s="14"/>
      <c r="N2236" s="15"/>
    </row>
    <row r="2237" spans="1:14" s="17" customFormat="1">
      <c r="A2237" s="12"/>
      <c r="B2237" s="13"/>
      <c r="C2237" s="14"/>
      <c r="D2237" s="15"/>
      <c r="E2237" s="16"/>
      <c r="F2237" s="16"/>
      <c r="G2237" s="25"/>
      <c r="H2237" s="25"/>
      <c r="I2237" s="95"/>
      <c r="J2237" s="12"/>
      <c r="K2237" s="12"/>
      <c r="L2237" s="13"/>
      <c r="M2237" s="14"/>
      <c r="N2237" s="15"/>
    </row>
    <row r="2238" spans="1:14" s="17" customFormat="1">
      <c r="A2238" s="12"/>
      <c r="B2238" s="13"/>
      <c r="C2238" s="14"/>
      <c r="D2238" s="15"/>
      <c r="E2238" s="16"/>
      <c r="F2238" s="16"/>
      <c r="G2238" s="25"/>
      <c r="H2238" s="25"/>
      <c r="I2238" s="95"/>
      <c r="J2238" s="12"/>
      <c r="K2238" s="12"/>
      <c r="L2238" s="13"/>
      <c r="M2238" s="14"/>
      <c r="N2238" s="15"/>
    </row>
    <row r="2239" spans="1:14" s="17" customFormat="1">
      <c r="A2239" s="12"/>
      <c r="B2239" s="13"/>
      <c r="C2239" s="14"/>
      <c r="D2239" s="15"/>
      <c r="E2239" s="16"/>
      <c r="F2239" s="16"/>
      <c r="G2239" s="34"/>
      <c r="H2239" s="34"/>
      <c r="I2239" s="95"/>
      <c r="J2239" s="12"/>
      <c r="K2239" s="12"/>
      <c r="L2239" s="13"/>
      <c r="M2239" s="14"/>
      <c r="N2239" s="15"/>
    </row>
    <row r="2240" spans="1:14" s="17" customFormat="1">
      <c r="A2240" s="12"/>
      <c r="B2240" s="13"/>
      <c r="C2240" s="14"/>
      <c r="D2240" s="15"/>
      <c r="E2240" s="16"/>
      <c r="F2240" s="16"/>
      <c r="G2240" s="34"/>
      <c r="H2240" s="34"/>
      <c r="I2240" s="95"/>
      <c r="J2240" s="12"/>
      <c r="K2240" s="12"/>
      <c r="L2240" s="13"/>
      <c r="M2240" s="14"/>
      <c r="N2240" s="15"/>
    </row>
    <row r="2241" spans="1:14" s="17" customFormat="1">
      <c r="A2241" s="12"/>
      <c r="B2241" s="13"/>
      <c r="C2241" s="14"/>
      <c r="D2241" s="15"/>
      <c r="E2241" s="16"/>
      <c r="F2241" s="16"/>
      <c r="G2241" s="25"/>
      <c r="H2241" s="25"/>
      <c r="I2241" s="95"/>
      <c r="J2241" s="12"/>
      <c r="K2241" s="12"/>
      <c r="L2241" s="13"/>
      <c r="M2241" s="14"/>
      <c r="N2241" s="15"/>
    </row>
    <row r="2242" spans="1:14" s="17" customFormat="1">
      <c r="A2242" s="12"/>
      <c r="B2242" s="13"/>
      <c r="C2242" s="14"/>
      <c r="D2242" s="15"/>
      <c r="E2242" s="16"/>
      <c r="F2242" s="16"/>
      <c r="G2242" s="25"/>
      <c r="H2242" s="25"/>
      <c r="I2242" s="95"/>
      <c r="J2242" s="12"/>
      <c r="K2242" s="12"/>
      <c r="L2242" s="13"/>
      <c r="M2242" s="14"/>
      <c r="N2242" s="15"/>
    </row>
    <row r="2243" spans="1:14" s="17" customFormat="1">
      <c r="A2243" s="12"/>
      <c r="B2243" s="13"/>
      <c r="C2243" s="14"/>
      <c r="D2243" s="15"/>
      <c r="E2243" s="16"/>
      <c r="F2243" s="16"/>
      <c r="G2243" s="25"/>
      <c r="H2243" s="25"/>
      <c r="I2243" s="95"/>
      <c r="J2243" s="12"/>
      <c r="K2243" s="12"/>
      <c r="L2243" s="13"/>
      <c r="M2243" s="14"/>
      <c r="N2243" s="15"/>
    </row>
    <row r="2244" spans="1:14" s="17" customFormat="1">
      <c r="A2244" s="12"/>
      <c r="B2244" s="13"/>
      <c r="C2244" s="14"/>
      <c r="D2244" s="15"/>
      <c r="E2244" s="16"/>
      <c r="F2244" s="16"/>
      <c r="G2244" s="25"/>
      <c r="H2244" s="25"/>
      <c r="I2244" s="95"/>
      <c r="J2244" s="12"/>
      <c r="K2244" s="12"/>
      <c r="L2244" s="13"/>
      <c r="M2244" s="14"/>
      <c r="N2244" s="15"/>
    </row>
    <row r="2245" spans="1:14" s="17" customFormat="1">
      <c r="A2245" s="12"/>
      <c r="B2245" s="13"/>
      <c r="C2245" s="14"/>
      <c r="D2245" s="15"/>
      <c r="E2245" s="16"/>
      <c r="F2245" s="16"/>
      <c r="G2245" s="25"/>
      <c r="H2245" s="25"/>
      <c r="I2245" s="95"/>
      <c r="J2245" s="12"/>
      <c r="K2245" s="12"/>
      <c r="L2245" s="13"/>
      <c r="M2245" s="14"/>
      <c r="N2245" s="15"/>
    </row>
    <row r="2246" spans="1:14" s="17" customFormat="1">
      <c r="A2246" s="12"/>
      <c r="B2246" s="13"/>
      <c r="C2246" s="14"/>
      <c r="D2246" s="15"/>
      <c r="E2246" s="16"/>
      <c r="F2246" s="16"/>
      <c r="G2246" s="25"/>
      <c r="H2246" s="25"/>
      <c r="I2246" s="95"/>
      <c r="J2246" s="12"/>
      <c r="K2246" s="12"/>
      <c r="L2246" s="13"/>
      <c r="M2246" s="14"/>
      <c r="N2246" s="15"/>
    </row>
    <row r="2247" spans="1:14" s="17" customFormat="1">
      <c r="A2247" s="12"/>
      <c r="B2247" s="13"/>
      <c r="C2247" s="14"/>
      <c r="D2247" s="15"/>
      <c r="E2247" s="16"/>
      <c r="F2247" s="16"/>
      <c r="G2247" s="25"/>
      <c r="H2247" s="25"/>
      <c r="I2247" s="95"/>
      <c r="J2247" s="12"/>
      <c r="K2247" s="12"/>
      <c r="L2247" s="13"/>
      <c r="M2247" s="14"/>
      <c r="N2247" s="15"/>
    </row>
    <row r="2248" spans="1:14" s="17" customFormat="1">
      <c r="A2248" s="12"/>
      <c r="B2248" s="13"/>
      <c r="C2248" s="14"/>
      <c r="D2248" s="15"/>
      <c r="E2248" s="16"/>
      <c r="F2248" s="16"/>
      <c r="G2248" s="25"/>
      <c r="H2248" s="25"/>
      <c r="I2248" s="95"/>
      <c r="J2248" s="12"/>
      <c r="K2248" s="12"/>
      <c r="L2248" s="13"/>
      <c r="M2248" s="14"/>
      <c r="N2248" s="15"/>
    </row>
    <row r="2249" spans="1:14" s="17" customFormat="1">
      <c r="A2249" s="12"/>
      <c r="B2249" s="13"/>
      <c r="C2249" s="14"/>
      <c r="D2249" s="15"/>
      <c r="E2249" s="16"/>
      <c r="F2249" s="16"/>
      <c r="G2249" s="25"/>
      <c r="H2249" s="25"/>
      <c r="I2249" s="95"/>
      <c r="J2249" s="12"/>
      <c r="K2249" s="12"/>
      <c r="L2249" s="13"/>
      <c r="M2249" s="14"/>
      <c r="N2249" s="15"/>
    </row>
    <row r="2250" spans="1:14" s="17" customFormat="1">
      <c r="A2250" s="12"/>
      <c r="B2250" s="13"/>
      <c r="C2250" s="14"/>
      <c r="D2250" s="15"/>
      <c r="E2250" s="16"/>
      <c r="F2250" s="16"/>
      <c r="G2250" s="25"/>
      <c r="H2250" s="25"/>
      <c r="I2250" s="95"/>
      <c r="J2250" s="12"/>
      <c r="K2250" s="12"/>
      <c r="L2250" s="13"/>
      <c r="M2250" s="14"/>
      <c r="N2250" s="15"/>
    </row>
    <row r="2251" spans="1:14" s="17" customFormat="1">
      <c r="A2251" s="12"/>
      <c r="B2251" s="13"/>
      <c r="C2251" s="14"/>
      <c r="D2251" s="15"/>
      <c r="E2251" s="16"/>
      <c r="F2251" s="16"/>
      <c r="G2251" s="25"/>
      <c r="H2251" s="25"/>
      <c r="I2251" s="95"/>
      <c r="J2251" s="12"/>
      <c r="K2251" s="12"/>
      <c r="L2251" s="13"/>
      <c r="M2251" s="14"/>
      <c r="N2251" s="15"/>
    </row>
    <row r="2252" spans="1:14" s="17" customFormat="1">
      <c r="A2252" s="12"/>
      <c r="B2252" s="13"/>
      <c r="C2252" s="14"/>
      <c r="D2252" s="15"/>
      <c r="E2252" s="16"/>
      <c r="F2252" s="16"/>
      <c r="G2252" s="25"/>
      <c r="H2252" s="25"/>
      <c r="I2252" s="95"/>
      <c r="J2252" s="12"/>
      <c r="K2252" s="12"/>
      <c r="L2252" s="13"/>
      <c r="M2252" s="14"/>
      <c r="N2252" s="15"/>
    </row>
    <row r="2253" spans="1:14" s="17" customFormat="1">
      <c r="A2253" s="12"/>
      <c r="B2253" s="13"/>
      <c r="C2253" s="14"/>
      <c r="D2253" s="15"/>
      <c r="E2253" s="16"/>
      <c r="F2253" s="16"/>
      <c r="I2253" s="18"/>
      <c r="J2253" s="12"/>
      <c r="K2253" s="12"/>
      <c r="L2253" s="13"/>
      <c r="M2253" s="14"/>
      <c r="N2253" s="15"/>
    </row>
    <row r="2254" spans="1:14" s="17" customFormat="1">
      <c r="A2254" s="12"/>
      <c r="B2254" s="13"/>
      <c r="C2254" s="14"/>
      <c r="D2254" s="15"/>
      <c r="E2254" s="16"/>
      <c r="F2254" s="16"/>
      <c r="I2254" s="18"/>
      <c r="J2254" s="12"/>
      <c r="K2254" s="12"/>
      <c r="L2254" s="13"/>
      <c r="M2254" s="14"/>
      <c r="N2254" s="15"/>
    </row>
    <row r="2255" spans="1:14" s="17" customFormat="1">
      <c r="A2255" s="12"/>
      <c r="B2255" s="13"/>
      <c r="C2255" s="14"/>
      <c r="D2255" s="15"/>
      <c r="E2255" s="16"/>
      <c r="F2255" s="16"/>
      <c r="I2255" s="18"/>
      <c r="J2255" s="12"/>
      <c r="K2255" s="12"/>
      <c r="L2255" s="13"/>
      <c r="M2255" s="14"/>
      <c r="N2255" s="15"/>
    </row>
    <row r="2256" spans="1:14" s="17" customFormat="1">
      <c r="A2256" s="12"/>
      <c r="B2256" s="13"/>
      <c r="C2256" s="14"/>
      <c r="D2256" s="15"/>
      <c r="E2256" s="16"/>
      <c r="F2256" s="16"/>
      <c r="I2256" s="18"/>
      <c r="J2256" s="12"/>
      <c r="K2256" s="12"/>
      <c r="L2256" s="13"/>
      <c r="M2256" s="14"/>
      <c r="N2256" s="15"/>
    </row>
    <row r="2257" spans="1:14" s="17" customFormat="1">
      <c r="A2257" s="12"/>
      <c r="B2257" s="13"/>
      <c r="C2257" s="14"/>
      <c r="D2257" s="15"/>
      <c r="E2257" s="16"/>
      <c r="F2257" s="16"/>
      <c r="I2257" s="18"/>
      <c r="J2257" s="12"/>
      <c r="K2257" s="12"/>
      <c r="L2257" s="13"/>
      <c r="M2257" s="14"/>
      <c r="N2257" s="15"/>
    </row>
    <row r="2258" spans="1:14" s="17" customFormat="1">
      <c r="A2258" s="12"/>
      <c r="B2258" s="13"/>
      <c r="C2258" s="14"/>
      <c r="D2258" s="15"/>
      <c r="E2258" s="16"/>
      <c r="F2258" s="16"/>
      <c r="I2258" s="18"/>
      <c r="J2258" s="12"/>
      <c r="K2258" s="12"/>
      <c r="L2258" s="13"/>
      <c r="M2258" s="14"/>
      <c r="N2258" s="15"/>
    </row>
    <row r="2259" spans="1:14" s="17" customFormat="1">
      <c r="A2259" s="12"/>
      <c r="B2259" s="13"/>
      <c r="C2259" s="14"/>
      <c r="D2259" s="15"/>
      <c r="E2259" s="16"/>
      <c r="F2259" s="16"/>
      <c r="I2259" s="18"/>
      <c r="J2259" s="12"/>
      <c r="K2259" s="12"/>
      <c r="L2259" s="13"/>
      <c r="M2259" s="14"/>
      <c r="N2259" s="15"/>
    </row>
    <row r="2260" spans="1:14" s="17" customFormat="1">
      <c r="A2260" s="12"/>
      <c r="B2260" s="13"/>
      <c r="C2260" s="14"/>
      <c r="D2260" s="15"/>
      <c r="E2260" s="16"/>
      <c r="F2260" s="16"/>
      <c r="I2260" s="18"/>
      <c r="J2260" s="12"/>
      <c r="K2260" s="12"/>
      <c r="L2260" s="13"/>
      <c r="M2260" s="14"/>
      <c r="N2260" s="15"/>
    </row>
    <row r="2261" spans="1:14" s="17" customFormat="1">
      <c r="A2261" s="12"/>
      <c r="B2261" s="13"/>
      <c r="C2261" s="14"/>
      <c r="D2261" s="15"/>
      <c r="E2261" s="16"/>
      <c r="F2261" s="16"/>
      <c r="I2261" s="18"/>
      <c r="J2261" s="12"/>
      <c r="K2261" s="12"/>
      <c r="L2261" s="13"/>
      <c r="M2261" s="14"/>
      <c r="N2261" s="15"/>
    </row>
    <row r="2262" spans="1:14" s="17" customFormat="1">
      <c r="A2262" s="12"/>
      <c r="B2262" s="13"/>
      <c r="C2262" s="14"/>
      <c r="D2262" s="15"/>
      <c r="E2262" s="16"/>
      <c r="F2262" s="16"/>
      <c r="I2262" s="18"/>
      <c r="J2262" s="12"/>
      <c r="K2262" s="12"/>
      <c r="L2262" s="13"/>
      <c r="M2262" s="14"/>
      <c r="N2262" s="15"/>
    </row>
    <row r="2263" spans="1:14" s="17" customFormat="1">
      <c r="A2263" s="12"/>
      <c r="B2263" s="13"/>
      <c r="C2263" s="14"/>
      <c r="D2263" s="15"/>
      <c r="E2263" s="16"/>
      <c r="F2263" s="16"/>
      <c r="I2263" s="18"/>
      <c r="J2263" s="12"/>
      <c r="K2263" s="12"/>
      <c r="L2263" s="13"/>
      <c r="M2263" s="14"/>
      <c r="N2263" s="15"/>
    </row>
    <row r="2264" spans="1:14" s="17" customFormat="1">
      <c r="A2264" s="12"/>
      <c r="B2264" s="13"/>
      <c r="C2264" s="14"/>
      <c r="D2264" s="15"/>
      <c r="E2264" s="16"/>
      <c r="F2264" s="16"/>
      <c r="I2264" s="18"/>
      <c r="J2264" s="12"/>
      <c r="K2264" s="12"/>
      <c r="L2264" s="13"/>
      <c r="M2264" s="14"/>
      <c r="N2264" s="15"/>
    </row>
    <row r="2265" spans="1:14" s="17" customFormat="1">
      <c r="A2265" s="12"/>
      <c r="B2265" s="13"/>
      <c r="C2265" s="14"/>
      <c r="D2265" s="15"/>
      <c r="E2265" s="16"/>
      <c r="F2265" s="16"/>
      <c r="I2265" s="18"/>
      <c r="J2265" s="12"/>
      <c r="K2265" s="12"/>
      <c r="L2265" s="13"/>
      <c r="M2265" s="14"/>
      <c r="N2265" s="15"/>
    </row>
    <row r="2266" spans="1:14" s="17" customFormat="1">
      <c r="A2266" s="12"/>
      <c r="B2266" s="13"/>
      <c r="C2266" s="14"/>
      <c r="D2266" s="15"/>
      <c r="E2266" s="16"/>
      <c r="F2266" s="16"/>
      <c r="I2266" s="18"/>
      <c r="J2266" s="12"/>
      <c r="K2266" s="12"/>
      <c r="L2266" s="13"/>
      <c r="M2266" s="14"/>
      <c r="N2266" s="15"/>
    </row>
    <row r="2267" spans="1:14" s="17" customFormat="1">
      <c r="A2267" s="12"/>
      <c r="B2267" s="13"/>
      <c r="C2267" s="14"/>
      <c r="D2267" s="15"/>
      <c r="E2267" s="16"/>
      <c r="F2267" s="16"/>
      <c r="I2267" s="18"/>
      <c r="J2267" s="12"/>
      <c r="K2267" s="12"/>
      <c r="L2267" s="13"/>
      <c r="M2267" s="14"/>
      <c r="N2267" s="15"/>
    </row>
    <row r="2268" spans="1:14" s="17" customFormat="1">
      <c r="A2268" s="12"/>
      <c r="B2268" s="13"/>
      <c r="C2268" s="14"/>
      <c r="D2268" s="15"/>
      <c r="E2268" s="16"/>
      <c r="F2268" s="16"/>
      <c r="I2268" s="18"/>
      <c r="J2268" s="12"/>
      <c r="K2268" s="12"/>
      <c r="L2268" s="13"/>
      <c r="M2268" s="14"/>
      <c r="N2268" s="15"/>
    </row>
    <row r="2269" spans="1:14" s="17" customFormat="1">
      <c r="A2269" s="12"/>
      <c r="B2269" s="13"/>
      <c r="C2269" s="14"/>
      <c r="D2269" s="15"/>
      <c r="E2269" s="16"/>
      <c r="F2269" s="16"/>
      <c r="I2269" s="18"/>
      <c r="J2269" s="12"/>
      <c r="K2269" s="12"/>
      <c r="L2269" s="13"/>
      <c r="M2269" s="14"/>
      <c r="N2269" s="15"/>
    </row>
    <row r="2270" spans="1:14" s="17" customFormat="1">
      <c r="A2270" s="12"/>
      <c r="B2270" s="13"/>
      <c r="C2270" s="14"/>
      <c r="D2270" s="15"/>
      <c r="E2270" s="16"/>
      <c r="F2270" s="16"/>
      <c r="I2270" s="18"/>
      <c r="J2270" s="12"/>
      <c r="K2270" s="12"/>
      <c r="L2270" s="13"/>
      <c r="M2270" s="14"/>
      <c r="N2270" s="15"/>
    </row>
    <row r="2271" spans="1:14" s="17" customFormat="1">
      <c r="A2271" s="12"/>
      <c r="B2271" s="13"/>
      <c r="C2271" s="14"/>
      <c r="D2271" s="15"/>
      <c r="E2271" s="16"/>
      <c r="F2271" s="16"/>
      <c r="I2271" s="18"/>
      <c r="J2271" s="12"/>
      <c r="K2271" s="12"/>
      <c r="L2271" s="13"/>
      <c r="M2271" s="14"/>
      <c r="N2271" s="15"/>
    </row>
    <row r="2272" spans="1:14" s="17" customFormat="1">
      <c r="A2272" s="12"/>
      <c r="B2272" s="13"/>
      <c r="C2272" s="14"/>
      <c r="D2272" s="15"/>
      <c r="E2272" s="16"/>
      <c r="F2272" s="16"/>
      <c r="I2272" s="18"/>
      <c r="J2272" s="12"/>
      <c r="K2272" s="12"/>
      <c r="L2272" s="13"/>
      <c r="M2272" s="14"/>
      <c r="N2272" s="15"/>
    </row>
    <row r="2273" spans="1:14" s="17" customFormat="1">
      <c r="A2273" s="12"/>
      <c r="B2273" s="13"/>
      <c r="C2273" s="14"/>
      <c r="D2273" s="15"/>
      <c r="E2273" s="16"/>
      <c r="F2273" s="16"/>
      <c r="I2273" s="18"/>
      <c r="J2273" s="12"/>
      <c r="K2273" s="12"/>
      <c r="L2273" s="13"/>
      <c r="M2273" s="14"/>
      <c r="N2273" s="15"/>
    </row>
    <row r="2274" spans="1:14" s="17" customFormat="1">
      <c r="A2274" s="12"/>
      <c r="B2274" s="13"/>
      <c r="C2274" s="14"/>
      <c r="D2274" s="15"/>
      <c r="E2274" s="16"/>
      <c r="F2274" s="16"/>
      <c r="I2274" s="18"/>
      <c r="J2274" s="12"/>
      <c r="K2274" s="12"/>
      <c r="L2274" s="13"/>
      <c r="M2274" s="14"/>
      <c r="N2274" s="15"/>
    </row>
    <row r="2275" spans="1:14" s="17" customFormat="1">
      <c r="A2275" s="12"/>
      <c r="B2275" s="13"/>
      <c r="C2275" s="14"/>
      <c r="D2275" s="15"/>
      <c r="E2275" s="16"/>
      <c r="F2275" s="16"/>
      <c r="I2275" s="18"/>
      <c r="J2275" s="12"/>
      <c r="K2275" s="12"/>
      <c r="L2275" s="13"/>
      <c r="M2275" s="14"/>
      <c r="N2275" s="15"/>
    </row>
    <row r="2276" spans="1:14" s="17" customFormat="1">
      <c r="A2276" s="12"/>
      <c r="B2276" s="13"/>
      <c r="C2276" s="14"/>
      <c r="D2276" s="15"/>
      <c r="E2276" s="16"/>
      <c r="F2276" s="16"/>
      <c r="I2276" s="18"/>
      <c r="J2276" s="12"/>
      <c r="K2276" s="12"/>
      <c r="L2276" s="13"/>
      <c r="M2276" s="14"/>
      <c r="N2276" s="15"/>
    </row>
    <row r="2277" spans="1:14" s="17" customFormat="1">
      <c r="A2277" s="12"/>
      <c r="B2277" s="13"/>
      <c r="C2277" s="14"/>
      <c r="D2277" s="15"/>
      <c r="E2277" s="16"/>
      <c r="F2277" s="16"/>
      <c r="I2277" s="18"/>
      <c r="J2277" s="12"/>
      <c r="K2277" s="12"/>
      <c r="L2277" s="13"/>
      <c r="M2277" s="14"/>
      <c r="N2277" s="15"/>
    </row>
    <row r="2278" spans="1:14" s="17" customFormat="1">
      <c r="A2278" s="12"/>
      <c r="B2278" s="13"/>
      <c r="C2278" s="14"/>
      <c r="D2278" s="15"/>
      <c r="E2278" s="16"/>
      <c r="F2278" s="16"/>
      <c r="I2278" s="18"/>
      <c r="J2278" s="12"/>
      <c r="K2278" s="12"/>
      <c r="L2278" s="13"/>
      <c r="M2278" s="14"/>
      <c r="N2278" s="15"/>
    </row>
    <row r="2279" spans="1:14" s="17" customFormat="1">
      <c r="A2279" s="12"/>
      <c r="B2279" s="13"/>
      <c r="C2279" s="14"/>
      <c r="D2279" s="15"/>
      <c r="E2279" s="16"/>
      <c r="F2279" s="16"/>
      <c r="I2279" s="18"/>
      <c r="J2279" s="12"/>
      <c r="K2279" s="12"/>
      <c r="L2279" s="13"/>
      <c r="M2279" s="14"/>
      <c r="N2279" s="15"/>
    </row>
    <row r="2280" spans="1:14" s="17" customFormat="1">
      <c r="A2280" s="12"/>
      <c r="B2280" s="13"/>
      <c r="C2280" s="14"/>
      <c r="D2280" s="15"/>
      <c r="E2280" s="16"/>
      <c r="F2280" s="16"/>
      <c r="I2280" s="18"/>
      <c r="J2280" s="12"/>
      <c r="K2280" s="12"/>
      <c r="L2280" s="13"/>
      <c r="M2280" s="14"/>
      <c r="N2280" s="15"/>
    </row>
    <row r="2281" spans="1:14" s="17" customFormat="1">
      <c r="A2281" s="12"/>
      <c r="B2281" s="13"/>
      <c r="C2281" s="14"/>
      <c r="D2281" s="15"/>
      <c r="E2281" s="16"/>
      <c r="F2281" s="16"/>
      <c r="I2281" s="18"/>
      <c r="J2281" s="12"/>
      <c r="K2281" s="12"/>
      <c r="L2281" s="13"/>
      <c r="M2281" s="14"/>
      <c r="N2281" s="15"/>
    </row>
    <row r="2282" spans="1:14" s="17" customFormat="1">
      <c r="A2282" s="12"/>
      <c r="B2282" s="13"/>
      <c r="C2282" s="14"/>
      <c r="D2282" s="15"/>
      <c r="E2282" s="16"/>
      <c r="F2282" s="16"/>
      <c r="I2282" s="18"/>
      <c r="J2282" s="12"/>
      <c r="K2282" s="12"/>
      <c r="L2282" s="13"/>
      <c r="M2282" s="14"/>
      <c r="N2282" s="15"/>
    </row>
    <row r="2283" spans="1:14" s="17" customFormat="1">
      <c r="A2283" s="12"/>
      <c r="B2283" s="13"/>
      <c r="C2283" s="14"/>
      <c r="D2283" s="15"/>
      <c r="E2283" s="16"/>
      <c r="F2283" s="16"/>
      <c r="I2283" s="18"/>
      <c r="J2283" s="12"/>
      <c r="K2283" s="12"/>
      <c r="L2283" s="13"/>
      <c r="M2283" s="14"/>
      <c r="N2283" s="15"/>
    </row>
    <row r="2284" spans="1:14" s="17" customFormat="1">
      <c r="A2284" s="12"/>
      <c r="B2284" s="13"/>
      <c r="C2284" s="14"/>
      <c r="D2284" s="15"/>
      <c r="E2284" s="16"/>
      <c r="F2284" s="16"/>
      <c r="I2284" s="18"/>
      <c r="J2284" s="12"/>
      <c r="K2284" s="12"/>
      <c r="L2284" s="13"/>
      <c r="M2284" s="14"/>
      <c r="N2284" s="15"/>
    </row>
    <row r="2285" spans="1:14" s="17" customFormat="1">
      <c r="A2285" s="12"/>
      <c r="B2285" s="13"/>
      <c r="C2285" s="14"/>
      <c r="D2285" s="15"/>
      <c r="E2285" s="16"/>
      <c r="F2285" s="16"/>
      <c r="I2285" s="18"/>
      <c r="J2285" s="12"/>
      <c r="K2285" s="12"/>
      <c r="L2285" s="13"/>
      <c r="M2285" s="14"/>
      <c r="N2285" s="15"/>
    </row>
    <row r="2286" spans="1:14" s="17" customFormat="1">
      <c r="A2286" s="12"/>
      <c r="B2286" s="13"/>
      <c r="C2286" s="14"/>
      <c r="D2286" s="15"/>
      <c r="E2286" s="16"/>
      <c r="F2286" s="16"/>
      <c r="I2286" s="18"/>
      <c r="J2286" s="12"/>
      <c r="K2286" s="12"/>
      <c r="L2286" s="13"/>
      <c r="M2286" s="14"/>
      <c r="N2286" s="15"/>
    </row>
    <row r="2287" spans="1:14" s="17" customFormat="1">
      <c r="A2287" s="12"/>
      <c r="B2287" s="13"/>
      <c r="C2287" s="14"/>
      <c r="D2287" s="15"/>
      <c r="E2287" s="16"/>
      <c r="F2287" s="16"/>
      <c r="I2287" s="18"/>
      <c r="J2287" s="12"/>
      <c r="K2287" s="12"/>
      <c r="L2287" s="13"/>
      <c r="M2287" s="14"/>
      <c r="N2287" s="15"/>
    </row>
    <row r="2288" spans="1:14" s="17" customFormat="1">
      <c r="A2288" s="12"/>
      <c r="B2288" s="13"/>
      <c r="C2288" s="14"/>
      <c r="D2288" s="15"/>
      <c r="E2288" s="16"/>
      <c r="F2288" s="16"/>
      <c r="I2288" s="18"/>
      <c r="J2288" s="12"/>
      <c r="K2288" s="12"/>
      <c r="L2288" s="13"/>
      <c r="M2288" s="14"/>
      <c r="N2288" s="15"/>
    </row>
    <row r="2289" spans="1:14" s="17" customFormat="1">
      <c r="A2289" s="12"/>
      <c r="B2289" s="13"/>
      <c r="C2289" s="14"/>
      <c r="D2289" s="15"/>
      <c r="E2289" s="16"/>
      <c r="F2289" s="16"/>
      <c r="I2289" s="18"/>
      <c r="J2289" s="12"/>
      <c r="K2289" s="12"/>
      <c r="L2289" s="13"/>
      <c r="M2289" s="14"/>
      <c r="N2289" s="15"/>
    </row>
    <row r="2290" spans="1:14" s="17" customFormat="1">
      <c r="A2290" s="12"/>
      <c r="B2290" s="13"/>
      <c r="C2290" s="14"/>
      <c r="D2290" s="15"/>
      <c r="E2290" s="16"/>
      <c r="F2290" s="16"/>
      <c r="I2290" s="18"/>
      <c r="J2290" s="12"/>
      <c r="K2290" s="12"/>
      <c r="L2290" s="13"/>
      <c r="M2290" s="14"/>
      <c r="N2290" s="15"/>
    </row>
    <row r="2291" spans="1:14" s="17" customFormat="1">
      <c r="A2291" s="12"/>
      <c r="B2291" s="13"/>
      <c r="C2291" s="14"/>
      <c r="D2291" s="15"/>
      <c r="E2291" s="16"/>
      <c r="F2291" s="16"/>
      <c r="I2291" s="18"/>
      <c r="J2291" s="12"/>
      <c r="K2291" s="12"/>
      <c r="L2291" s="13"/>
      <c r="M2291" s="14"/>
      <c r="N2291" s="15"/>
    </row>
    <row r="2292" spans="1:14" s="17" customFormat="1">
      <c r="A2292" s="12"/>
      <c r="B2292" s="13"/>
      <c r="C2292" s="14"/>
      <c r="D2292" s="15"/>
      <c r="E2292" s="16"/>
      <c r="F2292" s="16"/>
      <c r="I2292" s="18"/>
      <c r="J2292" s="12"/>
      <c r="K2292" s="12"/>
      <c r="L2292" s="13"/>
      <c r="M2292" s="14"/>
      <c r="N2292" s="15"/>
    </row>
    <row r="2293" spans="1:14" s="17" customFormat="1">
      <c r="A2293" s="12"/>
      <c r="B2293" s="13"/>
      <c r="C2293" s="14"/>
      <c r="D2293" s="15"/>
      <c r="E2293" s="16"/>
      <c r="F2293" s="16"/>
      <c r="I2293" s="18"/>
      <c r="J2293" s="12"/>
      <c r="K2293" s="12"/>
      <c r="L2293" s="13"/>
      <c r="M2293" s="14"/>
      <c r="N2293" s="15"/>
    </row>
    <row r="2294" spans="1:14" s="17" customFormat="1">
      <c r="A2294" s="12"/>
      <c r="B2294" s="13"/>
      <c r="C2294" s="14"/>
      <c r="D2294" s="15"/>
      <c r="E2294" s="16"/>
      <c r="F2294" s="16"/>
      <c r="I2294" s="18"/>
      <c r="J2294" s="12"/>
      <c r="K2294" s="12"/>
      <c r="L2294" s="13"/>
      <c r="M2294" s="14"/>
      <c r="N2294" s="15"/>
    </row>
    <row r="2295" spans="1:14" s="17" customFormat="1">
      <c r="A2295" s="12"/>
      <c r="B2295" s="13"/>
      <c r="C2295" s="14"/>
      <c r="D2295" s="15"/>
      <c r="E2295" s="16"/>
      <c r="F2295" s="16"/>
      <c r="I2295" s="18"/>
      <c r="J2295" s="12"/>
      <c r="K2295" s="12"/>
      <c r="L2295" s="13"/>
      <c r="M2295" s="14"/>
      <c r="N2295" s="15"/>
    </row>
    <row r="2296" spans="1:14" s="17" customFormat="1">
      <c r="A2296" s="12"/>
      <c r="B2296" s="13"/>
      <c r="C2296" s="14"/>
      <c r="D2296" s="15"/>
      <c r="E2296" s="16"/>
      <c r="F2296" s="16"/>
      <c r="I2296" s="18"/>
      <c r="J2296" s="12"/>
      <c r="K2296" s="12"/>
      <c r="L2296" s="13"/>
      <c r="M2296" s="14"/>
      <c r="N2296" s="15"/>
    </row>
    <row r="2297" spans="1:14" s="17" customFormat="1">
      <c r="A2297" s="12"/>
      <c r="B2297" s="13"/>
      <c r="C2297" s="14"/>
      <c r="D2297" s="15"/>
      <c r="E2297" s="16"/>
      <c r="F2297" s="16"/>
      <c r="I2297" s="18"/>
      <c r="J2297" s="12"/>
      <c r="K2297" s="12"/>
      <c r="L2297" s="13"/>
      <c r="M2297" s="14"/>
      <c r="N2297" s="15"/>
    </row>
    <row r="2298" spans="1:14" s="17" customFormat="1">
      <c r="A2298" s="12"/>
      <c r="B2298" s="13"/>
      <c r="C2298" s="14"/>
      <c r="D2298" s="15"/>
      <c r="E2298" s="16"/>
      <c r="F2298" s="16"/>
      <c r="I2298" s="18"/>
      <c r="J2298" s="12"/>
      <c r="K2298" s="12"/>
      <c r="L2298" s="13"/>
      <c r="M2298" s="14"/>
      <c r="N2298" s="15"/>
    </row>
    <row r="2299" spans="1:14" s="17" customFormat="1">
      <c r="A2299" s="12"/>
      <c r="B2299" s="13"/>
      <c r="C2299" s="14"/>
      <c r="D2299" s="15"/>
      <c r="E2299" s="16"/>
      <c r="F2299" s="16"/>
      <c r="I2299" s="18"/>
      <c r="J2299" s="12"/>
      <c r="K2299" s="12"/>
      <c r="L2299" s="13"/>
      <c r="M2299" s="14"/>
      <c r="N2299" s="15"/>
    </row>
    <row r="2300" spans="1:14">
      <c r="G2300" s="17"/>
      <c r="H2300" s="17"/>
      <c r="I2300" s="18"/>
    </row>
    <row r="2301" spans="1:14" s="17" customFormat="1">
      <c r="A2301" s="12"/>
      <c r="B2301" s="13"/>
      <c r="C2301" s="14"/>
      <c r="D2301" s="15"/>
      <c r="E2301" s="16"/>
      <c r="F2301" s="16"/>
      <c r="I2301" s="18"/>
      <c r="J2301" s="12"/>
      <c r="K2301" s="12"/>
      <c r="L2301" s="13"/>
      <c r="M2301" s="14"/>
      <c r="N2301" s="15"/>
    </row>
    <row r="2302" spans="1:14" s="17" customFormat="1">
      <c r="A2302" s="12"/>
      <c r="B2302" s="13"/>
      <c r="C2302" s="14"/>
      <c r="D2302" s="15"/>
      <c r="E2302" s="16"/>
      <c r="F2302" s="16"/>
      <c r="I2302" s="18"/>
      <c r="J2302" s="12"/>
      <c r="K2302" s="12"/>
      <c r="L2302" s="13"/>
      <c r="M2302" s="14"/>
      <c r="N2302" s="15"/>
    </row>
    <row r="2303" spans="1:14">
      <c r="G2303" s="17"/>
      <c r="H2303" s="17"/>
      <c r="I2303" s="18"/>
    </row>
    <row r="2304" spans="1:14" s="17" customFormat="1">
      <c r="A2304" s="12"/>
      <c r="B2304" s="13"/>
      <c r="C2304" s="14"/>
      <c r="D2304" s="15"/>
      <c r="E2304" s="16"/>
      <c r="F2304" s="16"/>
      <c r="I2304" s="18"/>
      <c r="J2304" s="12"/>
      <c r="K2304" s="12"/>
      <c r="L2304" s="13"/>
      <c r="M2304" s="14"/>
      <c r="N2304" s="15"/>
    </row>
    <row r="2305" spans="1:14" s="17" customFormat="1">
      <c r="A2305" s="12"/>
      <c r="B2305" s="13"/>
      <c r="C2305" s="14"/>
      <c r="D2305" s="15"/>
      <c r="E2305" s="16"/>
      <c r="F2305" s="16"/>
      <c r="I2305" s="18"/>
      <c r="J2305" s="12"/>
      <c r="K2305" s="12"/>
      <c r="L2305" s="13"/>
      <c r="M2305" s="14"/>
      <c r="N2305" s="15"/>
    </row>
    <row r="2306" spans="1:14">
      <c r="G2306" s="17"/>
      <c r="H2306" s="17"/>
      <c r="I2306" s="18"/>
    </row>
    <row r="2307" spans="1:14">
      <c r="G2307" s="17"/>
      <c r="H2307" s="17"/>
      <c r="I2307" s="18"/>
    </row>
    <row r="2308" spans="1:14" s="17" customFormat="1">
      <c r="A2308" s="12"/>
      <c r="B2308" s="13"/>
      <c r="C2308" s="14"/>
      <c r="D2308" s="15"/>
      <c r="E2308" s="16"/>
      <c r="F2308" s="16"/>
      <c r="I2308" s="18"/>
      <c r="J2308" s="12"/>
      <c r="K2308" s="12"/>
      <c r="L2308" s="13"/>
      <c r="M2308" s="14"/>
      <c r="N2308" s="15"/>
    </row>
    <row r="2309" spans="1:14">
      <c r="G2309" s="17"/>
      <c r="H2309" s="17"/>
      <c r="I2309" s="18"/>
    </row>
    <row r="2310" spans="1:14">
      <c r="G2310" s="17"/>
      <c r="H2310" s="17"/>
      <c r="I2310" s="18"/>
    </row>
    <row r="2311" spans="1:14">
      <c r="G2311" s="17"/>
      <c r="H2311" s="17"/>
      <c r="I2311" s="18"/>
    </row>
    <row r="2312" spans="1:14">
      <c r="G2312" s="17"/>
      <c r="H2312" s="17"/>
      <c r="I2312" s="18"/>
    </row>
    <row r="2313" spans="1:14">
      <c r="G2313" s="17"/>
      <c r="H2313" s="17"/>
      <c r="I2313" s="18"/>
    </row>
    <row r="2314" spans="1:14" s="17" customFormat="1">
      <c r="A2314" s="12"/>
      <c r="B2314" s="13"/>
      <c r="C2314" s="14"/>
      <c r="D2314" s="15"/>
      <c r="E2314" s="16"/>
      <c r="F2314" s="16"/>
      <c r="I2314" s="18"/>
      <c r="J2314" s="12"/>
      <c r="K2314" s="12"/>
      <c r="L2314" s="13"/>
      <c r="M2314" s="14"/>
      <c r="N2314" s="15"/>
    </row>
    <row r="2315" spans="1:14">
      <c r="G2315" s="17"/>
      <c r="H2315" s="17"/>
      <c r="I2315" s="18"/>
    </row>
    <row r="2316" spans="1:14">
      <c r="G2316" s="17"/>
      <c r="H2316" s="17"/>
      <c r="I2316" s="18"/>
    </row>
    <row r="2317" spans="1:14" s="34" customFormat="1">
      <c r="A2317" s="12"/>
      <c r="B2317" s="13"/>
      <c r="C2317" s="14"/>
      <c r="D2317" s="15"/>
      <c r="E2317" s="16"/>
      <c r="F2317" s="16"/>
      <c r="G2317" s="17"/>
      <c r="H2317" s="17"/>
      <c r="I2317" s="18"/>
      <c r="J2317" s="12"/>
      <c r="K2317" s="12"/>
      <c r="L2317" s="13"/>
      <c r="M2317" s="14"/>
      <c r="N2317" s="15"/>
    </row>
    <row r="2318" spans="1:14" s="34" customFormat="1">
      <c r="A2318" s="12"/>
      <c r="B2318" s="13"/>
      <c r="C2318" s="14"/>
      <c r="D2318" s="15"/>
      <c r="E2318" s="16"/>
      <c r="F2318" s="16"/>
      <c r="G2318" s="17"/>
      <c r="H2318" s="17"/>
      <c r="I2318" s="18"/>
      <c r="J2318" s="12"/>
      <c r="K2318" s="12"/>
      <c r="L2318" s="13"/>
      <c r="M2318" s="14"/>
      <c r="N2318" s="15"/>
    </row>
    <row r="2319" spans="1:14">
      <c r="G2319" s="17"/>
      <c r="H2319" s="17"/>
      <c r="I2319" s="18"/>
    </row>
    <row r="2320" spans="1:14">
      <c r="G2320" s="17"/>
      <c r="H2320" s="17"/>
      <c r="I2320" s="18"/>
    </row>
    <row r="2321" spans="1:14" s="17" customFormat="1">
      <c r="A2321" s="12"/>
      <c r="B2321" s="13"/>
      <c r="C2321" s="14"/>
      <c r="D2321" s="15"/>
      <c r="E2321" s="16"/>
      <c r="F2321" s="16"/>
      <c r="I2321" s="18"/>
      <c r="J2321" s="12"/>
      <c r="K2321" s="12"/>
      <c r="L2321" s="13"/>
      <c r="M2321" s="14"/>
      <c r="N2321" s="15"/>
    </row>
    <row r="2322" spans="1:14" s="17" customFormat="1">
      <c r="A2322" s="12"/>
      <c r="B2322" s="13"/>
      <c r="C2322" s="14"/>
      <c r="D2322" s="15"/>
      <c r="E2322" s="16"/>
      <c r="F2322" s="16"/>
      <c r="I2322" s="18"/>
      <c r="J2322" s="12"/>
      <c r="K2322" s="12"/>
      <c r="L2322" s="13"/>
      <c r="M2322" s="14"/>
      <c r="N2322" s="15"/>
    </row>
    <row r="2323" spans="1:14" s="17" customFormat="1">
      <c r="A2323" s="12"/>
      <c r="B2323" s="13"/>
      <c r="C2323" s="14"/>
      <c r="D2323" s="15"/>
      <c r="E2323" s="16"/>
      <c r="F2323" s="16"/>
      <c r="I2323" s="18"/>
      <c r="J2323" s="12"/>
      <c r="K2323" s="12"/>
      <c r="L2323" s="13"/>
      <c r="M2323" s="14"/>
      <c r="N2323" s="15"/>
    </row>
    <row r="2324" spans="1:14" s="17" customFormat="1">
      <c r="A2324" s="12"/>
      <c r="B2324" s="13"/>
      <c r="C2324" s="14"/>
      <c r="D2324" s="15"/>
      <c r="E2324" s="16"/>
      <c r="F2324" s="16"/>
      <c r="I2324" s="18"/>
      <c r="J2324" s="12"/>
      <c r="K2324" s="12"/>
      <c r="L2324" s="13"/>
      <c r="M2324" s="14"/>
      <c r="N2324" s="15"/>
    </row>
    <row r="2325" spans="1:14" s="17" customFormat="1">
      <c r="A2325" s="12"/>
      <c r="B2325" s="13"/>
      <c r="C2325" s="14"/>
      <c r="D2325" s="15"/>
      <c r="E2325" s="16"/>
      <c r="F2325" s="16"/>
      <c r="I2325" s="18"/>
      <c r="J2325" s="12"/>
      <c r="K2325" s="12"/>
      <c r="L2325" s="13"/>
      <c r="M2325" s="14"/>
      <c r="N2325" s="15"/>
    </row>
    <row r="2326" spans="1:14" s="17" customFormat="1">
      <c r="A2326" s="12"/>
      <c r="B2326" s="13"/>
      <c r="C2326" s="14"/>
      <c r="D2326" s="15"/>
      <c r="E2326" s="16"/>
      <c r="F2326" s="16"/>
      <c r="I2326" s="18"/>
      <c r="J2326" s="12"/>
      <c r="K2326" s="12"/>
      <c r="L2326" s="13"/>
      <c r="M2326" s="14"/>
      <c r="N2326" s="15"/>
    </row>
    <row r="2327" spans="1:14" s="17" customFormat="1">
      <c r="A2327" s="12"/>
      <c r="B2327" s="13"/>
      <c r="C2327" s="14"/>
      <c r="D2327" s="15"/>
      <c r="E2327" s="16"/>
      <c r="F2327" s="16"/>
      <c r="I2327" s="18"/>
      <c r="J2327" s="12"/>
      <c r="K2327" s="12"/>
      <c r="L2327" s="13"/>
      <c r="M2327" s="14"/>
      <c r="N2327" s="15"/>
    </row>
    <row r="2328" spans="1:14" s="17" customFormat="1">
      <c r="A2328" s="12"/>
      <c r="B2328" s="13"/>
      <c r="C2328" s="14"/>
      <c r="D2328" s="15"/>
      <c r="E2328" s="16"/>
      <c r="F2328" s="16"/>
      <c r="I2328" s="18"/>
      <c r="J2328" s="12"/>
      <c r="K2328" s="12"/>
      <c r="L2328" s="13"/>
      <c r="M2328" s="14"/>
      <c r="N2328" s="15"/>
    </row>
    <row r="2329" spans="1:14">
      <c r="G2329" s="17"/>
      <c r="H2329" s="17"/>
      <c r="I2329" s="18"/>
    </row>
    <row r="2330" spans="1:14">
      <c r="G2330" s="17"/>
      <c r="H2330" s="17"/>
      <c r="I2330" s="18"/>
    </row>
    <row r="2331" spans="1:14" s="34" customFormat="1">
      <c r="A2331" s="12"/>
      <c r="B2331" s="13"/>
      <c r="C2331" s="14"/>
      <c r="D2331" s="15"/>
      <c r="E2331" s="16"/>
      <c r="F2331" s="16"/>
      <c r="G2331" s="17"/>
      <c r="H2331" s="17"/>
      <c r="I2331" s="18"/>
      <c r="J2331" s="12"/>
      <c r="K2331" s="12"/>
      <c r="L2331" s="13"/>
      <c r="M2331" s="14"/>
      <c r="N2331" s="15"/>
    </row>
    <row r="2332" spans="1:14" s="34" customFormat="1">
      <c r="A2332" s="12"/>
      <c r="B2332" s="13"/>
      <c r="C2332" s="14"/>
      <c r="D2332" s="15"/>
      <c r="E2332" s="16"/>
      <c r="F2332" s="16"/>
      <c r="G2332" s="17"/>
      <c r="H2332" s="17"/>
      <c r="I2332" s="18"/>
      <c r="J2332" s="12"/>
      <c r="K2332" s="12"/>
      <c r="L2332" s="13"/>
      <c r="M2332" s="14"/>
      <c r="N2332" s="15"/>
    </row>
    <row r="2333" spans="1:14">
      <c r="G2333" s="17"/>
      <c r="H2333" s="17"/>
      <c r="I2333" s="18"/>
    </row>
    <row r="2334" spans="1:14">
      <c r="G2334" s="17"/>
      <c r="H2334" s="17"/>
      <c r="I2334" s="18"/>
    </row>
    <row r="2335" spans="1:14" s="17" customFormat="1">
      <c r="A2335" s="12"/>
      <c r="B2335" s="13"/>
      <c r="C2335" s="14"/>
      <c r="D2335" s="15"/>
      <c r="E2335" s="16"/>
      <c r="F2335" s="16"/>
      <c r="I2335" s="18"/>
      <c r="J2335" s="12"/>
      <c r="K2335" s="12"/>
      <c r="L2335" s="13"/>
      <c r="M2335" s="14"/>
      <c r="N2335" s="15"/>
    </row>
    <row r="2336" spans="1:14" s="17" customFormat="1">
      <c r="A2336" s="12"/>
      <c r="B2336" s="13"/>
      <c r="C2336" s="14"/>
      <c r="D2336" s="15"/>
      <c r="E2336" s="16"/>
      <c r="F2336" s="16"/>
      <c r="I2336" s="18"/>
      <c r="J2336" s="12"/>
      <c r="K2336" s="12"/>
      <c r="L2336" s="13"/>
      <c r="M2336" s="14"/>
      <c r="N2336" s="15"/>
    </row>
    <row r="2337" spans="1:14" s="17" customFormat="1">
      <c r="A2337" s="12"/>
      <c r="B2337" s="13"/>
      <c r="C2337" s="14"/>
      <c r="D2337" s="15"/>
      <c r="E2337" s="16"/>
      <c r="F2337" s="16"/>
      <c r="I2337" s="18"/>
      <c r="J2337" s="12"/>
      <c r="K2337" s="12"/>
      <c r="L2337" s="13"/>
      <c r="M2337" s="14"/>
      <c r="N2337" s="15"/>
    </row>
    <row r="2338" spans="1:14" s="17" customFormat="1">
      <c r="A2338" s="12"/>
      <c r="B2338" s="13"/>
      <c r="C2338" s="14"/>
      <c r="D2338" s="15"/>
      <c r="E2338" s="16"/>
      <c r="F2338" s="16"/>
      <c r="I2338" s="18"/>
      <c r="J2338" s="12"/>
      <c r="K2338" s="12"/>
      <c r="L2338" s="13"/>
      <c r="M2338" s="14"/>
      <c r="N2338" s="15"/>
    </row>
    <row r="2339" spans="1:14" s="17" customFormat="1">
      <c r="A2339" s="12"/>
      <c r="B2339" s="13"/>
      <c r="C2339" s="14"/>
      <c r="D2339" s="15"/>
      <c r="E2339" s="16"/>
      <c r="F2339" s="16"/>
      <c r="I2339" s="18"/>
      <c r="J2339" s="12"/>
      <c r="K2339" s="12"/>
      <c r="L2339" s="13"/>
      <c r="M2339" s="14"/>
      <c r="N2339" s="15"/>
    </row>
    <row r="2340" spans="1:14" s="17" customFormat="1">
      <c r="A2340" s="12"/>
      <c r="B2340" s="13"/>
      <c r="C2340" s="14"/>
      <c r="D2340" s="15"/>
      <c r="E2340" s="16"/>
      <c r="F2340" s="16"/>
      <c r="I2340" s="18"/>
      <c r="J2340" s="12"/>
      <c r="K2340" s="12"/>
      <c r="L2340" s="13"/>
      <c r="M2340" s="14"/>
      <c r="N2340" s="15"/>
    </row>
    <row r="2341" spans="1:14" s="17" customFormat="1">
      <c r="A2341" s="12"/>
      <c r="B2341" s="13"/>
      <c r="C2341" s="14"/>
      <c r="D2341" s="15"/>
      <c r="E2341" s="16"/>
      <c r="F2341" s="16"/>
      <c r="I2341" s="18"/>
      <c r="J2341" s="12"/>
      <c r="K2341" s="12"/>
      <c r="L2341" s="13"/>
      <c r="M2341" s="14"/>
      <c r="N2341" s="15"/>
    </row>
    <row r="2342" spans="1:14" s="17" customFormat="1">
      <c r="A2342" s="12"/>
      <c r="B2342" s="13"/>
      <c r="C2342" s="14"/>
      <c r="D2342" s="15"/>
      <c r="E2342" s="16"/>
      <c r="F2342" s="16"/>
      <c r="I2342" s="18"/>
      <c r="J2342" s="12"/>
      <c r="K2342" s="12"/>
      <c r="L2342" s="13"/>
      <c r="M2342" s="14"/>
      <c r="N2342" s="15"/>
    </row>
    <row r="2343" spans="1:14" s="17" customFormat="1">
      <c r="A2343" s="12"/>
      <c r="B2343" s="13"/>
      <c r="C2343" s="14"/>
      <c r="D2343" s="15"/>
      <c r="E2343" s="16"/>
      <c r="F2343" s="16"/>
      <c r="I2343" s="18"/>
      <c r="J2343" s="12"/>
      <c r="K2343" s="12"/>
      <c r="L2343" s="13"/>
      <c r="M2343" s="14"/>
      <c r="N2343" s="15"/>
    </row>
    <row r="2344" spans="1:14" s="17" customFormat="1">
      <c r="A2344" s="12"/>
      <c r="B2344" s="13"/>
      <c r="C2344" s="14"/>
      <c r="D2344" s="15"/>
      <c r="E2344" s="16"/>
      <c r="F2344" s="16"/>
      <c r="I2344" s="18"/>
      <c r="J2344" s="12"/>
      <c r="K2344" s="12"/>
      <c r="L2344" s="13"/>
      <c r="M2344" s="14"/>
      <c r="N2344" s="15"/>
    </row>
    <row r="2345" spans="1:14" s="17" customFormat="1">
      <c r="A2345" s="12"/>
      <c r="B2345" s="13"/>
      <c r="C2345" s="14"/>
      <c r="D2345" s="15"/>
      <c r="E2345" s="16"/>
      <c r="F2345" s="16"/>
      <c r="G2345" s="25"/>
      <c r="H2345" s="25"/>
      <c r="I2345" s="95"/>
      <c r="J2345" s="12"/>
      <c r="K2345" s="12"/>
      <c r="L2345" s="13"/>
      <c r="M2345" s="14"/>
      <c r="N2345" s="15"/>
    </row>
    <row r="2346" spans="1:14" s="17" customFormat="1">
      <c r="A2346" s="12"/>
      <c r="B2346" s="13"/>
      <c r="C2346" s="14"/>
      <c r="D2346" s="15"/>
      <c r="E2346" s="16"/>
      <c r="F2346" s="16"/>
      <c r="G2346" s="25"/>
      <c r="H2346" s="25"/>
      <c r="I2346" s="95"/>
      <c r="J2346" s="12"/>
      <c r="K2346" s="12"/>
      <c r="L2346" s="13"/>
      <c r="M2346" s="14"/>
      <c r="N2346" s="15"/>
    </row>
    <row r="2347" spans="1:14" s="17" customFormat="1">
      <c r="A2347" s="12"/>
      <c r="B2347" s="13"/>
      <c r="C2347" s="14"/>
      <c r="D2347" s="15"/>
      <c r="E2347" s="16"/>
      <c r="F2347" s="16"/>
      <c r="G2347" s="34"/>
      <c r="H2347" s="34"/>
      <c r="I2347" s="95"/>
      <c r="J2347" s="12"/>
      <c r="K2347" s="12"/>
      <c r="L2347" s="13"/>
      <c r="M2347" s="14"/>
      <c r="N2347" s="15"/>
    </row>
    <row r="2348" spans="1:14" s="17" customFormat="1">
      <c r="A2348" s="12"/>
      <c r="B2348" s="13"/>
      <c r="C2348" s="14"/>
      <c r="D2348" s="15"/>
      <c r="E2348" s="16"/>
      <c r="F2348" s="16"/>
      <c r="G2348" s="25"/>
      <c r="H2348" s="25"/>
      <c r="I2348" s="95"/>
      <c r="J2348" s="12"/>
      <c r="K2348" s="12"/>
      <c r="L2348" s="13"/>
      <c r="M2348" s="14"/>
      <c r="N2348" s="15"/>
    </row>
    <row r="2349" spans="1:14" s="17" customFormat="1">
      <c r="A2349" s="12"/>
      <c r="B2349" s="13"/>
      <c r="C2349" s="14"/>
      <c r="D2349" s="15"/>
      <c r="E2349" s="16"/>
      <c r="F2349" s="16"/>
      <c r="G2349" s="25"/>
      <c r="H2349" s="25"/>
      <c r="I2349" s="95"/>
      <c r="J2349" s="12"/>
      <c r="K2349" s="12"/>
      <c r="L2349" s="13"/>
      <c r="M2349" s="14"/>
      <c r="N2349" s="15"/>
    </row>
    <row r="2350" spans="1:14" s="17" customFormat="1">
      <c r="A2350" s="12"/>
      <c r="B2350" s="13"/>
      <c r="C2350" s="14"/>
      <c r="D2350" s="15"/>
      <c r="E2350" s="16"/>
      <c r="F2350" s="16"/>
      <c r="G2350" s="25"/>
      <c r="H2350" s="25"/>
      <c r="I2350" s="95"/>
      <c r="J2350" s="12"/>
      <c r="K2350" s="12"/>
      <c r="L2350" s="13"/>
      <c r="M2350" s="14"/>
      <c r="N2350" s="15"/>
    </row>
    <row r="2351" spans="1:14" s="17" customFormat="1">
      <c r="A2351" s="12"/>
      <c r="B2351" s="13"/>
      <c r="C2351" s="14"/>
      <c r="D2351" s="15"/>
      <c r="E2351" s="16"/>
      <c r="F2351" s="16"/>
      <c r="G2351" s="25"/>
      <c r="H2351" s="25"/>
      <c r="I2351" s="95"/>
      <c r="J2351" s="12"/>
      <c r="K2351" s="12"/>
      <c r="L2351" s="13"/>
      <c r="M2351" s="14"/>
      <c r="N2351" s="15"/>
    </row>
    <row r="2352" spans="1:14" s="17" customFormat="1">
      <c r="A2352" s="12"/>
      <c r="B2352" s="13"/>
      <c r="C2352" s="14"/>
      <c r="D2352" s="15"/>
      <c r="E2352" s="16"/>
      <c r="F2352" s="16"/>
      <c r="G2352" s="25"/>
      <c r="H2352" s="25"/>
      <c r="I2352" s="95"/>
      <c r="J2352" s="12"/>
      <c r="K2352" s="12"/>
      <c r="L2352" s="13"/>
      <c r="M2352" s="14"/>
      <c r="N2352" s="15"/>
    </row>
    <row r="2353" spans="1:14" s="17" customFormat="1">
      <c r="A2353" s="12"/>
      <c r="B2353" s="13"/>
      <c r="C2353" s="14"/>
      <c r="D2353" s="15"/>
      <c r="E2353" s="16"/>
      <c r="F2353" s="16"/>
      <c r="G2353" s="25"/>
      <c r="H2353" s="25"/>
      <c r="I2353" s="95"/>
      <c r="J2353" s="12"/>
      <c r="K2353" s="12"/>
      <c r="L2353" s="13"/>
      <c r="M2353" s="14"/>
      <c r="N2353" s="15"/>
    </row>
    <row r="2354" spans="1:14" s="17" customFormat="1">
      <c r="A2354" s="12"/>
      <c r="B2354" s="13"/>
      <c r="C2354" s="14"/>
      <c r="D2354" s="15"/>
      <c r="E2354" s="16"/>
      <c r="F2354" s="16"/>
      <c r="G2354" s="25"/>
      <c r="H2354" s="25"/>
      <c r="I2354" s="95"/>
      <c r="J2354" s="12"/>
      <c r="K2354" s="12"/>
      <c r="L2354" s="13"/>
      <c r="M2354" s="14"/>
      <c r="N2354" s="15"/>
    </row>
    <row r="2355" spans="1:14" s="17" customFormat="1">
      <c r="A2355" s="12"/>
      <c r="B2355" s="13"/>
      <c r="C2355" s="14"/>
      <c r="D2355" s="15"/>
      <c r="E2355" s="16"/>
      <c r="F2355" s="16"/>
      <c r="G2355" s="25"/>
      <c r="H2355" s="25"/>
      <c r="I2355" s="95"/>
      <c r="J2355" s="12"/>
      <c r="K2355" s="12"/>
      <c r="L2355" s="13"/>
      <c r="M2355" s="14"/>
      <c r="N2355" s="15"/>
    </row>
    <row r="2356" spans="1:14" s="17" customFormat="1">
      <c r="A2356" s="12"/>
      <c r="B2356" s="13"/>
      <c r="C2356" s="14"/>
      <c r="D2356" s="15"/>
      <c r="E2356" s="16"/>
      <c r="F2356" s="16"/>
      <c r="G2356" s="25"/>
      <c r="H2356" s="25"/>
      <c r="I2356" s="95"/>
      <c r="J2356" s="12"/>
      <c r="K2356" s="12"/>
      <c r="L2356" s="13"/>
      <c r="M2356" s="14"/>
      <c r="N2356" s="15"/>
    </row>
    <row r="2357" spans="1:14" s="17" customFormat="1">
      <c r="A2357" s="12"/>
      <c r="B2357" s="13"/>
      <c r="C2357" s="14"/>
      <c r="D2357" s="15"/>
      <c r="E2357" s="16"/>
      <c r="F2357" s="16"/>
      <c r="G2357" s="25"/>
      <c r="H2357" s="25"/>
      <c r="I2357" s="95"/>
      <c r="J2357" s="12"/>
      <c r="K2357" s="12"/>
      <c r="L2357" s="13"/>
      <c r="M2357" s="14"/>
      <c r="N2357" s="15"/>
    </row>
    <row r="2358" spans="1:14" s="17" customFormat="1">
      <c r="A2358" s="12"/>
      <c r="B2358" s="13"/>
      <c r="C2358" s="14"/>
      <c r="D2358" s="15"/>
      <c r="E2358" s="16"/>
      <c r="F2358" s="16"/>
      <c r="G2358" s="25"/>
      <c r="H2358" s="25"/>
      <c r="I2358" s="95"/>
      <c r="J2358" s="12"/>
      <c r="K2358" s="12"/>
      <c r="L2358" s="13"/>
      <c r="M2358" s="14"/>
      <c r="N2358" s="15"/>
    </row>
    <row r="2361" spans="1:14" s="34" customFormat="1">
      <c r="A2361" s="12"/>
      <c r="B2361" s="13"/>
      <c r="C2361" s="14"/>
      <c r="D2361" s="15"/>
      <c r="E2361" s="16"/>
      <c r="F2361" s="16"/>
      <c r="G2361" s="25"/>
      <c r="H2361" s="25"/>
      <c r="I2361" s="95"/>
      <c r="J2361" s="12"/>
      <c r="K2361" s="12"/>
      <c r="L2361" s="13"/>
      <c r="M2361" s="14"/>
      <c r="N2361" s="15"/>
    </row>
    <row r="2362" spans="1:14" s="34" customFormat="1">
      <c r="A2362" s="12"/>
      <c r="B2362" s="13"/>
      <c r="C2362" s="14"/>
      <c r="D2362" s="15"/>
      <c r="E2362" s="16"/>
      <c r="F2362" s="16"/>
      <c r="G2362" s="25"/>
      <c r="H2362" s="25"/>
      <c r="I2362" s="95"/>
      <c r="J2362" s="12"/>
      <c r="K2362" s="12"/>
      <c r="L2362" s="13"/>
      <c r="M2362" s="14"/>
      <c r="N2362" s="15"/>
    </row>
    <row r="2375" spans="1:14" s="17" customFormat="1">
      <c r="A2375" s="12"/>
      <c r="B2375" s="13"/>
      <c r="C2375" s="14"/>
      <c r="D2375" s="15"/>
      <c r="E2375" s="16"/>
      <c r="F2375" s="16"/>
      <c r="G2375" s="25"/>
      <c r="H2375" s="25"/>
      <c r="I2375" s="95"/>
      <c r="J2375" s="12"/>
      <c r="K2375" s="12"/>
      <c r="L2375" s="13"/>
      <c r="M2375" s="14"/>
      <c r="N2375" s="15"/>
    </row>
    <row r="2376" spans="1:14" s="17" customFormat="1">
      <c r="A2376" s="12"/>
      <c r="B2376" s="13"/>
      <c r="C2376" s="14"/>
      <c r="D2376" s="15"/>
      <c r="E2376" s="16"/>
      <c r="F2376" s="16"/>
      <c r="G2376" s="25"/>
      <c r="H2376" s="25"/>
      <c r="I2376" s="95"/>
      <c r="J2376" s="12"/>
      <c r="K2376" s="12"/>
      <c r="L2376" s="13"/>
      <c r="M2376" s="14"/>
      <c r="N2376" s="15"/>
    </row>
    <row r="2377" spans="1:14" s="17" customFormat="1">
      <c r="A2377" s="12"/>
      <c r="B2377" s="13"/>
      <c r="C2377" s="14"/>
      <c r="D2377" s="15"/>
      <c r="E2377" s="16"/>
      <c r="F2377" s="16"/>
      <c r="G2377" s="25"/>
      <c r="H2377" s="25"/>
      <c r="I2377" s="95"/>
      <c r="J2377" s="12"/>
      <c r="K2377" s="12"/>
      <c r="L2377" s="13"/>
      <c r="M2377" s="14"/>
      <c r="N2377" s="15"/>
    </row>
    <row r="2378" spans="1:14" s="17" customFormat="1">
      <c r="A2378" s="12"/>
      <c r="B2378" s="13"/>
      <c r="C2378" s="14"/>
      <c r="D2378" s="15"/>
      <c r="E2378" s="16"/>
      <c r="F2378" s="16"/>
      <c r="G2378" s="25"/>
      <c r="H2378" s="25"/>
      <c r="I2378" s="95"/>
      <c r="J2378" s="12"/>
      <c r="K2378" s="12"/>
      <c r="L2378" s="13"/>
      <c r="M2378" s="14"/>
      <c r="N2378" s="15"/>
    </row>
    <row r="2379" spans="1:14" s="17" customFormat="1">
      <c r="A2379" s="12"/>
      <c r="B2379" s="13"/>
      <c r="C2379" s="14"/>
      <c r="D2379" s="15"/>
      <c r="E2379" s="16"/>
      <c r="F2379" s="16"/>
      <c r="G2379" s="25"/>
      <c r="H2379" s="25"/>
      <c r="I2379" s="95"/>
      <c r="J2379" s="12"/>
      <c r="K2379" s="12"/>
      <c r="L2379" s="13"/>
      <c r="M2379" s="14"/>
      <c r="N2379" s="15"/>
    </row>
    <row r="2380" spans="1:14" s="17" customFormat="1">
      <c r="A2380" s="12"/>
      <c r="B2380" s="13"/>
      <c r="C2380" s="14"/>
      <c r="D2380" s="15"/>
      <c r="E2380" s="16"/>
      <c r="F2380" s="16"/>
      <c r="G2380" s="25"/>
      <c r="H2380" s="25"/>
      <c r="I2380" s="95"/>
      <c r="J2380" s="12"/>
      <c r="K2380" s="12"/>
      <c r="L2380" s="13"/>
      <c r="M2380" s="14"/>
      <c r="N2380" s="15"/>
    </row>
    <row r="2381" spans="1:14" s="17" customFormat="1">
      <c r="A2381" s="12"/>
      <c r="B2381" s="13"/>
      <c r="C2381" s="14"/>
      <c r="D2381" s="15"/>
      <c r="E2381" s="16"/>
      <c r="F2381" s="16"/>
      <c r="G2381" s="25"/>
      <c r="H2381" s="25"/>
      <c r="I2381" s="95"/>
      <c r="J2381" s="12"/>
      <c r="K2381" s="12"/>
      <c r="L2381" s="13"/>
      <c r="M2381" s="14"/>
      <c r="N2381" s="15"/>
    </row>
    <row r="2382" spans="1:14" s="17" customFormat="1">
      <c r="A2382" s="12"/>
      <c r="B2382" s="13"/>
      <c r="C2382" s="14"/>
      <c r="D2382" s="15"/>
      <c r="E2382" s="16"/>
      <c r="F2382" s="16"/>
      <c r="G2382" s="25"/>
      <c r="H2382" s="25"/>
      <c r="I2382" s="95"/>
      <c r="J2382" s="12"/>
      <c r="K2382" s="12"/>
      <c r="L2382" s="13"/>
      <c r="M2382" s="14"/>
      <c r="N2382" s="15"/>
    </row>
    <row r="2383" spans="1:14" s="17" customFormat="1">
      <c r="A2383" s="12"/>
      <c r="B2383" s="13"/>
      <c r="C2383" s="14"/>
      <c r="D2383" s="15"/>
      <c r="E2383" s="16"/>
      <c r="F2383" s="16"/>
      <c r="G2383" s="25"/>
      <c r="H2383" s="25"/>
      <c r="I2383" s="95"/>
      <c r="J2383" s="12"/>
      <c r="K2383" s="12"/>
      <c r="L2383" s="13"/>
      <c r="M2383" s="14"/>
      <c r="N2383" s="15"/>
    </row>
    <row r="2384" spans="1:14" s="17" customFormat="1">
      <c r="A2384" s="12"/>
      <c r="B2384" s="13"/>
      <c r="C2384" s="14"/>
      <c r="D2384" s="15"/>
      <c r="E2384" s="16"/>
      <c r="F2384" s="16"/>
      <c r="G2384" s="25"/>
      <c r="H2384" s="25"/>
      <c r="I2384" s="95"/>
      <c r="J2384" s="12"/>
      <c r="K2384" s="12"/>
      <c r="L2384" s="13"/>
      <c r="M2384" s="14"/>
      <c r="N2384" s="15"/>
    </row>
    <row r="2385" spans="1:14" s="17" customFormat="1">
      <c r="A2385" s="12"/>
      <c r="B2385" s="13"/>
      <c r="C2385" s="14"/>
      <c r="D2385" s="15"/>
      <c r="E2385" s="16"/>
      <c r="F2385" s="16"/>
      <c r="G2385" s="25"/>
      <c r="H2385" s="25"/>
      <c r="I2385" s="95"/>
      <c r="J2385" s="12"/>
      <c r="K2385" s="12"/>
      <c r="L2385" s="13"/>
      <c r="M2385" s="14"/>
      <c r="N2385" s="15"/>
    </row>
    <row r="2386" spans="1:14" s="17" customFormat="1">
      <c r="A2386" s="12"/>
      <c r="B2386" s="13"/>
      <c r="C2386" s="14"/>
      <c r="D2386" s="15"/>
      <c r="E2386" s="16"/>
      <c r="F2386" s="16"/>
      <c r="G2386" s="25"/>
      <c r="H2386" s="25"/>
      <c r="I2386" s="95"/>
      <c r="J2386" s="12"/>
      <c r="K2386" s="12"/>
      <c r="L2386" s="13"/>
      <c r="M2386" s="14"/>
      <c r="N2386" s="15"/>
    </row>
    <row r="2387" spans="1:14" s="17" customFormat="1">
      <c r="A2387" s="12"/>
      <c r="B2387" s="13"/>
      <c r="C2387" s="14"/>
      <c r="D2387" s="15"/>
      <c r="E2387" s="16"/>
      <c r="F2387" s="16"/>
      <c r="G2387" s="25"/>
      <c r="H2387" s="25"/>
      <c r="I2387" s="95"/>
      <c r="J2387" s="12"/>
      <c r="K2387" s="12"/>
      <c r="L2387" s="13"/>
      <c r="M2387" s="14"/>
      <c r="N2387" s="15"/>
    </row>
    <row r="2388" spans="1:14" s="17" customFormat="1">
      <c r="A2388" s="12"/>
      <c r="B2388" s="13"/>
      <c r="C2388" s="14"/>
      <c r="D2388" s="15"/>
      <c r="E2388" s="16"/>
      <c r="F2388" s="16"/>
      <c r="G2388" s="25"/>
      <c r="H2388" s="25"/>
      <c r="I2388" s="95"/>
      <c r="J2388" s="12"/>
      <c r="K2388" s="12"/>
      <c r="L2388" s="13"/>
      <c r="M2388" s="14"/>
      <c r="N2388" s="15"/>
    </row>
    <row r="2389" spans="1:14" s="17" customFormat="1">
      <c r="A2389" s="12"/>
      <c r="B2389" s="13"/>
      <c r="C2389" s="14"/>
      <c r="D2389" s="15"/>
      <c r="E2389" s="16"/>
      <c r="F2389" s="16"/>
      <c r="G2389" s="25"/>
      <c r="H2389" s="25"/>
      <c r="I2389" s="95"/>
      <c r="J2389" s="12"/>
      <c r="K2389" s="12"/>
      <c r="L2389" s="13"/>
      <c r="M2389" s="14"/>
      <c r="N2389" s="15"/>
    </row>
    <row r="2390" spans="1:14" s="17" customFormat="1">
      <c r="A2390" s="12"/>
      <c r="B2390" s="13"/>
      <c r="C2390" s="14"/>
      <c r="D2390" s="15"/>
      <c r="E2390" s="16"/>
      <c r="F2390" s="16"/>
      <c r="G2390" s="25"/>
      <c r="H2390" s="25"/>
      <c r="I2390" s="95"/>
      <c r="J2390" s="12"/>
      <c r="K2390" s="12"/>
      <c r="L2390" s="13"/>
      <c r="M2390" s="14"/>
      <c r="N2390" s="15"/>
    </row>
    <row r="2391" spans="1:14" s="17" customFormat="1">
      <c r="A2391" s="12"/>
      <c r="B2391" s="13"/>
      <c r="C2391" s="14"/>
      <c r="D2391" s="15"/>
      <c r="E2391" s="16"/>
      <c r="F2391" s="16"/>
      <c r="G2391" s="25"/>
      <c r="H2391" s="25"/>
      <c r="I2391" s="95"/>
      <c r="J2391" s="12"/>
      <c r="K2391" s="12"/>
      <c r="L2391" s="13"/>
      <c r="M2391" s="14"/>
      <c r="N2391" s="15"/>
    </row>
    <row r="2392" spans="1:14" s="17" customFormat="1">
      <c r="A2392" s="12"/>
      <c r="B2392" s="13"/>
      <c r="C2392" s="14"/>
      <c r="D2392" s="15"/>
      <c r="E2392" s="16"/>
      <c r="F2392" s="16"/>
      <c r="G2392" s="25"/>
      <c r="H2392" s="25"/>
      <c r="I2392" s="95"/>
      <c r="J2392" s="12"/>
      <c r="K2392" s="12"/>
      <c r="L2392" s="13"/>
      <c r="M2392" s="14"/>
      <c r="N2392" s="15"/>
    </row>
    <row r="2393" spans="1:14" s="17" customFormat="1">
      <c r="A2393" s="12"/>
      <c r="B2393" s="13"/>
      <c r="C2393" s="14"/>
      <c r="D2393" s="15"/>
      <c r="E2393" s="16"/>
      <c r="F2393" s="16"/>
      <c r="G2393" s="25"/>
      <c r="H2393" s="25"/>
      <c r="I2393" s="95"/>
      <c r="J2393" s="12"/>
      <c r="K2393" s="12"/>
      <c r="L2393" s="13"/>
      <c r="M2393" s="14"/>
      <c r="N2393" s="15"/>
    </row>
    <row r="2394" spans="1:14" s="17" customFormat="1">
      <c r="A2394" s="12"/>
      <c r="B2394" s="13"/>
      <c r="C2394" s="14"/>
      <c r="D2394" s="15"/>
      <c r="E2394" s="16"/>
      <c r="F2394" s="16"/>
      <c r="G2394" s="25"/>
      <c r="H2394" s="25"/>
      <c r="I2394" s="95"/>
      <c r="J2394" s="12"/>
      <c r="K2394" s="12"/>
      <c r="L2394" s="13"/>
      <c r="M2394" s="14"/>
      <c r="N2394" s="15"/>
    </row>
    <row r="2395" spans="1:14" s="17" customFormat="1">
      <c r="A2395" s="12"/>
      <c r="B2395" s="13"/>
      <c r="C2395" s="14"/>
      <c r="D2395" s="15"/>
      <c r="E2395" s="16"/>
      <c r="F2395" s="16"/>
      <c r="G2395" s="25"/>
      <c r="H2395" s="25"/>
      <c r="I2395" s="95"/>
      <c r="J2395" s="12"/>
      <c r="K2395" s="12"/>
      <c r="L2395" s="13"/>
      <c r="M2395" s="14"/>
      <c r="N2395" s="15"/>
    </row>
    <row r="2396" spans="1:14" s="17" customFormat="1">
      <c r="A2396" s="12"/>
      <c r="B2396" s="13"/>
      <c r="C2396" s="14"/>
      <c r="D2396" s="15"/>
      <c r="E2396" s="16"/>
      <c r="F2396" s="16"/>
      <c r="G2396" s="25"/>
      <c r="H2396" s="25"/>
      <c r="I2396" s="95"/>
      <c r="J2396" s="12"/>
      <c r="K2396" s="12"/>
      <c r="L2396" s="13"/>
      <c r="M2396" s="14"/>
      <c r="N2396" s="15"/>
    </row>
    <row r="2397" spans="1:14" s="17" customFormat="1">
      <c r="A2397" s="12"/>
      <c r="B2397" s="13"/>
      <c r="C2397" s="14"/>
      <c r="D2397" s="15"/>
      <c r="E2397" s="16"/>
      <c r="F2397" s="16"/>
      <c r="G2397" s="25"/>
      <c r="H2397" s="25"/>
      <c r="I2397" s="95"/>
      <c r="J2397" s="12"/>
      <c r="K2397" s="12"/>
      <c r="L2397" s="13"/>
      <c r="M2397" s="14"/>
      <c r="N2397" s="15"/>
    </row>
    <row r="2398" spans="1:14" s="17" customFormat="1">
      <c r="A2398" s="12"/>
      <c r="B2398" s="13"/>
      <c r="C2398" s="14"/>
      <c r="D2398" s="15"/>
      <c r="E2398" s="16"/>
      <c r="F2398" s="16"/>
      <c r="G2398" s="25"/>
      <c r="H2398" s="25"/>
      <c r="I2398" s="95"/>
      <c r="J2398" s="12"/>
      <c r="K2398" s="12"/>
      <c r="L2398" s="13"/>
      <c r="M2398" s="14"/>
      <c r="N2398" s="15"/>
    </row>
    <row r="2399" spans="1:14" s="17" customFormat="1">
      <c r="A2399" s="12"/>
      <c r="B2399" s="13"/>
      <c r="C2399" s="14"/>
      <c r="D2399" s="15"/>
      <c r="E2399" s="16"/>
      <c r="F2399" s="16"/>
      <c r="G2399" s="25"/>
      <c r="H2399" s="25"/>
      <c r="I2399" s="95"/>
      <c r="J2399" s="12"/>
      <c r="K2399" s="12"/>
      <c r="L2399" s="13"/>
      <c r="M2399" s="14"/>
      <c r="N2399" s="15"/>
    </row>
    <row r="2400" spans="1:14" s="17" customFormat="1">
      <c r="A2400" s="12"/>
      <c r="B2400" s="13"/>
      <c r="C2400" s="14"/>
      <c r="D2400" s="15"/>
      <c r="E2400" s="16"/>
      <c r="F2400" s="16"/>
      <c r="G2400" s="25"/>
      <c r="H2400" s="25"/>
      <c r="I2400" s="95"/>
      <c r="J2400" s="12"/>
      <c r="K2400" s="12"/>
      <c r="L2400" s="13"/>
      <c r="M2400" s="14"/>
      <c r="N2400" s="15"/>
    </row>
    <row r="2401" spans="1:14" s="17" customFormat="1">
      <c r="A2401" s="12"/>
      <c r="B2401" s="13"/>
      <c r="C2401" s="14"/>
      <c r="D2401" s="15"/>
      <c r="E2401" s="16"/>
      <c r="F2401" s="16"/>
      <c r="G2401" s="25"/>
      <c r="H2401" s="25"/>
      <c r="I2401" s="95"/>
      <c r="J2401" s="12"/>
      <c r="K2401" s="12"/>
      <c r="L2401" s="13"/>
      <c r="M2401" s="14"/>
      <c r="N2401" s="15"/>
    </row>
    <row r="2402" spans="1:14" s="17" customFormat="1">
      <c r="A2402" s="12"/>
      <c r="B2402" s="13"/>
      <c r="C2402" s="14"/>
      <c r="D2402" s="15"/>
      <c r="E2402" s="16"/>
      <c r="F2402" s="16"/>
      <c r="G2402" s="25"/>
      <c r="H2402" s="25"/>
      <c r="I2402" s="95"/>
      <c r="J2402" s="12"/>
      <c r="K2402" s="12"/>
      <c r="L2402" s="13"/>
      <c r="M2402" s="14"/>
      <c r="N2402" s="15"/>
    </row>
    <row r="2403" spans="1:14" s="17" customFormat="1">
      <c r="A2403" s="12"/>
      <c r="B2403" s="13"/>
      <c r="C2403" s="14"/>
      <c r="D2403" s="15"/>
      <c r="E2403" s="16"/>
      <c r="F2403" s="16"/>
      <c r="G2403" s="25"/>
      <c r="H2403" s="25"/>
      <c r="I2403" s="95"/>
      <c r="J2403" s="12"/>
      <c r="K2403" s="12"/>
      <c r="L2403" s="13"/>
      <c r="M2403" s="14"/>
      <c r="N2403" s="15"/>
    </row>
    <row r="2404" spans="1:14" s="17" customFormat="1">
      <c r="A2404" s="12"/>
      <c r="B2404" s="13"/>
      <c r="C2404" s="14"/>
      <c r="D2404" s="15"/>
      <c r="E2404" s="16"/>
      <c r="F2404" s="16"/>
      <c r="G2404" s="25"/>
      <c r="H2404" s="25"/>
      <c r="I2404" s="95"/>
      <c r="J2404" s="12"/>
      <c r="K2404" s="12"/>
      <c r="L2404" s="13"/>
      <c r="M2404" s="14"/>
      <c r="N2404" s="15"/>
    </row>
    <row r="2405" spans="1:14" s="17" customFormat="1">
      <c r="A2405" s="12"/>
      <c r="B2405" s="13"/>
      <c r="C2405" s="14"/>
      <c r="D2405" s="15"/>
      <c r="E2405" s="16"/>
      <c r="F2405" s="16"/>
      <c r="G2405" s="25"/>
      <c r="H2405" s="25"/>
      <c r="I2405" s="95"/>
      <c r="J2405" s="12"/>
      <c r="K2405" s="12"/>
      <c r="L2405" s="13"/>
      <c r="M2405" s="14"/>
      <c r="N2405" s="15"/>
    </row>
    <row r="2406" spans="1:14" s="17" customFormat="1">
      <c r="A2406" s="12"/>
      <c r="B2406" s="13"/>
      <c r="C2406" s="14"/>
      <c r="D2406" s="15"/>
      <c r="E2406" s="16"/>
      <c r="F2406" s="16"/>
      <c r="G2406" s="25"/>
      <c r="H2406" s="25"/>
      <c r="I2406" s="95"/>
      <c r="J2406" s="12"/>
      <c r="K2406" s="12"/>
      <c r="L2406" s="13"/>
      <c r="M2406" s="14"/>
      <c r="N2406" s="15"/>
    </row>
    <row r="2407" spans="1:14" s="17" customFormat="1">
      <c r="A2407" s="12"/>
      <c r="B2407" s="13"/>
      <c r="C2407" s="14"/>
      <c r="D2407" s="15"/>
      <c r="E2407" s="16"/>
      <c r="F2407" s="16"/>
      <c r="G2407" s="25"/>
      <c r="H2407" s="25"/>
      <c r="I2407" s="95"/>
      <c r="J2407" s="12"/>
      <c r="K2407" s="12"/>
      <c r="L2407" s="13"/>
      <c r="M2407" s="14"/>
      <c r="N2407" s="15"/>
    </row>
    <row r="2408" spans="1:14" s="17" customFormat="1">
      <c r="A2408" s="12"/>
      <c r="B2408" s="13"/>
      <c r="C2408" s="14"/>
      <c r="D2408" s="15"/>
      <c r="E2408" s="16"/>
      <c r="F2408" s="16"/>
      <c r="G2408" s="25"/>
      <c r="H2408" s="25"/>
      <c r="I2408" s="95"/>
      <c r="J2408" s="12"/>
      <c r="K2408" s="12"/>
      <c r="L2408" s="13"/>
      <c r="M2408" s="14"/>
      <c r="N2408" s="15"/>
    </row>
    <row r="2409" spans="1:14" s="17" customFormat="1">
      <c r="A2409" s="12"/>
      <c r="B2409" s="13"/>
      <c r="C2409" s="14"/>
      <c r="D2409" s="15"/>
      <c r="E2409" s="16"/>
      <c r="F2409" s="16"/>
      <c r="G2409" s="25"/>
      <c r="H2409" s="25"/>
      <c r="I2409" s="95"/>
      <c r="J2409" s="12"/>
      <c r="K2409" s="12"/>
      <c r="L2409" s="13"/>
      <c r="M2409" s="14"/>
      <c r="N2409" s="15"/>
    </row>
    <row r="2410" spans="1:14" s="17" customFormat="1">
      <c r="A2410" s="12"/>
      <c r="B2410" s="13"/>
      <c r="C2410" s="14"/>
      <c r="D2410" s="15"/>
      <c r="E2410" s="16"/>
      <c r="F2410" s="16"/>
      <c r="G2410" s="25"/>
      <c r="H2410" s="25"/>
      <c r="I2410" s="95"/>
      <c r="J2410" s="12"/>
      <c r="K2410" s="12"/>
      <c r="L2410" s="13"/>
      <c r="M2410" s="14"/>
      <c r="N2410" s="15"/>
    </row>
    <row r="2411" spans="1:14" s="17" customFormat="1">
      <c r="A2411" s="12"/>
      <c r="B2411" s="13"/>
      <c r="C2411" s="14"/>
      <c r="D2411" s="15"/>
      <c r="E2411" s="16"/>
      <c r="F2411" s="16"/>
      <c r="G2411" s="25"/>
      <c r="H2411" s="25"/>
      <c r="I2411" s="95"/>
      <c r="J2411" s="12"/>
      <c r="K2411" s="12"/>
      <c r="L2411" s="13"/>
      <c r="M2411" s="14"/>
      <c r="N2411" s="15"/>
    </row>
    <row r="2412" spans="1:14" s="17" customFormat="1">
      <c r="A2412" s="12"/>
      <c r="B2412" s="13"/>
      <c r="C2412" s="14"/>
      <c r="D2412" s="15"/>
      <c r="E2412" s="16"/>
      <c r="F2412" s="16"/>
      <c r="G2412" s="25"/>
      <c r="H2412" s="25"/>
      <c r="I2412" s="95"/>
      <c r="J2412" s="12"/>
      <c r="K2412" s="12"/>
      <c r="L2412" s="13"/>
      <c r="M2412" s="14"/>
      <c r="N2412" s="15"/>
    </row>
    <row r="2413" spans="1:14" s="17" customFormat="1">
      <c r="A2413" s="12"/>
      <c r="B2413" s="13"/>
      <c r="C2413" s="14"/>
      <c r="D2413" s="15"/>
      <c r="E2413" s="16"/>
      <c r="F2413" s="16"/>
      <c r="G2413" s="25"/>
      <c r="H2413" s="25"/>
      <c r="I2413" s="95"/>
      <c r="J2413" s="12"/>
      <c r="K2413" s="12"/>
      <c r="L2413" s="13"/>
      <c r="M2413" s="14"/>
      <c r="N2413" s="15"/>
    </row>
    <row r="2414" spans="1:14" s="17" customFormat="1">
      <c r="A2414" s="12"/>
      <c r="B2414" s="13"/>
      <c r="C2414" s="14"/>
      <c r="D2414" s="15"/>
      <c r="E2414" s="16"/>
      <c r="F2414" s="16"/>
      <c r="G2414" s="25"/>
      <c r="H2414" s="25"/>
      <c r="I2414" s="95"/>
      <c r="J2414" s="12"/>
      <c r="K2414" s="12"/>
      <c r="L2414" s="13"/>
      <c r="M2414" s="14"/>
      <c r="N2414" s="15"/>
    </row>
    <row r="2415" spans="1:14" s="17" customFormat="1">
      <c r="A2415" s="12"/>
      <c r="B2415" s="13"/>
      <c r="C2415" s="14"/>
      <c r="D2415" s="15"/>
      <c r="E2415" s="16"/>
      <c r="F2415" s="16"/>
      <c r="G2415" s="25"/>
      <c r="H2415" s="25"/>
      <c r="I2415" s="95"/>
      <c r="J2415" s="12"/>
      <c r="K2415" s="12"/>
      <c r="L2415" s="13"/>
      <c r="M2415" s="14"/>
      <c r="N2415" s="15"/>
    </row>
    <row r="2416" spans="1:14" s="17" customFormat="1">
      <c r="A2416" s="12"/>
      <c r="B2416" s="13"/>
      <c r="C2416" s="14"/>
      <c r="D2416" s="15"/>
      <c r="E2416" s="16"/>
      <c r="F2416" s="16"/>
      <c r="G2416" s="25"/>
      <c r="H2416" s="25"/>
      <c r="I2416" s="95"/>
      <c r="J2416" s="12"/>
      <c r="K2416" s="12"/>
      <c r="L2416" s="13"/>
      <c r="M2416" s="14"/>
      <c r="N2416" s="15"/>
    </row>
    <row r="2417" spans="1:14" s="17" customFormat="1">
      <c r="A2417" s="12"/>
      <c r="B2417" s="13"/>
      <c r="C2417" s="14"/>
      <c r="D2417" s="15"/>
      <c r="E2417" s="16"/>
      <c r="F2417" s="16"/>
      <c r="G2417" s="25"/>
      <c r="H2417" s="25"/>
      <c r="I2417" s="95"/>
      <c r="J2417" s="12"/>
      <c r="K2417" s="12"/>
      <c r="L2417" s="13"/>
      <c r="M2417" s="14"/>
      <c r="N2417" s="15"/>
    </row>
    <row r="2418" spans="1:14" s="17" customFormat="1">
      <c r="A2418" s="12"/>
      <c r="B2418" s="13"/>
      <c r="C2418" s="14"/>
      <c r="D2418" s="15"/>
      <c r="E2418" s="16"/>
      <c r="F2418" s="16"/>
      <c r="G2418" s="25"/>
      <c r="H2418" s="25"/>
      <c r="I2418" s="95"/>
      <c r="J2418" s="12"/>
      <c r="K2418" s="12"/>
      <c r="L2418" s="13"/>
      <c r="M2418" s="14"/>
      <c r="N2418" s="15"/>
    </row>
    <row r="2419" spans="1:14" s="17" customFormat="1">
      <c r="A2419" s="12"/>
      <c r="B2419" s="13"/>
      <c r="C2419" s="14"/>
      <c r="D2419" s="15"/>
      <c r="E2419" s="16"/>
      <c r="F2419" s="16"/>
      <c r="G2419" s="25"/>
      <c r="H2419" s="25"/>
      <c r="I2419" s="95"/>
      <c r="J2419" s="12"/>
      <c r="K2419" s="12"/>
      <c r="L2419" s="13"/>
      <c r="M2419" s="14"/>
      <c r="N2419" s="15"/>
    </row>
    <row r="2420" spans="1:14" s="17" customFormat="1">
      <c r="A2420" s="12"/>
      <c r="B2420" s="13"/>
      <c r="C2420" s="14"/>
      <c r="D2420" s="15"/>
      <c r="E2420" s="16"/>
      <c r="F2420" s="16"/>
      <c r="G2420" s="25"/>
      <c r="H2420" s="25"/>
      <c r="I2420" s="95"/>
      <c r="J2420" s="12"/>
      <c r="K2420" s="12"/>
      <c r="L2420" s="13"/>
      <c r="M2420" s="14"/>
      <c r="N2420" s="15"/>
    </row>
    <row r="2421" spans="1:14" s="17" customFormat="1">
      <c r="A2421" s="12"/>
      <c r="B2421" s="13"/>
      <c r="C2421" s="14"/>
      <c r="D2421" s="15"/>
      <c r="E2421" s="16"/>
      <c r="F2421" s="16"/>
      <c r="G2421" s="25"/>
      <c r="H2421" s="25"/>
      <c r="I2421" s="95"/>
      <c r="J2421" s="12"/>
      <c r="K2421" s="12"/>
      <c r="L2421" s="13"/>
      <c r="M2421" s="14"/>
      <c r="N2421" s="15"/>
    </row>
    <row r="2422" spans="1:14" s="17" customFormat="1">
      <c r="A2422" s="12"/>
      <c r="B2422" s="13"/>
      <c r="C2422" s="14"/>
      <c r="D2422" s="15"/>
      <c r="E2422" s="16"/>
      <c r="F2422" s="16"/>
      <c r="G2422" s="25"/>
      <c r="H2422" s="25"/>
      <c r="I2422" s="95"/>
      <c r="J2422" s="12"/>
      <c r="K2422" s="12"/>
      <c r="L2422" s="13"/>
      <c r="M2422" s="14"/>
      <c r="N2422" s="15"/>
    </row>
    <row r="2423" spans="1:14" s="17" customFormat="1">
      <c r="A2423" s="12"/>
      <c r="B2423" s="13"/>
      <c r="C2423" s="14"/>
      <c r="D2423" s="15"/>
      <c r="E2423" s="16"/>
      <c r="F2423" s="16"/>
      <c r="G2423" s="25"/>
      <c r="H2423" s="25"/>
      <c r="I2423" s="95"/>
      <c r="J2423" s="12"/>
      <c r="K2423" s="12"/>
      <c r="L2423" s="13"/>
      <c r="M2423" s="14"/>
      <c r="N2423" s="15"/>
    </row>
    <row r="2424" spans="1:14" s="17" customFormat="1">
      <c r="A2424" s="12"/>
      <c r="B2424" s="13"/>
      <c r="C2424" s="14"/>
      <c r="D2424" s="15"/>
      <c r="E2424" s="16"/>
      <c r="F2424" s="16"/>
      <c r="G2424" s="25"/>
      <c r="H2424" s="25"/>
      <c r="I2424" s="95"/>
      <c r="J2424" s="12"/>
      <c r="K2424" s="12"/>
      <c r="L2424" s="13"/>
      <c r="M2424" s="14"/>
      <c r="N2424" s="15"/>
    </row>
    <row r="2425" spans="1:14" s="17" customFormat="1">
      <c r="A2425" s="12"/>
      <c r="B2425" s="13"/>
      <c r="C2425" s="14"/>
      <c r="D2425" s="15"/>
      <c r="E2425" s="16"/>
      <c r="F2425" s="16"/>
      <c r="G2425" s="25"/>
      <c r="H2425" s="25"/>
      <c r="I2425" s="95"/>
      <c r="J2425" s="12"/>
      <c r="K2425" s="12"/>
      <c r="L2425" s="13"/>
      <c r="M2425" s="14"/>
      <c r="N2425" s="15"/>
    </row>
    <row r="2426" spans="1:14" s="17" customFormat="1">
      <c r="A2426" s="12"/>
      <c r="B2426" s="13"/>
      <c r="C2426" s="14"/>
      <c r="D2426" s="15"/>
      <c r="E2426" s="16"/>
      <c r="F2426" s="16"/>
      <c r="G2426" s="25"/>
      <c r="H2426" s="25"/>
      <c r="I2426" s="95"/>
      <c r="J2426" s="12"/>
      <c r="K2426" s="12"/>
      <c r="L2426" s="13"/>
      <c r="M2426" s="14"/>
      <c r="N2426" s="15"/>
    </row>
    <row r="2427" spans="1:14" s="17" customFormat="1">
      <c r="A2427" s="12"/>
      <c r="B2427" s="13"/>
      <c r="C2427" s="14"/>
      <c r="D2427" s="15"/>
      <c r="E2427" s="16"/>
      <c r="F2427" s="16"/>
      <c r="G2427" s="25"/>
      <c r="H2427" s="25"/>
      <c r="I2427" s="95"/>
      <c r="J2427" s="12"/>
      <c r="K2427" s="12"/>
      <c r="L2427" s="13"/>
      <c r="M2427" s="14"/>
      <c r="N2427" s="15"/>
    </row>
    <row r="2428" spans="1:14" s="17" customFormat="1">
      <c r="A2428" s="12"/>
      <c r="B2428" s="13"/>
      <c r="C2428" s="14"/>
      <c r="D2428" s="15"/>
      <c r="E2428" s="16"/>
      <c r="F2428" s="16"/>
      <c r="G2428" s="25"/>
      <c r="H2428" s="25"/>
      <c r="I2428" s="95"/>
      <c r="J2428" s="12"/>
      <c r="K2428" s="12"/>
      <c r="L2428" s="13"/>
      <c r="M2428" s="14"/>
      <c r="N2428" s="15"/>
    </row>
    <row r="2429" spans="1:14" s="17" customFormat="1">
      <c r="A2429" s="12"/>
      <c r="B2429" s="13"/>
      <c r="C2429" s="14"/>
      <c r="D2429" s="15"/>
      <c r="E2429" s="16"/>
      <c r="F2429" s="16"/>
      <c r="G2429" s="25"/>
      <c r="H2429" s="25"/>
      <c r="I2429" s="95"/>
      <c r="J2429" s="12"/>
      <c r="K2429" s="12"/>
      <c r="L2429" s="13"/>
      <c r="M2429" s="14"/>
      <c r="N2429" s="15"/>
    </row>
    <row r="2430" spans="1:14" s="17" customFormat="1">
      <c r="A2430" s="12"/>
      <c r="B2430" s="13"/>
      <c r="C2430" s="14"/>
      <c r="D2430" s="15"/>
      <c r="E2430" s="16"/>
      <c r="F2430" s="16"/>
      <c r="G2430" s="25"/>
      <c r="H2430" s="25"/>
      <c r="I2430" s="95"/>
      <c r="J2430" s="12"/>
      <c r="K2430" s="12"/>
      <c r="L2430" s="13"/>
      <c r="M2430" s="14"/>
      <c r="N2430" s="15"/>
    </row>
    <row r="2431" spans="1:14" s="17" customFormat="1">
      <c r="A2431" s="12"/>
      <c r="B2431" s="13"/>
      <c r="C2431" s="14"/>
      <c r="D2431" s="15"/>
      <c r="E2431" s="16"/>
      <c r="F2431" s="16"/>
      <c r="G2431" s="25"/>
      <c r="H2431" s="25"/>
      <c r="I2431" s="95"/>
      <c r="J2431" s="12"/>
      <c r="K2431" s="12"/>
      <c r="L2431" s="13"/>
      <c r="M2431" s="14"/>
      <c r="N2431" s="15"/>
    </row>
    <row r="2432" spans="1:14" s="17" customFormat="1">
      <c r="A2432" s="12"/>
      <c r="B2432" s="13"/>
      <c r="C2432" s="14"/>
      <c r="D2432" s="15"/>
      <c r="E2432" s="16"/>
      <c r="F2432" s="16"/>
      <c r="G2432" s="25"/>
      <c r="H2432" s="25"/>
      <c r="I2432" s="95"/>
      <c r="J2432" s="12"/>
      <c r="K2432" s="12"/>
      <c r="L2432" s="13"/>
      <c r="M2432" s="14"/>
      <c r="N2432" s="15"/>
    </row>
    <row r="2433" spans="1:14" s="17" customFormat="1">
      <c r="A2433" s="12"/>
      <c r="B2433" s="13"/>
      <c r="C2433" s="14"/>
      <c r="D2433" s="15"/>
      <c r="E2433" s="16"/>
      <c r="F2433" s="16"/>
      <c r="G2433" s="25"/>
      <c r="H2433" s="25"/>
      <c r="I2433" s="95"/>
      <c r="J2433" s="12"/>
      <c r="K2433" s="12"/>
      <c r="L2433" s="13"/>
      <c r="M2433" s="14"/>
      <c r="N2433" s="15"/>
    </row>
    <row r="2434" spans="1:14" s="17" customFormat="1">
      <c r="A2434" s="12"/>
      <c r="B2434" s="13"/>
      <c r="C2434" s="14"/>
      <c r="D2434" s="15"/>
      <c r="E2434" s="16"/>
      <c r="F2434" s="16"/>
      <c r="G2434" s="25"/>
      <c r="H2434" s="25"/>
      <c r="I2434" s="95"/>
      <c r="J2434" s="12"/>
      <c r="K2434" s="12"/>
      <c r="L2434" s="13"/>
      <c r="M2434" s="14"/>
      <c r="N2434" s="15"/>
    </row>
    <row r="2435" spans="1:14" s="17" customFormat="1">
      <c r="A2435" s="12"/>
      <c r="B2435" s="13"/>
      <c r="C2435" s="14"/>
      <c r="D2435" s="15"/>
      <c r="E2435" s="16"/>
      <c r="F2435" s="16"/>
      <c r="G2435" s="25"/>
      <c r="H2435" s="25"/>
      <c r="I2435" s="95"/>
      <c r="J2435" s="12"/>
      <c r="K2435" s="12"/>
      <c r="L2435" s="13"/>
      <c r="M2435" s="14"/>
      <c r="N2435" s="15"/>
    </row>
    <row r="2436" spans="1:14" s="17" customFormat="1">
      <c r="A2436" s="12"/>
      <c r="B2436" s="13"/>
      <c r="C2436" s="14"/>
      <c r="D2436" s="15"/>
      <c r="E2436" s="16"/>
      <c r="F2436" s="16"/>
      <c r="G2436" s="25"/>
      <c r="H2436" s="25"/>
      <c r="I2436" s="95"/>
      <c r="J2436" s="12"/>
      <c r="K2436" s="12"/>
      <c r="L2436" s="13"/>
      <c r="M2436" s="14"/>
      <c r="N2436" s="15"/>
    </row>
    <row r="2437" spans="1:14" s="17" customFormat="1">
      <c r="A2437" s="12"/>
      <c r="B2437" s="13"/>
      <c r="C2437" s="14"/>
      <c r="D2437" s="15"/>
      <c r="E2437" s="16"/>
      <c r="F2437" s="16"/>
      <c r="G2437" s="25"/>
      <c r="H2437" s="25"/>
      <c r="I2437" s="95"/>
      <c r="J2437" s="12"/>
      <c r="K2437" s="12"/>
      <c r="L2437" s="13"/>
      <c r="M2437" s="14"/>
      <c r="N2437" s="15"/>
    </row>
    <row r="2438" spans="1:14" s="17" customFormat="1">
      <c r="A2438" s="12"/>
      <c r="B2438" s="13"/>
      <c r="C2438" s="14"/>
      <c r="D2438" s="15"/>
      <c r="E2438" s="16"/>
      <c r="F2438" s="16"/>
      <c r="G2438" s="25"/>
      <c r="H2438" s="25"/>
      <c r="I2438" s="95"/>
      <c r="J2438" s="12"/>
      <c r="K2438" s="12"/>
      <c r="L2438" s="13"/>
      <c r="M2438" s="14"/>
      <c r="N2438" s="15"/>
    </row>
    <row r="2439" spans="1:14" s="17" customFormat="1">
      <c r="A2439" s="12"/>
      <c r="B2439" s="13"/>
      <c r="C2439" s="14"/>
      <c r="D2439" s="15"/>
      <c r="E2439" s="16"/>
      <c r="F2439" s="16"/>
      <c r="G2439" s="25"/>
      <c r="H2439" s="25"/>
      <c r="I2439" s="95"/>
      <c r="J2439" s="12"/>
      <c r="K2439" s="12"/>
      <c r="L2439" s="13"/>
      <c r="M2439" s="14"/>
      <c r="N2439" s="15"/>
    </row>
    <row r="2440" spans="1:14" s="17" customFormat="1">
      <c r="A2440" s="12"/>
      <c r="B2440" s="13"/>
      <c r="C2440" s="14"/>
      <c r="D2440" s="15"/>
      <c r="E2440" s="16"/>
      <c r="F2440" s="16"/>
      <c r="G2440" s="25"/>
      <c r="H2440" s="25"/>
      <c r="I2440" s="95"/>
      <c r="J2440" s="12"/>
      <c r="K2440" s="12"/>
      <c r="L2440" s="13"/>
      <c r="M2440" s="14"/>
      <c r="N2440" s="15"/>
    </row>
    <row r="2441" spans="1:14" s="17" customFormat="1">
      <c r="A2441" s="12"/>
      <c r="B2441" s="13"/>
      <c r="C2441" s="14"/>
      <c r="D2441" s="15"/>
      <c r="E2441" s="16"/>
      <c r="F2441" s="16"/>
      <c r="G2441" s="25"/>
      <c r="H2441" s="25"/>
      <c r="I2441" s="95"/>
      <c r="J2441" s="12"/>
      <c r="K2441" s="12"/>
      <c r="L2441" s="13"/>
      <c r="M2441" s="14"/>
      <c r="N2441" s="15"/>
    </row>
    <row r="2442" spans="1:14" s="17" customFormat="1">
      <c r="A2442" s="12"/>
      <c r="B2442" s="13"/>
      <c r="C2442" s="14"/>
      <c r="D2442" s="15"/>
      <c r="E2442" s="16"/>
      <c r="F2442" s="16"/>
      <c r="G2442" s="25"/>
      <c r="H2442" s="25"/>
      <c r="I2442" s="95"/>
      <c r="J2442" s="12"/>
      <c r="K2442" s="12"/>
      <c r="L2442" s="13"/>
      <c r="M2442" s="14"/>
      <c r="N2442" s="15"/>
    </row>
    <row r="2443" spans="1:14" s="17" customFormat="1">
      <c r="A2443" s="12"/>
      <c r="B2443" s="13"/>
      <c r="C2443" s="14"/>
      <c r="D2443" s="15"/>
      <c r="E2443" s="16"/>
      <c r="F2443" s="16"/>
      <c r="G2443" s="25"/>
      <c r="H2443" s="25"/>
      <c r="I2443" s="95"/>
      <c r="J2443" s="12"/>
      <c r="K2443" s="12"/>
      <c r="L2443" s="13"/>
      <c r="M2443" s="14"/>
      <c r="N2443" s="15"/>
    </row>
    <row r="2444" spans="1:14" s="17" customFormat="1">
      <c r="A2444" s="12"/>
      <c r="B2444" s="13"/>
      <c r="C2444" s="14"/>
      <c r="D2444" s="15"/>
      <c r="E2444" s="16"/>
      <c r="F2444" s="16"/>
      <c r="G2444" s="25"/>
      <c r="H2444" s="25"/>
      <c r="I2444" s="95"/>
      <c r="J2444" s="12"/>
      <c r="K2444" s="12"/>
      <c r="L2444" s="13"/>
      <c r="M2444" s="14"/>
      <c r="N2444" s="15"/>
    </row>
    <row r="2445" spans="1:14" s="17" customFormat="1">
      <c r="A2445" s="12"/>
      <c r="B2445" s="13"/>
      <c r="C2445" s="14"/>
      <c r="D2445" s="15"/>
      <c r="E2445" s="16"/>
      <c r="F2445" s="16"/>
      <c r="G2445" s="25"/>
      <c r="H2445" s="25"/>
      <c r="I2445" s="95"/>
      <c r="J2445" s="12"/>
      <c r="K2445" s="12"/>
      <c r="L2445" s="13"/>
      <c r="M2445" s="14"/>
      <c r="N2445" s="15"/>
    </row>
    <row r="2446" spans="1:14" s="17" customFormat="1">
      <c r="A2446" s="12"/>
      <c r="B2446" s="13"/>
      <c r="C2446" s="14"/>
      <c r="D2446" s="15"/>
      <c r="E2446" s="16"/>
      <c r="F2446" s="16"/>
      <c r="G2446" s="25"/>
      <c r="H2446" s="25"/>
      <c r="I2446" s="95"/>
      <c r="J2446" s="12"/>
      <c r="K2446" s="12"/>
      <c r="L2446" s="13"/>
      <c r="M2446" s="14"/>
      <c r="N2446" s="15"/>
    </row>
    <row r="2447" spans="1:14" s="17" customFormat="1">
      <c r="A2447" s="12"/>
      <c r="B2447" s="13"/>
      <c r="C2447" s="14"/>
      <c r="D2447" s="15"/>
      <c r="E2447" s="16"/>
      <c r="F2447" s="16"/>
      <c r="G2447" s="25"/>
      <c r="H2447" s="25"/>
      <c r="I2447" s="95"/>
      <c r="J2447" s="12"/>
      <c r="K2447" s="12"/>
      <c r="L2447" s="13"/>
      <c r="M2447" s="14"/>
      <c r="N2447" s="15"/>
    </row>
    <row r="2448" spans="1:14" s="17" customFormat="1">
      <c r="A2448" s="12"/>
      <c r="B2448" s="13"/>
      <c r="C2448" s="14"/>
      <c r="D2448" s="15"/>
      <c r="E2448" s="16"/>
      <c r="F2448" s="16"/>
      <c r="G2448" s="25"/>
      <c r="H2448" s="25"/>
      <c r="I2448" s="95"/>
      <c r="J2448" s="12"/>
      <c r="K2448" s="12"/>
      <c r="L2448" s="13"/>
      <c r="M2448" s="14"/>
      <c r="N2448" s="15"/>
    </row>
    <row r="2449" spans="1:14" s="17" customFormat="1">
      <c r="A2449" s="12"/>
      <c r="B2449" s="13"/>
      <c r="C2449" s="14"/>
      <c r="D2449" s="15"/>
      <c r="E2449" s="16"/>
      <c r="F2449" s="16"/>
      <c r="G2449" s="25"/>
      <c r="H2449" s="25"/>
      <c r="I2449" s="95"/>
      <c r="J2449" s="12"/>
      <c r="K2449" s="12"/>
      <c r="L2449" s="13"/>
      <c r="M2449" s="14"/>
      <c r="N2449" s="15"/>
    </row>
    <row r="2450" spans="1:14" s="17" customFormat="1">
      <c r="A2450" s="12"/>
      <c r="B2450" s="13"/>
      <c r="C2450" s="14"/>
      <c r="D2450" s="15"/>
      <c r="E2450" s="16"/>
      <c r="F2450" s="16"/>
      <c r="G2450" s="25"/>
      <c r="H2450" s="25"/>
      <c r="I2450" s="95"/>
      <c r="J2450" s="12"/>
      <c r="K2450" s="12"/>
      <c r="L2450" s="13"/>
      <c r="M2450" s="14"/>
      <c r="N2450" s="15"/>
    </row>
    <row r="2451" spans="1:14" s="17" customFormat="1">
      <c r="A2451" s="12"/>
      <c r="B2451" s="13"/>
      <c r="C2451" s="14"/>
      <c r="D2451" s="15"/>
      <c r="E2451" s="16"/>
      <c r="F2451" s="16"/>
      <c r="G2451" s="25"/>
      <c r="H2451" s="25"/>
      <c r="I2451" s="95"/>
      <c r="J2451" s="12"/>
      <c r="K2451" s="12"/>
      <c r="L2451" s="13"/>
      <c r="M2451" s="14"/>
      <c r="N2451" s="15"/>
    </row>
    <row r="2452" spans="1:14" s="17" customFormat="1">
      <c r="A2452" s="12"/>
      <c r="B2452" s="13"/>
      <c r="C2452" s="14"/>
      <c r="D2452" s="15"/>
      <c r="E2452" s="16"/>
      <c r="F2452" s="16"/>
      <c r="G2452" s="25"/>
      <c r="H2452" s="25"/>
      <c r="I2452" s="95"/>
      <c r="J2452" s="12"/>
      <c r="K2452" s="12"/>
      <c r="L2452" s="13"/>
      <c r="M2452" s="14"/>
      <c r="N2452" s="15"/>
    </row>
    <row r="2453" spans="1:14" s="17" customFormat="1">
      <c r="A2453" s="12"/>
      <c r="B2453" s="13"/>
      <c r="C2453" s="14"/>
      <c r="D2453" s="15"/>
      <c r="E2453" s="16"/>
      <c r="F2453" s="16"/>
      <c r="G2453" s="25"/>
      <c r="H2453" s="25"/>
      <c r="I2453" s="95"/>
      <c r="J2453" s="12"/>
      <c r="K2453" s="12"/>
      <c r="L2453" s="13"/>
      <c r="M2453" s="14"/>
      <c r="N2453" s="15"/>
    </row>
    <row r="2454" spans="1:14" s="17" customFormat="1">
      <c r="A2454" s="12"/>
      <c r="B2454" s="13"/>
      <c r="C2454" s="14"/>
      <c r="D2454" s="15"/>
      <c r="E2454" s="16"/>
      <c r="F2454" s="16"/>
      <c r="G2454" s="25"/>
      <c r="H2454" s="25"/>
      <c r="I2454" s="95"/>
      <c r="J2454" s="12"/>
      <c r="K2454" s="12"/>
      <c r="L2454" s="13"/>
      <c r="M2454" s="14"/>
      <c r="N2454" s="15"/>
    </row>
    <row r="2455" spans="1:14" s="17" customFormat="1">
      <c r="A2455" s="12"/>
      <c r="B2455" s="13"/>
      <c r="C2455" s="14"/>
      <c r="D2455" s="15"/>
      <c r="E2455" s="16"/>
      <c r="F2455" s="16"/>
      <c r="G2455" s="25"/>
      <c r="H2455" s="25"/>
      <c r="I2455" s="95"/>
      <c r="J2455" s="12"/>
      <c r="K2455" s="12"/>
      <c r="L2455" s="13"/>
      <c r="M2455" s="14"/>
      <c r="N2455" s="15"/>
    </row>
    <row r="2456" spans="1:14" s="17" customFormat="1">
      <c r="A2456" s="12"/>
      <c r="B2456" s="13"/>
      <c r="C2456" s="14"/>
      <c r="D2456" s="15"/>
      <c r="E2456" s="16"/>
      <c r="F2456" s="16"/>
      <c r="G2456" s="25"/>
      <c r="H2456" s="25"/>
      <c r="I2456" s="95"/>
      <c r="J2456" s="12"/>
      <c r="K2456" s="12"/>
      <c r="L2456" s="13"/>
      <c r="M2456" s="14"/>
      <c r="N2456" s="15"/>
    </row>
    <row r="2457" spans="1:14" s="17" customFormat="1">
      <c r="A2457" s="12"/>
      <c r="B2457" s="13"/>
      <c r="C2457" s="14"/>
      <c r="D2457" s="15"/>
      <c r="E2457" s="16"/>
      <c r="F2457" s="16"/>
      <c r="G2457" s="25"/>
      <c r="H2457" s="25"/>
      <c r="I2457" s="95"/>
      <c r="J2457" s="12"/>
      <c r="K2457" s="12"/>
      <c r="L2457" s="13"/>
      <c r="M2457" s="14"/>
      <c r="N2457" s="15"/>
    </row>
    <row r="2458" spans="1:14" s="17" customFormat="1">
      <c r="A2458" s="12"/>
      <c r="B2458" s="13"/>
      <c r="C2458" s="14"/>
      <c r="D2458" s="15"/>
      <c r="E2458" s="16"/>
      <c r="F2458" s="16"/>
      <c r="G2458" s="25"/>
      <c r="H2458" s="25"/>
      <c r="I2458" s="95"/>
      <c r="J2458" s="12"/>
      <c r="K2458" s="12"/>
      <c r="L2458" s="13"/>
      <c r="M2458" s="14"/>
      <c r="N2458" s="15"/>
    </row>
    <row r="2459" spans="1:14" s="17" customFormat="1">
      <c r="A2459" s="12"/>
      <c r="B2459" s="13"/>
      <c r="C2459" s="14"/>
      <c r="D2459" s="15"/>
      <c r="E2459" s="16"/>
      <c r="F2459" s="16"/>
      <c r="G2459" s="25"/>
      <c r="H2459" s="25"/>
      <c r="I2459" s="95"/>
      <c r="J2459" s="12"/>
      <c r="K2459" s="12"/>
      <c r="L2459" s="13"/>
      <c r="M2459" s="14"/>
      <c r="N2459" s="15"/>
    </row>
    <row r="2460" spans="1:14" s="17" customFormat="1">
      <c r="A2460" s="12"/>
      <c r="B2460" s="13"/>
      <c r="C2460" s="14"/>
      <c r="D2460" s="15"/>
      <c r="E2460" s="16"/>
      <c r="F2460" s="16"/>
      <c r="G2460" s="25"/>
      <c r="H2460" s="25"/>
      <c r="I2460" s="95"/>
      <c r="J2460" s="12"/>
      <c r="K2460" s="12"/>
      <c r="L2460" s="13"/>
      <c r="M2460" s="14"/>
      <c r="N2460" s="15"/>
    </row>
    <row r="2461" spans="1:14" s="17" customFormat="1">
      <c r="A2461" s="12"/>
      <c r="B2461" s="13"/>
      <c r="C2461" s="14"/>
      <c r="D2461" s="15"/>
      <c r="E2461" s="16"/>
      <c r="F2461" s="16"/>
      <c r="G2461" s="25"/>
      <c r="H2461" s="25"/>
      <c r="I2461" s="95"/>
      <c r="J2461" s="12"/>
      <c r="K2461" s="12"/>
      <c r="L2461" s="13"/>
      <c r="M2461" s="14"/>
      <c r="N2461" s="15"/>
    </row>
    <row r="2462" spans="1:14" s="17" customFormat="1">
      <c r="A2462" s="12"/>
      <c r="B2462" s="13"/>
      <c r="C2462" s="14"/>
      <c r="D2462" s="15"/>
      <c r="E2462" s="16"/>
      <c r="F2462" s="16"/>
      <c r="G2462" s="25"/>
      <c r="H2462" s="25"/>
      <c r="I2462" s="95"/>
      <c r="J2462" s="12"/>
      <c r="K2462" s="12"/>
      <c r="L2462" s="13"/>
      <c r="M2462" s="14"/>
      <c r="N2462" s="15"/>
    </row>
    <row r="2463" spans="1:14" s="17" customFormat="1">
      <c r="A2463" s="12"/>
      <c r="B2463" s="13"/>
      <c r="C2463" s="14"/>
      <c r="D2463" s="15"/>
      <c r="E2463" s="16"/>
      <c r="F2463" s="16"/>
      <c r="G2463" s="25"/>
      <c r="H2463" s="25"/>
      <c r="I2463" s="95"/>
      <c r="J2463" s="12"/>
      <c r="K2463" s="12"/>
      <c r="L2463" s="13"/>
      <c r="M2463" s="14"/>
      <c r="N2463" s="15"/>
    </row>
    <row r="2464" spans="1:14" s="17" customFormat="1">
      <c r="A2464" s="12"/>
      <c r="B2464" s="13"/>
      <c r="C2464" s="14"/>
      <c r="D2464" s="15"/>
      <c r="E2464" s="16"/>
      <c r="F2464" s="16"/>
      <c r="G2464" s="25"/>
      <c r="H2464" s="25"/>
      <c r="I2464" s="95"/>
      <c r="J2464" s="12"/>
      <c r="K2464" s="12"/>
      <c r="L2464" s="13"/>
      <c r="M2464" s="14"/>
      <c r="N2464" s="15"/>
    </row>
    <row r="2465" spans="1:14" s="17" customFormat="1">
      <c r="A2465" s="12"/>
      <c r="B2465" s="13"/>
      <c r="C2465" s="14"/>
      <c r="D2465" s="15"/>
      <c r="E2465" s="16"/>
      <c r="F2465" s="16"/>
      <c r="G2465" s="25"/>
      <c r="H2465" s="25"/>
      <c r="I2465" s="95"/>
      <c r="J2465" s="12"/>
      <c r="K2465" s="12"/>
      <c r="L2465" s="13"/>
      <c r="M2465" s="14"/>
      <c r="N2465" s="15"/>
    </row>
    <row r="2466" spans="1:14" s="17" customFormat="1">
      <c r="A2466" s="12"/>
      <c r="B2466" s="13"/>
      <c r="C2466" s="14"/>
      <c r="D2466" s="15"/>
      <c r="E2466" s="16"/>
      <c r="F2466" s="16"/>
      <c r="G2466" s="25"/>
      <c r="H2466" s="25"/>
      <c r="I2466" s="95"/>
      <c r="J2466" s="12"/>
      <c r="K2466" s="12"/>
      <c r="L2466" s="13"/>
      <c r="M2466" s="14"/>
      <c r="N2466" s="15"/>
    </row>
    <row r="2469" spans="1:14" s="34" customFormat="1">
      <c r="A2469" s="12"/>
      <c r="B2469" s="13"/>
      <c r="C2469" s="14"/>
      <c r="D2469" s="15"/>
      <c r="E2469" s="16"/>
      <c r="F2469" s="16"/>
      <c r="G2469" s="25"/>
      <c r="H2469" s="25"/>
      <c r="I2469" s="95"/>
      <c r="J2469" s="12"/>
      <c r="K2469" s="12"/>
      <c r="L2469" s="13"/>
      <c r="M2469" s="14"/>
      <c r="N2469" s="15"/>
    </row>
  </sheetData>
  <mergeCells count="441">
    <mergeCell ref="E604:F604"/>
    <mergeCell ref="E605:F605"/>
    <mergeCell ref="E606:F606"/>
    <mergeCell ref="E607:F607"/>
    <mergeCell ref="E608:F608"/>
    <mergeCell ref="E609:F609"/>
    <mergeCell ref="D169:F169"/>
    <mergeCell ref="D170:F170"/>
    <mergeCell ref="D171:F171"/>
    <mergeCell ref="D172:F172"/>
    <mergeCell ref="D173:F173"/>
    <mergeCell ref="D174:F174"/>
    <mergeCell ref="D175:F175"/>
    <mergeCell ref="D176:F176"/>
    <mergeCell ref="A285:D285"/>
    <mergeCell ref="A540:F540"/>
    <mergeCell ref="A541:F541"/>
    <mergeCell ref="A542:F542"/>
    <mergeCell ref="A543:F543"/>
    <mergeCell ref="A544:F546"/>
    <mergeCell ref="A547:F547"/>
    <mergeCell ref="A602:F602"/>
    <mergeCell ref="A603:F603"/>
    <mergeCell ref="A565:F565"/>
    <mergeCell ref="A566:F566"/>
    <mergeCell ref="A567:F567"/>
    <mergeCell ref="A568:F568"/>
    <mergeCell ref="A569:F569"/>
    <mergeCell ref="A570:F570"/>
    <mergeCell ref="A571:F571"/>
    <mergeCell ref="A572:F572"/>
    <mergeCell ref="A573:F573"/>
    <mergeCell ref="E592:F592"/>
    <mergeCell ref="E431:F431"/>
    <mergeCell ref="E432:F432"/>
    <mergeCell ref="E433:F433"/>
    <mergeCell ref="E434:F434"/>
    <mergeCell ref="E449:F449"/>
    <mergeCell ref="E450:F450"/>
    <mergeCell ref="E451:F451"/>
    <mergeCell ref="E452:F452"/>
    <mergeCell ref="B465:F465"/>
    <mergeCell ref="A462:F462"/>
    <mergeCell ref="A612:F612"/>
    <mergeCell ref="A574:F574"/>
    <mergeCell ref="A575:F575"/>
    <mergeCell ref="A593:F593"/>
    <mergeCell ref="A598:F598"/>
    <mergeCell ref="A599:F599"/>
    <mergeCell ref="A600:F600"/>
    <mergeCell ref="E578:F578"/>
    <mergeCell ref="E579:F579"/>
    <mergeCell ref="E580:F580"/>
    <mergeCell ref="E581:F581"/>
    <mergeCell ref="E582:F582"/>
    <mergeCell ref="E583:F583"/>
    <mergeCell ref="E584:F584"/>
    <mergeCell ref="E585:F585"/>
    <mergeCell ref="E586:F586"/>
    <mergeCell ref="E587:F587"/>
    <mergeCell ref="E588:F588"/>
    <mergeCell ref="E589:F589"/>
    <mergeCell ref="E590:F590"/>
    <mergeCell ref="E591:F591"/>
    <mergeCell ref="E610:F610"/>
    <mergeCell ref="E611:F611"/>
    <mergeCell ref="A601:F601"/>
    <mergeCell ref="A558:F558"/>
    <mergeCell ref="A563:F563"/>
    <mergeCell ref="A564:F564"/>
    <mergeCell ref="E548:F548"/>
    <mergeCell ref="E549:F549"/>
    <mergeCell ref="E550:F550"/>
    <mergeCell ref="E551:F551"/>
    <mergeCell ref="E552:F552"/>
    <mergeCell ref="E553:F553"/>
    <mergeCell ref="E554:F554"/>
    <mergeCell ref="E555:F555"/>
    <mergeCell ref="E556:F556"/>
    <mergeCell ref="E557:F557"/>
    <mergeCell ref="A531:F531"/>
    <mergeCell ref="A532:F532"/>
    <mergeCell ref="A533:F533"/>
    <mergeCell ref="A534:F534"/>
    <mergeCell ref="A535:F535"/>
    <mergeCell ref="A536:F536"/>
    <mergeCell ref="A537:F537"/>
    <mergeCell ref="A538:F538"/>
    <mergeCell ref="A539:F539"/>
    <mergeCell ref="A519:F519"/>
    <mergeCell ref="A520:F520"/>
    <mergeCell ref="A521:F521"/>
    <mergeCell ref="A522:F522"/>
    <mergeCell ref="A523:F523"/>
    <mergeCell ref="A524:F524"/>
    <mergeCell ref="A525:F525"/>
    <mergeCell ref="A526:F526"/>
    <mergeCell ref="A527:F527"/>
    <mergeCell ref="A490:F490"/>
    <mergeCell ref="A491:F491"/>
    <mergeCell ref="A492:F492"/>
    <mergeCell ref="A497:F497"/>
    <mergeCell ref="A498:F498"/>
    <mergeCell ref="A499:F499"/>
    <mergeCell ref="A500:F500"/>
    <mergeCell ref="A501:F501"/>
    <mergeCell ref="A518:F518"/>
    <mergeCell ref="E503:F503"/>
    <mergeCell ref="E504:F504"/>
    <mergeCell ref="E505:F505"/>
    <mergeCell ref="E506:F506"/>
    <mergeCell ref="E507:F507"/>
    <mergeCell ref="E508:F508"/>
    <mergeCell ref="E509:F509"/>
    <mergeCell ref="E510:F510"/>
    <mergeCell ref="E511:F511"/>
    <mergeCell ref="E512:F512"/>
    <mergeCell ref="E513:F513"/>
    <mergeCell ref="E514:F514"/>
    <mergeCell ref="E515:F515"/>
    <mergeCell ref="E516:F516"/>
    <mergeCell ref="E517:F517"/>
    <mergeCell ref="A476:F476"/>
    <mergeCell ref="A477:F477"/>
    <mergeCell ref="A478:F478"/>
    <mergeCell ref="A484:F484"/>
    <mergeCell ref="A485:F485"/>
    <mergeCell ref="A486:F486"/>
    <mergeCell ref="A487:F487"/>
    <mergeCell ref="A488:F488"/>
    <mergeCell ref="A489:F489"/>
    <mergeCell ref="E480:F480"/>
    <mergeCell ref="E481:F481"/>
    <mergeCell ref="E482:F482"/>
    <mergeCell ref="E483:F483"/>
    <mergeCell ref="A469:F469"/>
    <mergeCell ref="A470:F470"/>
    <mergeCell ref="A471:F471"/>
    <mergeCell ref="A448:F448"/>
    <mergeCell ref="A453:F453"/>
    <mergeCell ref="A458:F458"/>
    <mergeCell ref="A459:F459"/>
    <mergeCell ref="A460:F460"/>
    <mergeCell ref="B467:F467"/>
    <mergeCell ref="B466:F466"/>
    <mergeCell ref="A416:F416"/>
    <mergeCell ref="A435:F435"/>
    <mergeCell ref="A439:F439"/>
    <mergeCell ref="A440:F440"/>
    <mergeCell ref="A441:F441"/>
    <mergeCell ref="A461:F461"/>
    <mergeCell ref="A442:F442"/>
    <mergeCell ref="A443:F443"/>
    <mergeCell ref="A444:F444"/>
    <mergeCell ref="A445:F445"/>
    <mergeCell ref="A446:F446"/>
    <mergeCell ref="A447:F447"/>
    <mergeCell ref="E419:F419"/>
    <mergeCell ref="E420:F420"/>
    <mergeCell ref="E421:F421"/>
    <mergeCell ref="E422:F422"/>
    <mergeCell ref="E423:F423"/>
    <mergeCell ref="E424:F424"/>
    <mergeCell ref="E425:F425"/>
    <mergeCell ref="E426:F426"/>
    <mergeCell ref="E427:F427"/>
    <mergeCell ref="E428:F428"/>
    <mergeCell ref="E429:F429"/>
    <mergeCell ref="E430:F430"/>
    <mergeCell ref="A407:F407"/>
    <mergeCell ref="A408:F408"/>
    <mergeCell ref="A409:F409"/>
    <mergeCell ref="A410:F410"/>
    <mergeCell ref="A411:F411"/>
    <mergeCell ref="A412:F412"/>
    <mergeCell ref="A413:F413"/>
    <mergeCell ref="A414:F414"/>
    <mergeCell ref="A415:F415"/>
    <mergeCell ref="A398:F398"/>
    <mergeCell ref="A399:F399"/>
    <mergeCell ref="A400:F400"/>
    <mergeCell ref="A401:F401"/>
    <mergeCell ref="A402:F402"/>
    <mergeCell ref="A403:F403"/>
    <mergeCell ref="A404:F404"/>
    <mergeCell ref="A405:F405"/>
    <mergeCell ref="A406:F406"/>
    <mergeCell ref="A386:F386"/>
    <mergeCell ref="A387:F387"/>
    <mergeCell ref="A388:F388"/>
    <mergeCell ref="A389:F389"/>
    <mergeCell ref="A390:F390"/>
    <mergeCell ref="A391:F391"/>
    <mergeCell ref="A392:F392"/>
    <mergeCell ref="A393:F393"/>
    <mergeCell ref="A397:F397"/>
    <mergeCell ref="A366:F366"/>
    <mergeCell ref="A367:F367"/>
    <mergeCell ref="A368:F368"/>
    <mergeCell ref="A369:F369"/>
    <mergeCell ref="A370:F370"/>
    <mergeCell ref="A382:F382"/>
    <mergeCell ref="A383:F383"/>
    <mergeCell ref="A384:F384"/>
    <mergeCell ref="A385:F385"/>
    <mergeCell ref="E372:F372"/>
    <mergeCell ref="E373:F373"/>
    <mergeCell ref="E374:F374"/>
    <mergeCell ref="E375:F375"/>
    <mergeCell ref="E376:F376"/>
    <mergeCell ref="E377:F377"/>
    <mergeCell ref="E378:F378"/>
    <mergeCell ref="E379:F379"/>
    <mergeCell ref="E380:F380"/>
    <mergeCell ref="E371:F371"/>
    <mergeCell ref="E381:F381"/>
    <mergeCell ref="A353:F353"/>
    <mergeCell ref="A354:F354"/>
    <mergeCell ref="A355:F355"/>
    <mergeCell ref="A356:F356"/>
    <mergeCell ref="A357:F357"/>
    <mergeCell ref="A362:F362"/>
    <mergeCell ref="A363:F363"/>
    <mergeCell ref="A364:F364"/>
    <mergeCell ref="A365:F365"/>
    <mergeCell ref="A332:F332"/>
    <mergeCell ref="A333:F333"/>
    <mergeCell ref="A346:F346"/>
    <mergeCell ref="A347:F347"/>
    <mergeCell ref="A348:F348"/>
    <mergeCell ref="A349:F349"/>
    <mergeCell ref="A350:F350"/>
    <mergeCell ref="A351:F351"/>
    <mergeCell ref="A352:F352"/>
    <mergeCell ref="E335:F335"/>
    <mergeCell ref="E336:F336"/>
    <mergeCell ref="E337:F337"/>
    <mergeCell ref="E338:F338"/>
    <mergeCell ref="E339:F339"/>
    <mergeCell ref="E340:F340"/>
    <mergeCell ref="E341:F341"/>
    <mergeCell ref="E342:F342"/>
    <mergeCell ref="E343:F343"/>
    <mergeCell ref="E344:F344"/>
    <mergeCell ref="E334:F334"/>
    <mergeCell ref="A319:F319"/>
    <mergeCell ref="A320:F320"/>
    <mergeCell ref="A321:F321"/>
    <mergeCell ref="A322:F322"/>
    <mergeCell ref="A323:F323"/>
    <mergeCell ref="A324:F324"/>
    <mergeCell ref="A325:F325"/>
    <mergeCell ref="A330:F330"/>
    <mergeCell ref="A331:F331"/>
    <mergeCell ref="A307:F307"/>
    <mergeCell ref="A308:F308"/>
    <mergeCell ref="A309:F309"/>
    <mergeCell ref="A310:F310"/>
    <mergeCell ref="A312:F312"/>
    <mergeCell ref="A315:F315"/>
    <mergeCell ref="A316:F316"/>
    <mergeCell ref="A317:F317"/>
    <mergeCell ref="A318:F318"/>
    <mergeCell ref="A277:F277"/>
    <mergeCell ref="A279:F279"/>
    <mergeCell ref="A298:F298"/>
    <mergeCell ref="A299:F299"/>
    <mergeCell ref="A300:F300"/>
    <mergeCell ref="A305:F305"/>
    <mergeCell ref="A306:F306"/>
    <mergeCell ref="A301:F301"/>
    <mergeCell ref="A302:F302"/>
    <mergeCell ref="A303:F303"/>
    <mergeCell ref="A304:F304"/>
    <mergeCell ref="A260:F260"/>
    <mergeCell ref="A262:F262"/>
    <mergeCell ref="A263:F263"/>
    <mergeCell ref="A268:F268"/>
    <mergeCell ref="A269:F269"/>
    <mergeCell ref="A270:F270"/>
    <mergeCell ref="A271:F271"/>
    <mergeCell ref="A272:F272"/>
    <mergeCell ref="A276:F276"/>
    <mergeCell ref="A264:F264"/>
    <mergeCell ref="A265:F265"/>
    <mergeCell ref="A266:F266"/>
    <mergeCell ref="A267:F267"/>
    <mergeCell ref="A249:F249"/>
    <mergeCell ref="A250:F250"/>
    <mergeCell ref="A251:F251"/>
    <mergeCell ref="A253:F253"/>
    <mergeCell ref="A254:F254"/>
    <mergeCell ref="A255:F255"/>
    <mergeCell ref="A256:F256"/>
    <mergeCell ref="A258:F258"/>
    <mergeCell ref="A259:F259"/>
    <mergeCell ref="A237:F237"/>
    <mergeCell ref="A238:F238"/>
    <mergeCell ref="A239:F239"/>
    <mergeCell ref="A241:F241"/>
    <mergeCell ref="A242:F242"/>
    <mergeCell ref="A244:F244"/>
    <mergeCell ref="A245:F245"/>
    <mergeCell ref="A246:F246"/>
    <mergeCell ref="A247:F247"/>
    <mergeCell ref="A226:F226"/>
    <mergeCell ref="A228:F228"/>
    <mergeCell ref="A229:F229"/>
    <mergeCell ref="A230:F230"/>
    <mergeCell ref="A231:F231"/>
    <mergeCell ref="A232:F232"/>
    <mergeCell ref="A233:F233"/>
    <mergeCell ref="A234:F234"/>
    <mergeCell ref="A235:F235"/>
    <mergeCell ref="A216:F216"/>
    <mergeCell ref="A217:F217"/>
    <mergeCell ref="A219:F219"/>
    <mergeCell ref="A220:F220"/>
    <mergeCell ref="A221:F221"/>
    <mergeCell ref="A222:F222"/>
    <mergeCell ref="A223:F223"/>
    <mergeCell ref="A224:F224"/>
    <mergeCell ref="A225:F225"/>
    <mergeCell ref="A206:F206"/>
    <mergeCell ref="A207:F207"/>
    <mergeCell ref="A208:F208"/>
    <mergeCell ref="A209:F209"/>
    <mergeCell ref="A210:F210"/>
    <mergeCell ref="A211:F211"/>
    <mergeCell ref="A212:F212"/>
    <mergeCell ref="A214:F214"/>
    <mergeCell ref="A215:F215"/>
    <mergeCell ref="A194:F194"/>
    <mergeCell ref="A195:F195"/>
    <mergeCell ref="A197:F197"/>
    <mergeCell ref="A198:F198"/>
    <mergeCell ref="A138:F138"/>
    <mergeCell ref="A180:F180"/>
    <mergeCell ref="A181:F181"/>
    <mergeCell ref="A187:F187"/>
    <mergeCell ref="A189:F189"/>
    <mergeCell ref="A192:F192"/>
    <mergeCell ref="A196:F196"/>
    <mergeCell ref="A191:F191"/>
    <mergeCell ref="A136:F136"/>
    <mergeCell ref="A137:F137"/>
    <mergeCell ref="A193:F193"/>
    <mergeCell ref="A163:C163"/>
    <mergeCell ref="D159:F159"/>
    <mergeCell ref="D160:F160"/>
    <mergeCell ref="D161:F161"/>
    <mergeCell ref="D162:F162"/>
    <mergeCell ref="D163:F163"/>
    <mergeCell ref="D164:F164"/>
    <mergeCell ref="D165:F165"/>
    <mergeCell ref="D166:F166"/>
    <mergeCell ref="D167:F167"/>
    <mergeCell ref="D168:F168"/>
    <mergeCell ref="A98:F98"/>
    <mergeCell ref="B103:D103"/>
    <mergeCell ref="A124:F124"/>
    <mergeCell ref="A99:D99"/>
    <mergeCell ref="A126:F126"/>
    <mergeCell ref="A127:F127"/>
    <mergeCell ref="A129:F129"/>
    <mergeCell ref="A130:F130"/>
    <mergeCell ref="A131:F131"/>
    <mergeCell ref="A82:F82"/>
    <mergeCell ref="A84:F84"/>
    <mergeCell ref="A85:F85"/>
    <mergeCell ref="A87:F87"/>
    <mergeCell ref="A89:F89"/>
    <mergeCell ref="A90:F90"/>
    <mergeCell ref="A91:F91"/>
    <mergeCell ref="A92:F92"/>
    <mergeCell ref="A97:F97"/>
    <mergeCell ref="A70:F70"/>
    <mergeCell ref="A71:F71"/>
    <mergeCell ref="A72:F72"/>
    <mergeCell ref="A73:F73"/>
    <mergeCell ref="A75:F75"/>
    <mergeCell ref="A76:F76"/>
    <mergeCell ref="A77:F77"/>
    <mergeCell ref="A78:F78"/>
    <mergeCell ref="A80:F80"/>
    <mergeCell ref="A61:F61"/>
    <mergeCell ref="A62:F62"/>
    <mergeCell ref="A54:F54"/>
    <mergeCell ref="A63:F63"/>
    <mergeCell ref="A64:F64"/>
    <mergeCell ref="A66:F66"/>
    <mergeCell ref="A67:F67"/>
    <mergeCell ref="A68:F68"/>
    <mergeCell ref="A69:F69"/>
    <mergeCell ref="A50:F50"/>
    <mergeCell ref="A51:F51"/>
    <mergeCell ref="A52:F52"/>
    <mergeCell ref="A53:F53"/>
    <mergeCell ref="A55:F55"/>
    <mergeCell ref="A56:F56"/>
    <mergeCell ref="A57:F57"/>
    <mergeCell ref="A58:F58"/>
    <mergeCell ref="A59:F59"/>
    <mergeCell ref="A4:F4"/>
    <mergeCell ref="A5:F5"/>
    <mergeCell ref="A6:F6"/>
    <mergeCell ref="B9:D9"/>
    <mergeCell ref="A7:F7"/>
    <mergeCell ref="A8:F8"/>
    <mergeCell ref="B18:F18"/>
    <mergeCell ref="A41:F41"/>
    <mergeCell ref="A40:F40"/>
    <mergeCell ref="B10:F10"/>
    <mergeCell ref="B11:F11"/>
    <mergeCell ref="B15:F15"/>
    <mergeCell ref="B16:F16"/>
    <mergeCell ref="A34:F34"/>
    <mergeCell ref="A199:F199"/>
    <mergeCell ref="A200:F200"/>
    <mergeCell ref="A201:F201"/>
    <mergeCell ref="B12:D12"/>
    <mergeCell ref="B13:D13"/>
    <mergeCell ref="B14:D14"/>
    <mergeCell ref="B17:D17"/>
    <mergeCell ref="B19:D19"/>
    <mergeCell ref="B20:D20"/>
    <mergeCell ref="B21:D21"/>
    <mergeCell ref="B22:D22"/>
    <mergeCell ref="B26:D26"/>
    <mergeCell ref="B27:D27"/>
    <mergeCell ref="B28:D28"/>
    <mergeCell ref="A30:F30"/>
    <mergeCell ref="A31:F31"/>
    <mergeCell ref="A32:F32"/>
    <mergeCell ref="A37:F37"/>
    <mergeCell ref="A38:F38"/>
    <mergeCell ref="A39:F39"/>
    <mergeCell ref="A42:F42"/>
    <mergeCell ref="A43:F43"/>
    <mergeCell ref="A44:F44"/>
    <mergeCell ref="A45:F45"/>
  </mergeCells>
  <phoneticPr fontId="0" type="noConversion"/>
  <pageMargins left="0.78740157480314965" right="0.70866141732283472" top="2.1653543307086616" bottom="0.94488188976377963" header="0.62992125984251968" footer="0.51181102362204722"/>
  <pageSetup paperSize="9" scale="79" fitToHeight="0" orientation="portrait" useFirstPageNumber="1" r:id="rId1"/>
  <headerFooter scaleWithDoc="0" alignWithMargins="0">
    <oddHeader>&amp;L&amp;G&amp;C&amp;"Helvetica,Regular"&amp;8
SVEUČILIŠTE U ZAGREBU
&amp;"Helvetica,Bold"ZGRADA SVEUČILIŠTA U 
ZAGREBU I PRAVNOG FAKULTETA
GRAĐEVINSKI I OBRTNIČKI RADOVI&amp;R
&amp;"Helvetica,Regular"&amp;8lokacija: k.č. 2142 k.o. Centar; Grad Zagreb
datum: lipanj 2023.</oddHeader>
    <oddFooter>&amp;L&amp;"Helvetica,Regular"&amp;8             mapa: 08                         zop: 55/2023-UI &amp;C&amp;"Helvetica,Regular"&amp;8                                       bp: 55/2023-ARH                       rev:04&amp;R&amp;"Helvetica,Regular"&amp;8list:&amp;P</oddFooter>
  </headerFooter>
  <rowBreaks count="5" manualBreakCount="5">
    <brk id="34" max="5" man="1"/>
    <brk id="94" max="5" man="1"/>
    <brk id="133" max="5" man="1"/>
    <brk id="177" max="5" man="1"/>
    <brk id="212" max="5" man="1"/>
  </rowBreak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pageSetUpPr fitToPage="1"/>
  </sheetPr>
  <dimension ref="A1:H1028"/>
  <sheetViews>
    <sheetView showZeros="0" tabSelected="1" topLeftCell="A109" zoomScale="130" zoomScaleNormal="130" zoomScaleSheetLayoutView="130" workbookViewId="0">
      <selection activeCell="E104" sqref="E104"/>
    </sheetView>
  </sheetViews>
  <sheetFormatPr defaultColWidth="9.140625" defaultRowHeight="12.75"/>
  <cols>
    <col min="1" max="1" width="8.7109375" style="192" customWidth="1"/>
    <col min="2" max="2" width="60.7109375" style="104" customWidth="1"/>
    <col min="3" max="3" width="10.7109375" style="175" customWidth="1"/>
    <col min="4" max="4" width="11.140625" style="136" customWidth="1"/>
    <col min="5" max="5" width="13.7109375" style="138" customWidth="1"/>
    <col min="6" max="6" width="15.85546875" style="176" customWidth="1"/>
    <col min="7" max="7" width="18.42578125" style="102" customWidth="1"/>
    <col min="8" max="16384" width="9.140625" style="102"/>
  </cols>
  <sheetData>
    <row r="1" spans="1:6" s="96" customFormat="1" ht="12.75" customHeight="1">
      <c r="A1" s="252" t="s">
        <v>617</v>
      </c>
      <c r="B1" s="258" t="s">
        <v>618</v>
      </c>
      <c r="C1" s="258" t="s">
        <v>619</v>
      </c>
      <c r="D1" s="254" t="s">
        <v>622</v>
      </c>
      <c r="E1" s="254" t="s">
        <v>620</v>
      </c>
      <c r="F1" s="256" t="s">
        <v>621</v>
      </c>
    </row>
    <row r="2" spans="1:6" s="96" customFormat="1">
      <c r="A2" s="253"/>
      <c r="B2" s="253"/>
      <c r="C2" s="259"/>
      <c r="D2" s="255"/>
      <c r="E2" s="255"/>
      <c r="F2" s="257"/>
    </row>
    <row r="3" spans="1:6" s="96" customFormat="1">
      <c r="A3" s="178"/>
      <c r="C3" s="97"/>
      <c r="D3" s="98"/>
      <c r="E3" s="152"/>
      <c r="F3" s="202"/>
    </row>
    <row r="4" spans="1:6" s="96" customFormat="1">
      <c r="A4" s="178"/>
      <c r="C4" s="97"/>
      <c r="D4" s="98"/>
      <c r="E4" s="152"/>
      <c r="F4" s="202"/>
    </row>
    <row r="5" spans="1:6" ht="15.75">
      <c r="A5" s="201" t="s">
        <v>701</v>
      </c>
      <c r="B5" s="99"/>
      <c r="C5" s="100"/>
      <c r="D5" s="101"/>
      <c r="E5" s="207"/>
      <c r="F5" s="214"/>
    </row>
    <row r="6" spans="1:6">
      <c r="A6" s="179"/>
      <c r="C6" s="105"/>
      <c r="D6" s="106"/>
      <c r="E6" s="137"/>
      <c r="F6" s="139"/>
    </row>
    <row r="7" spans="1:6" s="109" customFormat="1">
      <c r="A7" s="179" t="s">
        <v>54</v>
      </c>
      <c r="B7" s="103"/>
      <c r="C7" s="107"/>
      <c r="D7" s="108"/>
      <c r="E7" s="108"/>
      <c r="F7" s="173"/>
    </row>
    <row r="8" spans="1:6" s="109" customFormat="1">
      <c r="A8" s="180"/>
      <c r="B8" s="110"/>
      <c r="C8" s="111"/>
      <c r="D8" s="112"/>
      <c r="E8" s="152"/>
      <c r="F8" s="202"/>
    </row>
    <row r="9" spans="1:6" s="109" customFormat="1" ht="177.75" customHeight="1">
      <c r="A9" s="181"/>
      <c r="B9" s="114" t="s">
        <v>700</v>
      </c>
      <c r="C9" s="115"/>
      <c r="D9" s="115"/>
      <c r="E9" s="152"/>
      <c r="F9" s="202"/>
    </row>
    <row r="10" spans="1:6" s="109" customFormat="1" ht="344.25">
      <c r="A10" s="181"/>
      <c r="B10" s="114" t="s">
        <v>688</v>
      </c>
      <c r="C10" s="115"/>
      <c r="D10" s="115"/>
      <c r="E10" s="152"/>
      <c r="F10" s="202"/>
    </row>
    <row r="11" spans="1:6" s="109" customFormat="1" ht="102">
      <c r="A11" s="181"/>
      <c r="B11" s="114" t="s">
        <v>689</v>
      </c>
      <c r="C11" s="115"/>
      <c r="D11" s="115"/>
      <c r="E11" s="152"/>
      <c r="F11" s="202"/>
    </row>
    <row r="12" spans="1:6" s="109" customFormat="1" ht="63.75">
      <c r="A12" s="181"/>
      <c r="B12" s="117" t="s">
        <v>682</v>
      </c>
      <c r="C12" s="115"/>
      <c r="D12" s="115"/>
      <c r="E12" s="152"/>
      <c r="F12" s="202"/>
    </row>
    <row r="13" spans="1:6" s="109" customFormat="1" ht="63.75">
      <c r="A13" s="181"/>
      <c r="B13" s="117" t="s">
        <v>683</v>
      </c>
      <c r="C13" s="115"/>
      <c r="D13" s="115"/>
      <c r="E13" s="152"/>
      <c r="F13" s="202"/>
    </row>
    <row r="14" spans="1:6" s="109" customFormat="1">
      <c r="A14" s="181"/>
      <c r="B14" s="114"/>
      <c r="C14" s="115"/>
      <c r="D14" s="115"/>
      <c r="E14" s="152"/>
      <c r="F14" s="202"/>
    </row>
    <row r="15" spans="1:6" s="109" customFormat="1" ht="29.25" customHeight="1">
      <c r="A15" s="182"/>
      <c r="B15" s="114" t="s">
        <v>707</v>
      </c>
      <c r="C15" s="116"/>
      <c r="D15" s="116"/>
      <c r="E15" s="152"/>
      <c r="F15" s="202"/>
    </row>
    <row r="16" spans="1:6" s="109" customFormat="1">
      <c r="A16" s="183"/>
      <c r="B16" s="117"/>
      <c r="C16" s="118"/>
      <c r="D16" s="119"/>
      <c r="E16" s="154"/>
      <c r="F16" s="208"/>
    </row>
    <row r="17" spans="1:8" s="122" customFormat="1" ht="12.75" customHeight="1">
      <c r="A17" s="184" t="s">
        <v>53</v>
      </c>
      <c r="B17" s="120" t="s">
        <v>580</v>
      </c>
      <c r="C17" s="121"/>
      <c r="D17" s="101"/>
      <c r="E17" s="207"/>
      <c r="F17" s="214"/>
    </row>
    <row r="18" spans="1:8" s="109" customFormat="1">
      <c r="A18" s="185"/>
      <c r="B18" s="123"/>
      <c r="C18" s="124"/>
      <c r="D18" s="106"/>
      <c r="E18" s="137"/>
      <c r="F18" s="139"/>
    </row>
    <row r="19" spans="1:8" s="109" customFormat="1">
      <c r="A19" s="186"/>
      <c r="B19" s="125" t="s">
        <v>493</v>
      </c>
      <c r="C19" s="126"/>
      <c r="D19" s="126"/>
      <c r="E19" s="154"/>
      <c r="F19" s="208"/>
    </row>
    <row r="20" spans="1:8" s="109" customFormat="1" ht="114.75">
      <c r="A20" s="181"/>
      <c r="B20" s="113" t="s">
        <v>691</v>
      </c>
      <c r="C20" s="115"/>
      <c r="D20" s="115"/>
      <c r="E20" s="152"/>
      <c r="F20" s="202"/>
    </row>
    <row r="21" spans="1:8" s="109" customFormat="1" ht="89.25">
      <c r="A21" s="187"/>
      <c r="B21" s="127" t="s">
        <v>690</v>
      </c>
      <c r="C21" s="115"/>
      <c r="D21" s="115"/>
      <c r="E21" s="152"/>
      <c r="F21" s="202"/>
    </row>
    <row r="22" spans="1:8" s="109" customFormat="1">
      <c r="A22" s="188"/>
      <c r="B22" s="128"/>
      <c r="C22" s="129"/>
      <c r="D22" s="129"/>
      <c r="E22" s="152"/>
      <c r="F22" s="202"/>
    </row>
    <row r="23" spans="1:8" s="109" customFormat="1" ht="61.5" customHeight="1">
      <c r="A23" s="181"/>
      <c r="B23" s="113" t="s">
        <v>626</v>
      </c>
      <c r="C23" s="115"/>
      <c r="D23" s="115"/>
      <c r="E23" s="152"/>
      <c r="F23" s="202"/>
    </row>
    <row r="24" spans="1:8" s="109" customFormat="1">
      <c r="A24" s="189"/>
      <c r="B24" s="131" t="s">
        <v>581</v>
      </c>
      <c r="C24" s="129"/>
      <c r="D24" s="129"/>
      <c r="E24" s="152"/>
      <c r="F24" s="202"/>
    </row>
    <row r="25" spans="1:8" s="109" customFormat="1" ht="357.75" customHeight="1">
      <c r="A25" s="183"/>
      <c r="B25" s="114" t="s">
        <v>684</v>
      </c>
      <c r="C25" s="118"/>
      <c r="D25" s="118"/>
      <c r="E25" s="154"/>
      <c r="F25" s="208"/>
    </row>
    <row r="26" spans="1:8" s="109" customFormat="1" ht="51">
      <c r="A26" s="183"/>
      <c r="B26" s="114" t="s">
        <v>685</v>
      </c>
      <c r="C26" s="118"/>
      <c r="D26" s="118"/>
      <c r="E26" s="154"/>
      <c r="F26" s="208"/>
    </row>
    <row r="27" spans="1:8" s="109" customFormat="1">
      <c r="A27" s="183"/>
      <c r="B27" s="114"/>
      <c r="C27" s="118"/>
      <c r="D27" s="118"/>
      <c r="E27" s="154"/>
      <c r="F27" s="208"/>
      <c r="G27" s="132"/>
      <c r="H27" s="132"/>
    </row>
    <row r="28" spans="1:8" s="109" customFormat="1">
      <c r="A28" s="183"/>
      <c r="B28" s="117" t="s">
        <v>582</v>
      </c>
      <c r="C28" s="118"/>
      <c r="D28" s="118"/>
      <c r="E28" s="154"/>
      <c r="F28" s="208"/>
      <c r="G28" s="132"/>
      <c r="H28" s="132"/>
    </row>
    <row r="29" spans="1:8" s="109" customFormat="1" ht="89.25">
      <c r="A29" s="183"/>
      <c r="B29" s="114" t="s">
        <v>587</v>
      </c>
      <c r="C29" s="118"/>
      <c r="D29" s="118"/>
      <c r="E29" s="154"/>
      <c r="F29" s="208"/>
      <c r="G29" s="132"/>
      <c r="H29" s="132"/>
    </row>
    <row r="30" spans="1:8" s="109" customFormat="1" ht="63.75">
      <c r="A30" s="183"/>
      <c r="B30" s="133" t="s">
        <v>692</v>
      </c>
      <c r="C30" s="134"/>
      <c r="D30" s="118"/>
      <c r="E30" s="154"/>
      <c r="F30" s="208"/>
      <c r="G30" s="132"/>
      <c r="H30" s="132"/>
    </row>
    <row r="31" spans="1:8" s="109" customFormat="1" ht="25.5">
      <c r="A31" s="183"/>
      <c r="B31" s="130" t="s">
        <v>693</v>
      </c>
      <c r="C31" s="118"/>
      <c r="D31" s="118"/>
      <c r="E31" s="154"/>
      <c r="F31" s="208"/>
      <c r="G31" s="132"/>
      <c r="H31" s="132"/>
    </row>
    <row r="32" spans="1:8" s="109" customFormat="1">
      <c r="A32" s="190" t="s">
        <v>15</v>
      </c>
      <c r="B32" s="114" t="s">
        <v>586</v>
      </c>
      <c r="C32" s="118"/>
      <c r="D32" s="118"/>
      <c r="E32" s="154"/>
      <c r="F32" s="208"/>
      <c r="G32" s="132"/>
      <c r="H32" s="132"/>
    </row>
    <row r="33" spans="1:8" s="109" customFormat="1">
      <c r="A33" s="190" t="s">
        <v>16</v>
      </c>
      <c r="B33" s="114" t="s">
        <v>583</v>
      </c>
      <c r="C33" s="118"/>
      <c r="D33" s="118"/>
      <c r="E33" s="154"/>
      <c r="F33" s="208"/>
      <c r="G33" s="132"/>
      <c r="H33" s="132"/>
    </row>
    <row r="34" spans="1:8" s="109" customFormat="1" ht="25.5">
      <c r="A34" s="190" t="s">
        <v>17</v>
      </c>
      <c r="B34" s="114" t="s">
        <v>584</v>
      </c>
      <c r="C34" s="118"/>
      <c r="D34" s="118"/>
      <c r="E34" s="154"/>
      <c r="F34" s="208"/>
      <c r="G34" s="132"/>
      <c r="H34" s="132"/>
    </row>
    <row r="35" spans="1:8" s="109" customFormat="1">
      <c r="A35" s="190" t="s">
        <v>18</v>
      </c>
      <c r="B35" s="114" t="s">
        <v>585</v>
      </c>
      <c r="C35" s="118"/>
      <c r="D35" s="118"/>
      <c r="E35" s="154"/>
      <c r="F35" s="208"/>
      <c r="G35" s="132"/>
      <c r="H35" s="132"/>
    </row>
    <row r="36" spans="1:8" s="109" customFormat="1">
      <c r="A36" s="190" t="s">
        <v>574</v>
      </c>
      <c r="B36" s="114" t="s">
        <v>694</v>
      </c>
      <c r="C36" s="118"/>
      <c r="D36" s="118"/>
      <c r="E36" s="154"/>
      <c r="F36" s="208"/>
      <c r="G36" s="132"/>
      <c r="H36" s="132"/>
    </row>
    <row r="37" spans="1:8" s="109" customFormat="1">
      <c r="A37" s="191"/>
      <c r="C37" s="118"/>
      <c r="D37" s="118"/>
      <c r="E37" s="154"/>
      <c r="F37" s="208"/>
      <c r="G37" s="132"/>
      <c r="H37" s="132"/>
    </row>
    <row r="38" spans="1:8" s="109" customFormat="1">
      <c r="A38" s="191"/>
      <c r="C38" s="118"/>
      <c r="D38" s="118"/>
      <c r="E38" s="154"/>
      <c r="F38" s="208"/>
      <c r="G38" s="132"/>
      <c r="H38" s="132"/>
    </row>
    <row r="39" spans="1:8" s="141" customFormat="1">
      <c r="A39" s="194"/>
      <c r="B39" s="145"/>
      <c r="C39" s="143"/>
      <c r="D39" s="146"/>
      <c r="E39" s="210"/>
      <c r="F39" s="212"/>
    </row>
    <row r="40" spans="1:8" s="141" customFormat="1">
      <c r="A40" s="194"/>
      <c r="B40" s="145"/>
      <c r="C40" s="143"/>
      <c r="D40" s="146"/>
      <c r="E40" s="210"/>
      <c r="F40" s="212"/>
    </row>
    <row r="41" spans="1:8" s="141" customFormat="1">
      <c r="A41" s="194"/>
      <c r="B41" s="145"/>
      <c r="C41" s="143"/>
      <c r="D41" s="146"/>
      <c r="E41" s="210"/>
      <c r="F41" s="212"/>
    </row>
    <row r="42" spans="1:8" s="141" customFormat="1">
      <c r="A42" s="193" t="s">
        <v>52</v>
      </c>
      <c r="B42" s="147" t="s">
        <v>1</v>
      </c>
      <c r="C42" s="155"/>
      <c r="D42" s="156"/>
      <c r="E42" s="174"/>
      <c r="F42" s="217"/>
    </row>
    <row r="43" spans="1:8" s="109" customFormat="1" ht="382.5">
      <c r="A43" s="191"/>
      <c r="B43" s="157" t="s">
        <v>643</v>
      </c>
      <c r="C43" s="158"/>
      <c r="D43" s="158"/>
      <c r="E43" s="203"/>
      <c r="F43" s="218"/>
    </row>
    <row r="44" spans="1:8" s="109" customFormat="1">
      <c r="A44" s="190"/>
      <c r="B44" s="142"/>
      <c r="C44" s="105"/>
      <c r="D44" s="106"/>
      <c r="E44" s="137"/>
      <c r="F44" s="139"/>
    </row>
    <row r="45" spans="1:8" s="109" customFormat="1">
      <c r="A45" s="190"/>
      <c r="B45" s="142"/>
      <c r="C45" s="105"/>
      <c r="D45" s="106"/>
      <c r="E45" s="137"/>
      <c r="F45" s="139"/>
    </row>
    <row r="46" spans="1:8" s="109" customFormat="1" ht="18.75" customHeight="1">
      <c r="A46" s="190" t="s">
        <v>588</v>
      </c>
      <c r="B46" s="142" t="s">
        <v>632</v>
      </c>
      <c r="C46" s="105"/>
      <c r="D46" s="106"/>
      <c r="E46" s="137"/>
      <c r="F46" s="139"/>
    </row>
    <row r="47" spans="1:8" s="109" customFormat="1" ht="167.25" customHeight="1">
      <c r="A47" s="190"/>
      <c r="B47" s="142" t="s">
        <v>634</v>
      </c>
      <c r="C47" s="105"/>
      <c r="D47" s="106"/>
      <c r="E47" s="137"/>
      <c r="F47" s="139"/>
    </row>
    <row r="48" spans="1:8" s="109" customFormat="1">
      <c r="A48" s="190"/>
      <c r="B48" s="142" t="s">
        <v>633</v>
      </c>
      <c r="C48" s="105" t="s">
        <v>631</v>
      </c>
      <c r="D48" s="106">
        <v>350</v>
      </c>
      <c r="E48" s="219"/>
      <c r="F48" s="219">
        <f>D48*E48</f>
        <v>0</v>
      </c>
    </row>
    <row r="49" spans="1:6" s="109" customFormat="1">
      <c r="A49" s="190"/>
      <c r="B49" s="142"/>
      <c r="C49" s="105"/>
      <c r="D49" s="106"/>
      <c r="E49" s="137"/>
      <c r="F49" s="139"/>
    </row>
    <row r="50" spans="1:6" s="109" customFormat="1">
      <c r="A50" s="190"/>
      <c r="B50" s="142"/>
      <c r="C50" s="105"/>
      <c r="D50" s="106"/>
      <c r="E50" s="154"/>
      <c r="F50" s="208"/>
    </row>
    <row r="51" spans="1:6" s="109" customFormat="1">
      <c r="A51" s="190" t="s">
        <v>629</v>
      </c>
      <c r="B51" s="142" t="s">
        <v>635</v>
      </c>
      <c r="C51" s="105"/>
      <c r="D51" s="106"/>
      <c r="E51" s="137"/>
      <c r="F51" s="139"/>
    </row>
    <row r="52" spans="1:6" s="109" customFormat="1" ht="102">
      <c r="A52" s="190"/>
      <c r="B52" s="142" t="s">
        <v>704</v>
      </c>
      <c r="C52" s="105"/>
      <c r="D52" s="106"/>
      <c r="E52" s="137"/>
      <c r="F52" s="139"/>
    </row>
    <row r="53" spans="1:6" s="109" customFormat="1">
      <c r="A53" s="190"/>
      <c r="B53" s="142" t="s">
        <v>628</v>
      </c>
      <c r="C53" s="105" t="s">
        <v>604</v>
      </c>
      <c r="D53" s="106">
        <v>1500</v>
      </c>
      <c r="E53" s="219"/>
      <c r="F53" s="219">
        <f>D53*E53</f>
        <v>0</v>
      </c>
    </row>
    <row r="54" spans="1:6" s="109" customFormat="1">
      <c r="A54" s="190"/>
      <c r="B54" s="142"/>
      <c r="C54" s="105"/>
      <c r="D54" s="106"/>
      <c r="E54" s="154"/>
      <c r="F54" s="208"/>
    </row>
    <row r="55" spans="1:6" s="109" customFormat="1">
      <c r="A55" s="190"/>
      <c r="B55" s="142"/>
      <c r="C55" s="105"/>
      <c r="D55" s="106"/>
      <c r="E55" s="154"/>
      <c r="F55" s="208"/>
    </row>
    <row r="56" spans="1:6" s="109" customFormat="1" ht="25.5">
      <c r="A56" s="185" t="s">
        <v>589</v>
      </c>
      <c r="B56" s="150" t="s">
        <v>636</v>
      </c>
      <c r="C56" s="105"/>
      <c r="D56" s="106"/>
      <c r="E56" s="137"/>
      <c r="F56" s="139"/>
    </row>
    <row r="57" spans="1:6" s="109" customFormat="1" ht="204" customHeight="1">
      <c r="A57" s="190"/>
      <c r="B57" s="114" t="s">
        <v>705</v>
      </c>
      <c r="C57" s="118"/>
      <c r="D57" s="159"/>
      <c r="E57" s="152"/>
      <c r="F57" s="202"/>
    </row>
    <row r="58" spans="1:6" s="109" customFormat="1">
      <c r="A58" s="190"/>
      <c r="B58" s="142" t="s">
        <v>637</v>
      </c>
      <c r="C58" s="105" t="s">
        <v>631</v>
      </c>
      <c r="D58" s="106">
        <v>350</v>
      </c>
      <c r="E58" s="219">
        <v>4</v>
      </c>
      <c r="F58" s="219">
        <f>D58*E58</f>
        <v>1400</v>
      </c>
    </row>
    <row r="59" spans="1:6" s="109" customFormat="1">
      <c r="A59" s="190"/>
      <c r="B59" s="221" t="s">
        <v>709</v>
      </c>
      <c r="C59" s="105"/>
      <c r="D59" s="106"/>
      <c r="E59" s="154"/>
      <c r="F59" s="208"/>
    </row>
    <row r="60" spans="1:6" s="109" customFormat="1" ht="25.5">
      <c r="A60" s="185" t="s">
        <v>590</v>
      </c>
      <c r="B60" s="150" t="s">
        <v>638</v>
      </c>
      <c r="C60" s="105"/>
      <c r="D60" s="106"/>
      <c r="E60" s="137"/>
      <c r="F60" s="139"/>
    </row>
    <row r="61" spans="1:6" s="109" customFormat="1" ht="162" customHeight="1">
      <c r="A61" s="190"/>
      <c r="B61" s="114" t="s">
        <v>639</v>
      </c>
      <c r="C61" s="118"/>
      <c r="D61" s="159"/>
      <c r="E61" s="152"/>
      <c r="F61" s="202"/>
    </row>
    <row r="62" spans="1:6" s="109" customFormat="1">
      <c r="A62" s="190"/>
      <c r="B62" s="142" t="s">
        <v>637</v>
      </c>
      <c r="C62" s="105" t="s">
        <v>631</v>
      </c>
      <c r="D62" s="106">
        <v>350</v>
      </c>
      <c r="E62" s="219">
        <v>45</v>
      </c>
      <c r="F62" s="219">
        <f>D62*E62</f>
        <v>15750</v>
      </c>
    </row>
    <row r="63" spans="1:6" s="109" customFormat="1">
      <c r="A63" s="190"/>
      <c r="B63" s="221" t="s">
        <v>710</v>
      </c>
      <c r="C63" s="105"/>
      <c r="D63" s="106"/>
      <c r="E63" s="154"/>
      <c r="F63" s="208"/>
    </row>
    <row r="64" spans="1:6" s="109" customFormat="1" ht="25.5">
      <c r="A64" s="185" t="s">
        <v>591</v>
      </c>
      <c r="B64" s="150" t="s">
        <v>640</v>
      </c>
      <c r="C64" s="105"/>
      <c r="D64" s="106"/>
      <c r="E64" s="137"/>
      <c r="F64" s="139"/>
    </row>
    <row r="65" spans="1:6" s="109" customFormat="1" ht="132.75" customHeight="1">
      <c r="A65" s="190"/>
      <c r="B65" s="114" t="s">
        <v>641</v>
      </c>
      <c r="C65" s="118"/>
      <c r="D65" s="159"/>
      <c r="E65" s="152"/>
      <c r="F65" s="202"/>
    </row>
    <row r="66" spans="1:6" s="109" customFormat="1">
      <c r="A66" s="190"/>
      <c r="B66" s="142" t="s">
        <v>637</v>
      </c>
      <c r="C66" s="105" t="s">
        <v>631</v>
      </c>
      <c r="D66" s="106">
        <v>350</v>
      </c>
      <c r="E66" s="219">
        <v>10</v>
      </c>
      <c r="F66" s="219">
        <f>D66*E66</f>
        <v>3500</v>
      </c>
    </row>
    <row r="67" spans="1:6" s="109" customFormat="1">
      <c r="A67" s="190"/>
      <c r="B67" s="221" t="s">
        <v>713</v>
      </c>
      <c r="C67" s="105"/>
      <c r="D67" s="106"/>
      <c r="E67" s="154"/>
      <c r="F67" s="208"/>
    </row>
    <row r="68" spans="1:6" s="141" customFormat="1">
      <c r="A68" s="195"/>
      <c r="B68" s="160"/>
      <c r="C68" s="161"/>
      <c r="D68" s="161"/>
      <c r="E68" s="108"/>
      <c r="F68" s="139"/>
    </row>
    <row r="69" spans="1:6" s="141" customFormat="1">
      <c r="A69" s="192"/>
      <c r="B69" s="204" t="s">
        <v>616</v>
      </c>
      <c r="C69" s="205"/>
      <c r="D69" s="206"/>
      <c r="E69" s="209"/>
      <c r="F69" s="220">
        <f>SUM(F44:F68)</f>
        <v>20650</v>
      </c>
    </row>
    <row r="70" spans="1:6" s="141" customFormat="1">
      <c r="A70" s="192"/>
      <c r="B70" s="145"/>
      <c r="C70" s="143"/>
      <c r="D70" s="146"/>
      <c r="E70" s="210"/>
      <c r="F70" s="212"/>
    </row>
    <row r="71" spans="1:6" s="141" customFormat="1">
      <c r="A71" s="192"/>
      <c r="B71" s="145"/>
      <c r="C71" s="143"/>
      <c r="D71" s="146"/>
      <c r="E71" s="210"/>
      <c r="F71" s="212"/>
    </row>
    <row r="72" spans="1:6" s="141" customFormat="1">
      <c r="A72" s="192"/>
      <c r="B72" s="145"/>
      <c r="C72" s="143"/>
      <c r="D72" s="146"/>
      <c r="E72" s="210"/>
      <c r="F72" s="212"/>
    </row>
    <row r="73" spans="1:6" s="163" customFormat="1">
      <c r="A73" s="196" t="s">
        <v>592</v>
      </c>
      <c r="B73" s="162" t="s">
        <v>593</v>
      </c>
      <c r="C73" s="143"/>
      <c r="D73" s="106"/>
      <c r="E73" s="137"/>
      <c r="F73" s="139"/>
    </row>
    <row r="74" spans="1:6" s="163" customFormat="1">
      <c r="A74" s="185"/>
      <c r="C74" s="144"/>
      <c r="D74" s="148"/>
      <c r="E74" s="211"/>
      <c r="F74" s="216"/>
    </row>
    <row r="75" spans="1:6" s="149" customFormat="1">
      <c r="A75" s="197"/>
      <c r="B75" s="131" t="s">
        <v>55</v>
      </c>
      <c r="C75" s="164"/>
      <c r="D75" s="135"/>
      <c r="E75" s="154"/>
      <c r="F75" s="202"/>
    </row>
    <row r="76" spans="1:6" s="141" customFormat="1" ht="150" customHeight="1">
      <c r="A76" s="181"/>
      <c r="B76" s="165" t="s">
        <v>624</v>
      </c>
      <c r="C76" s="115"/>
      <c r="D76" s="115"/>
      <c r="E76" s="152"/>
      <c r="F76" s="202"/>
    </row>
    <row r="77" spans="1:6" s="109" customFormat="1" ht="63.75">
      <c r="A77" s="181"/>
      <c r="B77" s="166" t="s">
        <v>579</v>
      </c>
      <c r="C77" s="167"/>
      <c r="D77" s="167"/>
      <c r="E77" s="154"/>
      <c r="F77" s="208"/>
    </row>
    <row r="78" spans="1:6" s="149" customFormat="1">
      <c r="A78" s="197"/>
      <c r="B78" s="130"/>
      <c r="C78" s="105"/>
      <c r="D78" s="151"/>
      <c r="E78" s="154"/>
      <c r="F78" s="208"/>
    </row>
    <row r="79" spans="1:6" s="149" customFormat="1">
      <c r="A79" s="185" t="s">
        <v>594</v>
      </c>
      <c r="B79" s="130" t="s">
        <v>595</v>
      </c>
      <c r="C79" s="116"/>
      <c r="D79" s="151"/>
      <c r="E79" s="154"/>
      <c r="F79" s="208"/>
    </row>
    <row r="80" spans="1:6" s="149" customFormat="1" ht="105.75" customHeight="1">
      <c r="A80" s="185"/>
      <c r="B80" s="114" t="s">
        <v>695</v>
      </c>
      <c r="C80" s="116"/>
      <c r="D80" s="151"/>
      <c r="E80" s="154"/>
      <c r="F80" s="208"/>
    </row>
    <row r="81" spans="1:6" s="168" customFormat="1" ht="14.25">
      <c r="A81" s="198"/>
      <c r="B81" s="130" t="s">
        <v>676</v>
      </c>
      <c r="C81" s="116"/>
      <c r="D81" s="152"/>
      <c r="E81" s="152"/>
      <c r="F81" s="202"/>
    </row>
    <row r="82" spans="1:6" s="168" customFormat="1" ht="14.25">
      <c r="A82" s="198" t="s">
        <v>15</v>
      </c>
      <c r="B82" s="130" t="s">
        <v>696</v>
      </c>
      <c r="C82" s="116" t="s">
        <v>677</v>
      </c>
      <c r="D82" s="152">
        <v>13144.800000000001</v>
      </c>
      <c r="E82" s="219"/>
      <c r="F82" s="219">
        <f t="shared" ref="F82:F83" si="0">D82*E82</f>
        <v>0</v>
      </c>
    </row>
    <row r="83" spans="1:6" s="168" customFormat="1" ht="14.25">
      <c r="A83" s="198" t="s">
        <v>16</v>
      </c>
      <c r="B83" s="130" t="s">
        <v>697</v>
      </c>
      <c r="C83" s="116" t="s">
        <v>677</v>
      </c>
      <c r="D83" s="152">
        <v>3622.4</v>
      </c>
      <c r="E83" s="219"/>
      <c r="F83" s="219">
        <f t="shared" si="0"/>
        <v>0</v>
      </c>
    </row>
    <row r="84" spans="1:6" s="168" customFormat="1">
      <c r="A84" s="198"/>
      <c r="B84" s="130"/>
      <c r="C84" s="116"/>
      <c r="D84" s="152"/>
      <c r="E84" s="152"/>
      <c r="F84" s="202"/>
    </row>
    <row r="85" spans="1:6" s="149" customFormat="1">
      <c r="A85" s="185" t="s">
        <v>596</v>
      </c>
      <c r="B85" s="130" t="s">
        <v>597</v>
      </c>
      <c r="C85" s="116"/>
      <c r="D85" s="151"/>
      <c r="E85" s="154"/>
      <c r="F85" s="208"/>
    </row>
    <row r="86" spans="1:6" s="149" customFormat="1" ht="114.75">
      <c r="A86" s="185" t="s">
        <v>598</v>
      </c>
      <c r="B86" s="165" t="s">
        <v>706</v>
      </c>
      <c r="C86" s="116"/>
      <c r="D86" s="129"/>
      <c r="E86" s="154"/>
      <c r="F86" s="208"/>
    </row>
    <row r="87" spans="1:6" s="149" customFormat="1" ht="14.25">
      <c r="A87" s="185"/>
      <c r="B87" s="130" t="s">
        <v>678</v>
      </c>
      <c r="C87" s="105" t="s">
        <v>677</v>
      </c>
      <c r="D87" s="151">
        <v>203</v>
      </c>
      <c r="E87" s="219"/>
      <c r="F87" s="219">
        <f>D87*E87</f>
        <v>0</v>
      </c>
    </row>
    <row r="88" spans="1:6" s="149" customFormat="1">
      <c r="A88" s="197"/>
      <c r="B88" s="130"/>
      <c r="C88" s="105"/>
      <c r="D88" s="151"/>
      <c r="E88" s="154"/>
      <c r="F88" s="202"/>
    </row>
    <row r="89" spans="1:6" s="149" customFormat="1" ht="102">
      <c r="A89" s="185" t="s">
        <v>599</v>
      </c>
      <c r="B89" s="165" t="s">
        <v>600</v>
      </c>
      <c r="C89" s="116"/>
      <c r="D89" s="129"/>
      <c r="E89" s="154"/>
      <c r="F89" s="208"/>
    </row>
    <row r="90" spans="1:6" s="149" customFormat="1" ht="14.25">
      <c r="A90" s="197"/>
      <c r="B90" s="130" t="s">
        <v>679</v>
      </c>
      <c r="C90" s="105" t="s">
        <v>677</v>
      </c>
      <c r="D90" s="151">
        <v>380</v>
      </c>
      <c r="E90" s="219"/>
      <c r="F90" s="219">
        <f>D90*E90</f>
        <v>0</v>
      </c>
    </row>
    <row r="91" spans="1:6" s="149" customFormat="1">
      <c r="A91" s="197"/>
      <c r="B91" s="130"/>
      <c r="C91" s="105"/>
      <c r="D91" s="151"/>
      <c r="E91" s="154"/>
      <c r="F91" s="202"/>
    </row>
    <row r="92" spans="1:6" s="172" customFormat="1">
      <c r="A92" s="199"/>
      <c r="B92" s="177"/>
      <c r="C92" s="153"/>
      <c r="D92" s="171"/>
      <c r="E92" s="208"/>
      <c r="F92" s="202"/>
    </row>
    <row r="93" spans="1:6" s="149" customFormat="1">
      <c r="A93" s="185" t="s">
        <v>605</v>
      </c>
      <c r="B93" s="130" t="s">
        <v>601</v>
      </c>
      <c r="C93" s="116"/>
      <c r="D93" s="151"/>
      <c r="E93" s="154"/>
      <c r="F93" s="208">
        <f>E94*D94</f>
        <v>0</v>
      </c>
    </row>
    <row r="94" spans="1:6" s="149" customFormat="1" ht="127.5">
      <c r="A94" s="185"/>
      <c r="B94" s="114" t="s">
        <v>602</v>
      </c>
      <c r="C94" s="116"/>
      <c r="D94" s="151"/>
      <c r="E94" s="154"/>
      <c r="F94" s="208">
        <f t="shared" ref="F94:F98" si="1">E94*D94</f>
        <v>0</v>
      </c>
    </row>
    <row r="95" spans="1:6" s="168" customFormat="1">
      <c r="A95" s="198"/>
      <c r="B95" s="130" t="s">
        <v>603</v>
      </c>
      <c r="C95" s="116" t="s">
        <v>604</v>
      </c>
      <c r="D95" s="152">
        <v>500</v>
      </c>
      <c r="E95" s="219"/>
      <c r="F95" s="219">
        <f t="shared" ref="F95" si="2">D95*E95</f>
        <v>0</v>
      </c>
    </row>
    <row r="96" spans="1:6" s="168" customFormat="1">
      <c r="A96" s="198"/>
      <c r="B96" s="130"/>
      <c r="C96" s="116"/>
      <c r="D96" s="152"/>
      <c r="E96" s="152"/>
      <c r="F96" s="208">
        <f t="shared" si="1"/>
        <v>0</v>
      </c>
    </row>
    <row r="97" spans="1:6" s="149" customFormat="1">
      <c r="A97" s="185" t="s">
        <v>606</v>
      </c>
      <c r="B97" s="130" t="s">
        <v>607</v>
      </c>
      <c r="C97" s="105"/>
      <c r="D97" s="151"/>
      <c r="E97" s="154"/>
      <c r="F97" s="208">
        <f t="shared" si="1"/>
        <v>0</v>
      </c>
    </row>
    <row r="98" spans="1:6" s="149" customFormat="1" ht="102">
      <c r="A98" s="185"/>
      <c r="B98" s="114" t="s">
        <v>698</v>
      </c>
      <c r="C98" s="105"/>
      <c r="D98" s="151"/>
      <c r="E98" s="154"/>
      <c r="F98" s="208">
        <f t="shared" si="1"/>
        <v>0</v>
      </c>
    </row>
    <row r="99" spans="1:6" s="149" customFormat="1">
      <c r="A99" s="185"/>
      <c r="B99" s="130" t="s">
        <v>625</v>
      </c>
      <c r="C99" s="105" t="s">
        <v>604</v>
      </c>
      <c r="D99" s="151">
        <v>208</v>
      </c>
      <c r="E99" s="219"/>
      <c r="F99" s="219">
        <f t="shared" ref="F99" si="3">D99*E99</f>
        <v>0</v>
      </c>
    </row>
    <row r="100" spans="1:6" s="149" customFormat="1">
      <c r="A100" s="197"/>
      <c r="B100" s="130"/>
      <c r="C100" s="105"/>
      <c r="D100" s="151"/>
      <c r="E100" s="154"/>
      <c r="F100" s="208">
        <f t="shared" ref="F100" si="4">E100*D100</f>
        <v>0</v>
      </c>
    </row>
    <row r="101" spans="1:6" s="149" customFormat="1">
      <c r="A101" s="185" t="s">
        <v>608</v>
      </c>
      <c r="B101" s="114" t="s">
        <v>609</v>
      </c>
      <c r="C101" s="105"/>
      <c r="D101" s="151"/>
      <c r="E101" s="154"/>
      <c r="F101" s="208"/>
    </row>
    <row r="102" spans="1:6" s="149" customFormat="1" ht="191.25">
      <c r="A102" s="185"/>
      <c r="B102" s="114" t="s">
        <v>642</v>
      </c>
      <c r="C102" s="105"/>
      <c r="D102" s="151"/>
      <c r="E102" s="154"/>
      <c r="F102" s="173"/>
    </row>
    <row r="103" spans="1:6" s="149" customFormat="1" ht="14.25">
      <c r="A103" s="197"/>
      <c r="B103" s="114" t="s">
        <v>680</v>
      </c>
      <c r="C103" s="169"/>
      <c r="D103" s="107"/>
      <c r="E103" s="108"/>
      <c r="F103" s="173"/>
    </row>
    <row r="104" spans="1:6" s="149" customFormat="1" ht="14.25">
      <c r="A104" s="185" t="s">
        <v>15</v>
      </c>
      <c r="B104" s="114" t="s">
        <v>610</v>
      </c>
      <c r="C104" s="105" t="s">
        <v>677</v>
      </c>
      <c r="D104" s="151">
        <v>2933</v>
      </c>
      <c r="E104" s="219">
        <v>32.700000000000003</v>
      </c>
      <c r="F104" s="219">
        <f t="shared" ref="F104:F105" si="5">D104*E104</f>
        <v>95909.1</v>
      </c>
    </row>
    <row r="105" spans="1:6" s="149" customFormat="1" ht="25.5">
      <c r="A105" s="185" t="s">
        <v>16</v>
      </c>
      <c r="B105" s="114" t="s">
        <v>623</v>
      </c>
      <c r="C105" s="105" t="s">
        <v>677</v>
      </c>
      <c r="D105" s="151">
        <v>14522</v>
      </c>
      <c r="E105" s="219">
        <v>32.700000000000003</v>
      </c>
      <c r="F105" s="219">
        <f t="shared" si="5"/>
        <v>474869.4</v>
      </c>
    </row>
    <row r="106" spans="1:6" s="149" customFormat="1" ht="38.25">
      <c r="A106" s="197"/>
      <c r="B106" s="222" t="s">
        <v>711</v>
      </c>
      <c r="C106" s="105"/>
      <c r="D106" s="151"/>
      <c r="E106" s="154"/>
      <c r="F106" s="208"/>
    </row>
    <row r="107" spans="1:6" s="149" customFormat="1">
      <c r="A107" s="185" t="s">
        <v>611</v>
      </c>
      <c r="B107" s="114" t="s">
        <v>612</v>
      </c>
      <c r="C107" s="105"/>
      <c r="D107" s="151"/>
      <c r="E107" s="154"/>
      <c r="F107" s="208"/>
    </row>
    <row r="108" spans="1:6" s="149" customFormat="1">
      <c r="A108" s="185"/>
      <c r="B108" s="114" t="s">
        <v>630</v>
      </c>
      <c r="C108" s="105"/>
      <c r="D108" s="151"/>
      <c r="E108" s="154"/>
      <c r="F108" s="173"/>
    </row>
    <row r="109" spans="1:6" s="149" customFormat="1" ht="14.25">
      <c r="A109" s="185"/>
      <c r="B109" s="114" t="s">
        <v>680</v>
      </c>
      <c r="C109" s="105" t="s">
        <v>677</v>
      </c>
      <c r="D109" s="151">
        <v>1909</v>
      </c>
      <c r="E109" s="219">
        <v>27</v>
      </c>
      <c r="F109" s="219">
        <f>D109*E109</f>
        <v>51543</v>
      </c>
    </row>
    <row r="110" spans="1:6" s="149" customFormat="1" ht="25.5">
      <c r="A110" s="197"/>
      <c r="B110" s="222" t="s">
        <v>712</v>
      </c>
      <c r="C110" s="105"/>
      <c r="D110" s="151"/>
      <c r="E110" s="154"/>
      <c r="F110" s="208" t="e">
        <f>#REF!*#REF!</f>
        <v>#REF!</v>
      </c>
    </row>
    <row r="111" spans="1:6" s="149" customFormat="1">
      <c r="A111" s="185" t="s">
        <v>613</v>
      </c>
      <c r="B111" s="114" t="s">
        <v>614</v>
      </c>
      <c r="C111" s="105"/>
      <c r="D111" s="151"/>
      <c r="E111" s="154"/>
      <c r="F111" s="208"/>
    </row>
    <row r="112" spans="1:6" s="149" customFormat="1" ht="216.75">
      <c r="A112" s="185"/>
      <c r="B112" s="114" t="s">
        <v>699</v>
      </c>
      <c r="C112" s="105"/>
      <c r="D112" s="170"/>
      <c r="E112" s="154"/>
      <c r="F112" s="173"/>
    </row>
    <row r="113" spans="1:6" s="149" customFormat="1" ht="14.25">
      <c r="A113" s="185"/>
      <c r="B113" s="114" t="s">
        <v>681</v>
      </c>
      <c r="C113" s="105" t="s">
        <v>677</v>
      </c>
      <c r="D113" s="151">
        <v>545</v>
      </c>
      <c r="E113" s="219">
        <v>39</v>
      </c>
      <c r="F113" s="219">
        <f>D113*E113</f>
        <v>21255</v>
      </c>
    </row>
    <row r="114" spans="1:6" s="149" customFormat="1" ht="38.25">
      <c r="A114" s="197"/>
      <c r="B114" s="222" t="s">
        <v>711</v>
      </c>
      <c r="C114" s="105"/>
      <c r="D114" s="151"/>
      <c r="E114" s="154"/>
      <c r="F114" s="208" t="e">
        <f>#REF!*#REF!</f>
        <v>#REF!</v>
      </c>
    </row>
    <row r="115" spans="1:6" s="149" customFormat="1">
      <c r="A115" s="197"/>
      <c r="B115" s="114"/>
      <c r="C115" s="143"/>
      <c r="D115" s="140"/>
      <c r="E115" s="137"/>
      <c r="F115" s="173"/>
    </row>
    <row r="116" spans="1:6" s="149" customFormat="1">
      <c r="A116" s="200"/>
      <c r="B116" s="213" t="s">
        <v>615</v>
      </c>
      <c r="C116" s="205"/>
      <c r="D116" s="206"/>
      <c r="E116" s="209"/>
      <c r="F116" s="215">
        <f>F113+F109+F105+F104</f>
        <v>643576.5</v>
      </c>
    </row>
    <row r="117" spans="1:6" s="149" customFormat="1">
      <c r="A117" s="185"/>
      <c r="B117" s="142"/>
      <c r="C117" s="105"/>
      <c r="D117" s="106"/>
      <c r="E117" s="137"/>
      <c r="F117" s="139"/>
    </row>
    <row r="118" spans="1:6" s="149" customFormat="1">
      <c r="A118" s="185"/>
      <c r="B118" s="142"/>
      <c r="C118" s="105"/>
      <c r="D118" s="106"/>
      <c r="E118" s="137"/>
      <c r="F118" s="139"/>
    </row>
    <row r="119" spans="1:6" s="149" customFormat="1">
      <c r="A119" s="185"/>
      <c r="B119" s="142"/>
      <c r="C119" s="105"/>
      <c r="D119" s="106"/>
      <c r="E119" s="137"/>
      <c r="F119" s="139"/>
    </row>
    <row r="120" spans="1:6" s="141" customFormat="1">
      <c r="A120" s="192"/>
      <c r="B120" s="104"/>
      <c r="C120" s="175"/>
      <c r="D120" s="136"/>
      <c r="E120" s="138"/>
      <c r="F120" s="176"/>
    </row>
    <row r="121" spans="1:6" s="141" customFormat="1">
      <c r="A121" s="192"/>
      <c r="B121" s="104"/>
      <c r="C121" s="175"/>
      <c r="D121" s="136"/>
      <c r="E121" s="138"/>
      <c r="F121" s="176"/>
    </row>
    <row r="122" spans="1:6" s="141" customFormat="1">
      <c r="A122" s="192"/>
      <c r="B122" s="104"/>
      <c r="C122" s="175"/>
      <c r="D122" s="136"/>
      <c r="E122" s="138"/>
      <c r="F122" s="176"/>
    </row>
    <row r="123" spans="1:6" s="141" customFormat="1">
      <c r="A123" s="192"/>
      <c r="B123" s="104"/>
      <c r="C123" s="175"/>
      <c r="D123" s="136"/>
      <c r="E123" s="138"/>
      <c r="F123" s="176"/>
    </row>
    <row r="126" spans="1:6" s="109" customFormat="1">
      <c r="A126" s="192"/>
      <c r="B126" s="104"/>
      <c r="C126" s="175"/>
      <c r="D126" s="136"/>
      <c r="E126" s="138"/>
      <c r="F126" s="176"/>
    </row>
    <row r="127" spans="1:6" s="109" customFormat="1">
      <c r="A127" s="192"/>
      <c r="B127" s="104"/>
      <c r="C127" s="175"/>
      <c r="D127" s="136"/>
      <c r="E127" s="138"/>
      <c r="F127" s="176"/>
    </row>
    <row r="130" spans="1:6" s="141" customFormat="1">
      <c r="A130" s="192"/>
      <c r="B130" s="104"/>
      <c r="C130" s="175"/>
      <c r="D130" s="136"/>
      <c r="E130" s="138"/>
      <c r="F130" s="176"/>
    </row>
    <row r="131" spans="1:6" s="141" customFormat="1">
      <c r="A131" s="192"/>
      <c r="B131" s="104"/>
      <c r="C131" s="175"/>
      <c r="D131" s="136"/>
      <c r="E131" s="138"/>
      <c r="F131" s="176"/>
    </row>
    <row r="132" spans="1:6" s="141" customFormat="1">
      <c r="A132" s="192"/>
      <c r="B132" s="104"/>
      <c r="C132" s="175"/>
      <c r="D132" s="136"/>
      <c r="E132" s="138"/>
      <c r="F132" s="176"/>
    </row>
    <row r="133" spans="1:6" s="141" customFormat="1">
      <c r="A133" s="192"/>
      <c r="B133" s="104"/>
      <c r="C133" s="175"/>
      <c r="D133" s="136"/>
      <c r="E133" s="138"/>
      <c r="F133" s="176"/>
    </row>
    <row r="134" spans="1:6" s="141" customFormat="1">
      <c r="A134" s="192"/>
      <c r="B134" s="104"/>
      <c r="C134" s="175"/>
      <c r="D134" s="136"/>
      <c r="E134" s="138"/>
      <c r="F134" s="176"/>
    </row>
    <row r="135" spans="1:6" s="141" customFormat="1">
      <c r="A135" s="192"/>
      <c r="B135" s="104"/>
      <c r="C135" s="175"/>
      <c r="D135" s="136"/>
      <c r="E135" s="138"/>
      <c r="F135" s="176"/>
    </row>
    <row r="136" spans="1:6" s="141" customFormat="1">
      <c r="A136" s="192"/>
      <c r="B136" s="104"/>
      <c r="C136" s="175"/>
      <c r="D136" s="136"/>
      <c r="E136" s="138"/>
      <c r="F136" s="176"/>
    </row>
    <row r="137" spans="1:6" s="141" customFormat="1">
      <c r="A137" s="192"/>
      <c r="B137" s="104"/>
      <c r="C137" s="175"/>
      <c r="D137" s="136"/>
      <c r="E137" s="138"/>
      <c r="F137" s="176"/>
    </row>
    <row r="138" spans="1:6" s="141" customFormat="1">
      <c r="A138" s="192"/>
      <c r="B138" s="104"/>
      <c r="C138" s="175"/>
      <c r="D138" s="136"/>
      <c r="E138" s="138"/>
      <c r="F138" s="176"/>
    </row>
    <row r="139" spans="1:6" s="141" customFormat="1">
      <c r="A139" s="192"/>
      <c r="B139" s="104"/>
      <c r="C139" s="175"/>
      <c r="D139" s="136"/>
      <c r="E139" s="138"/>
      <c r="F139" s="176"/>
    </row>
    <row r="140" spans="1:6" s="141" customFormat="1">
      <c r="A140" s="192"/>
      <c r="B140" s="104"/>
      <c r="C140" s="175"/>
      <c r="D140" s="136"/>
      <c r="E140" s="138"/>
      <c r="F140" s="176"/>
    </row>
    <row r="141" spans="1:6" s="141" customFormat="1">
      <c r="A141" s="192"/>
      <c r="B141" s="104"/>
      <c r="C141" s="175"/>
      <c r="D141" s="136"/>
      <c r="E141" s="138"/>
      <c r="F141" s="176"/>
    </row>
    <row r="142" spans="1:6" s="141" customFormat="1">
      <c r="A142" s="192"/>
      <c r="B142" s="104"/>
      <c r="C142" s="175"/>
      <c r="D142" s="136"/>
      <c r="E142" s="138"/>
      <c r="F142" s="176"/>
    </row>
    <row r="143" spans="1:6" s="141" customFormat="1">
      <c r="A143" s="192"/>
      <c r="B143" s="104"/>
      <c r="C143" s="175"/>
      <c r="D143" s="136"/>
      <c r="E143" s="138"/>
      <c r="F143" s="176"/>
    </row>
    <row r="144" spans="1:6" s="141" customFormat="1">
      <c r="A144" s="192"/>
      <c r="B144" s="104"/>
      <c r="C144" s="175"/>
      <c r="D144" s="136"/>
      <c r="E144" s="138"/>
      <c r="F144" s="176"/>
    </row>
    <row r="145" spans="1:6" s="141" customFormat="1">
      <c r="A145" s="192"/>
      <c r="B145" s="104"/>
      <c r="C145" s="175"/>
      <c r="D145" s="136"/>
      <c r="E145" s="138"/>
      <c r="F145" s="176"/>
    </row>
    <row r="146" spans="1:6" s="141" customFormat="1">
      <c r="A146" s="192"/>
      <c r="B146" s="104"/>
      <c r="C146" s="175"/>
      <c r="D146" s="136"/>
      <c r="E146" s="138"/>
      <c r="F146" s="176"/>
    </row>
    <row r="147" spans="1:6" s="141" customFormat="1">
      <c r="A147" s="192"/>
      <c r="B147" s="104"/>
      <c r="C147" s="175"/>
      <c r="D147" s="136"/>
      <c r="E147" s="138"/>
      <c r="F147" s="176"/>
    </row>
    <row r="148" spans="1:6" s="141" customFormat="1">
      <c r="A148" s="192"/>
      <c r="B148" s="104"/>
      <c r="C148" s="175"/>
      <c r="D148" s="136"/>
      <c r="E148" s="138"/>
      <c r="F148" s="176"/>
    </row>
    <row r="149" spans="1:6" s="141" customFormat="1">
      <c r="A149" s="192"/>
      <c r="B149" s="104"/>
      <c r="C149" s="175"/>
      <c r="D149" s="136"/>
      <c r="E149" s="138"/>
      <c r="F149" s="176"/>
    </row>
    <row r="150" spans="1:6" s="141" customFormat="1">
      <c r="A150" s="192"/>
      <c r="B150" s="104"/>
      <c r="C150" s="175"/>
      <c r="D150" s="136"/>
      <c r="E150" s="138"/>
      <c r="F150" s="176"/>
    </row>
    <row r="151" spans="1:6" s="141" customFormat="1">
      <c r="A151" s="192"/>
      <c r="B151" s="104"/>
      <c r="C151" s="175"/>
      <c r="D151" s="136"/>
      <c r="E151" s="138"/>
      <c r="F151" s="176"/>
    </row>
    <row r="152" spans="1:6" s="141" customFormat="1">
      <c r="A152" s="192"/>
      <c r="B152" s="104"/>
      <c r="C152" s="175"/>
      <c r="D152" s="136"/>
      <c r="E152" s="138"/>
      <c r="F152" s="176"/>
    </row>
    <row r="153" spans="1:6" s="141" customFormat="1">
      <c r="A153" s="192"/>
      <c r="B153" s="104"/>
      <c r="C153" s="175"/>
      <c r="D153" s="136"/>
      <c r="E153" s="138"/>
      <c r="F153" s="176"/>
    </row>
    <row r="154" spans="1:6" s="141" customFormat="1">
      <c r="A154" s="192"/>
      <c r="B154" s="104"/>
      <c r="C154" s="175"/>
      <c r="D154" s="136"/>
      <c r="E154" s="138"/>
      <c r="F154" s="176"/>
    </row>
    <row r="155" spans="1:6" s="141" customFormat="1">
      <c r="A155" s="192"/>
      <c r="B155" s="104"/>
      <c r="C155" s="175"/>
      <c r="D155" s="136"/>
      <c r="E155" s="138"/>
      <c r="F155" s="176"/>
    </row>
    <row r="156" spans="1:6" s="141" customFormat="1">
      <c r="A156" s="192"/>
      <c r="B156" s="104"/>
      <c r="C156" s="175"/>
      <c r="D156" s="136"/>
      <c r="E156" s="138"/>
      <c r="F156" s="176"/>
    </row>
    <row r="157" spans="1:6" s="141" customFormat="1">
      <c r="A157" s="192"/>
      <c r="B157" s="104"/>
      <c r="C157" s="175"/>
      <c r="D157" s="136"/>
      <c r="E157" s="138"/>
      <c r="F157" s="176"/>
    </row>
    <row r="158" spans="1:6" s="141" customFormat="1">
      <c r="A158" s="192"/>
      <c r="B158" s="104"/>
      <c r="C158" s="175"/>
      <c r="D158" s="136"/>
      <c r="E158" s="138"/>
      <c r="F158" s="176"/>
    </row>
    <row r="159" spans="1:6" s="141" customFormat="1">
      <c r="A159" s="192"/>
      <c r="B159" s="104"/>
      <c r="C159" s="175"/>
      <c r="D159" s="136"/>
      <c r="E159" s="138"/>
      <c r="F159" s="176"/>
    </row>
    <row r="160" spans="1:6" s="141" customFormat="1">
      <c r="A160" s="192"/>
      <c r="B160" s="104"/>
      <c r="C160" s="175"/>
      <c r="D160" s="136"/>
      <c r="E160" s="138"/>
      <c r="F160" s="176"/>
    </row>
    <row r="161" spans="1:6" s="141" customFormat="1">
      <c r="A161" s="192"/>
      <c r="B161" s="104"/>
      <c r="C161" s="175"/>
      <c r="D161" s="136"/>
      <c r="E161" s="138"/>
      <c r="F161" s="176"/>
    </row>
    <row r="162" spans="1:6" s="141" customFormat="1">
      <c r="A162" s="192"/>
      <c r="B162" s="104"/>
      <c r="C162" s="175"/>
      <c r="D162" s="136"/>
      <c r="E162" s="138"/>
      <c r="F162" s="176"/>
    </row>
    <row r="163" spans="1:6" s="141" customFormat="1">
      <c r="A163" s="192"/>
      <c r="B163" s="104"/>
      <c r="C163" s="175"/>
      <c r="D163" s="136"/>
      <c r="E163" s="138"/>
      <c r="F163" s="176"/>
    </row>
    <row r="164" spans="1:6" s="141" customFormat="1">
      <c r="A164" s="192"/>
      <c r="B164" s="104"/>
      <c r="C164" s="175"/>
      <c r="D164" s="136"/>
      <c r="E164" s="138"/>
      <c r="F164" s="176"/>
    </row>
    <row r="165" spans="1:6" s="141" customFormat="1">
      <c r="A165" s="192"/>
      <c r="B165" s="104"/>
      <c r="C165" s="175"/>
      <c r="D165" s="136"/>
      <c r="E165" s="138"/>
      <c r="F165" s="176"/>
    </row>
    <row r="166" spans="1:6" s="141" customFormat="1">
      <c r="A166" s="192"/>
      <c r="B166" s="104"/>
      <c r="C166" s="175"/>
      <c r="D166" s="136"/>
      <c r="E166" s="138"/>
      <c r="F166" s="176"/>
    </row>
    <row r="167" spans="1:6" s="141" customFormat="1">
      <c r="A167" s="192"/>
      <c r="B167" s="104"/>
      <c r="C167" s="175"/>
      <c r="D167" s="136"/>
      <c r="E167" s="138"/>
      <c r="F167" s="176"/>
    </row>
    <row r="168" spans="1:6" s="141" customFormat="1">
      <c r="A168" s="192"/>
      <c r="B168" s="104"/>
      <c r="C168" s="175"/>
      <c r="D168" s="136"/>
      <c r="E168" s="138"/>
      <c r="F168" s="176"/>
    </row>
    <row r="169" spans="1:6" s="141" customFormat="1">
      <c r="A169" s="192"/>
      <c r="B169" s="104"/>
      <c r="C169" s="175"/>
      <c r="D169" s="136"/>
      <c r="E169" s="138"/>
      <c r="F169" s="176"/>
    </row>
    <row r="170" spans="1:6" s="141" customFormat="1">
      <c r="A170" s="192"/>
      <c r="B170" s="104"/>
      <c r="C170" s="175"/>
      <c r="D170" s="136"/>
      <c r="E170" s="138"/>
      <c r="F170" s="176"/>
    </row>
    <row r="171" spans="1:6" s="141" customFormat="1">
      <c r="A171" s="192"/>
      <c r="B171" s="104"/>
      <c r="C171" s="175"/>
      <c r="D171" s="136"/>
      <c r="E171" s="138"/>
      <c r="F171" s="176"/>
    </row>
    <row r="172" spans="1:6" s="141" customFormat="1">
      <c r="A172" s="192"/>
      <c r="B172" s="104"/>
      <c r="C172" s="175"/>
      <c r="D172" s="136"/>
      <c r="E172" s="138"/>
      <c r="F172" s="176"/>
    </row>
    <row r="173" spans="1:6" s="141" customFormat="1">
      <c r="A173" s="192"/>
      <c r="B173" s="104"/>
      <c r="C173" s="175"/>
      <c r="D173" s="136"/>
      <c r="E173" s="138"/>
      <c r="F173" s="176"/>
    </row>
    <row r="174" spans="1:6" s="141" customFormat="1">
      <c r="A174" s="192"/>
      <c r="B174" s="104"/>
      <c r="C174" s="175"/>
      <c r="D174" s="136"/>
      <c r="E174" s="138"/>
      <c r="F174" s="176"/>
    </row>
    <row r="175" spans="1:6" s="141" customFormat="1">
      <c r="A175" s="192"/>
      <c r="B175" s="104"/>
      <c r="C175" s="175"/>
      <c r="D175" s="136"/>
      <c r="E175" s="138"/>
      <c r="F175" s="176"/>
    </row>
    <row r="176" spans="1:6" s="141" customFormat="1">
      <c r="A176" s="192"/>
      <c r="B176" s="104"/>
      <c r="C176" s="175"/>
      <c r="D176" s="136"/>
      <c r="E176" s="138"/>
      <c r="F176" s="176"/>
    </row>
    <row r="177" spans="1:6" s="141" customFormat="1">
      <c r="A177" s="192"/>
      <c r="B177" s="104"/>
      <c r="C177" s="175"/>
      <c r="D177" s="136"/>
      <c r="E177" s="138"/>
      <c r="F177" s="176"/>
    </row>
    <row r="178" spans="1:6" s="141" customFormat="1">
      <c r="A178" s="192"/>
      <c r="B178" s="104"/>
      <c r="C178" s="175"/>
      <c r="D178" s="136"/>
      <c r="E178" s="138"/>
      <c r="F178" s="176"/>
    </row>
    <row r="179" spans="1:6" s="141" customFormat="1">
      <c r="A179" s="192"/>
      <c r="B179" s="104"/>
      <c r="C179" s="175"/>
      <c r="D179" s="136"/>
      <c r="E179" s="138"/>
      <c r="F179" s="176"/>
    </row>
    <row r="180" spans="1:6" s="141" customFormat="1">
      <c r="A180" s="192"/>
      <c r="B180" s="104"/>
      <c r="C180" s="175"/>
      <c r="D180" s="136"/>
      <c r="E180" s="138"/>
      <c r="F180" s="176"/>
    </row>
    <row r="181" spans="1:6" s="141" customFormat="1">
      <c r="A181" s="192"/>
      <c r="B181" s="104"/>
      <c r="C181" s="175"/>
      <c r="D181" s="136"/>
      <c r="E181" s="138"/>
      <c r="F181" s="176"/>
    </row>
    <row r="182" spans="1:6" s="141" customFormat="1">
      <c r="A182" s="192"/>
      <c r="B182" s="104"/>
      <c r="C182" s="175"/>
      <c r="D182" s="136"/>
      <c r="E182" s="138"/>
      <c r="F182" s="176"/>
    </row>
    <row r="183" spans="1:6" s="141" customFormat="1">
      <c r="A183" s="192"/>
      <c r="B183" s="104"/>
      <c r="C183" s="175"/>
      <c r="D183" s="136"/>
      <c r="E183" s="138"/>
      <c r="F183" s="176"/>
    </row>
    <row r="184" spans="1:6" s="141" customFormat="1">
      <c r="A184" s="192"/>
      <c r="B184" s="104"/>
      <c r="C184" s="175"/>
      <c r="D184" s="136"/>
      <c r="E184" s="138"/>
      <c r="F184" s="176"/>
    </row>
    <row r="185" spans="1:6" s="141" customFormat="1">
      <c r="A185" s="192"/>
      <c r="B185" s="104"/>
      <c r="C185" s="175"/>
      <c r="D185" s="136"/>
      <c r="E185" s="138"/>
      <c r="F185" s="176"/>
    </row>
    <row r="186" spans="1:6" s="141" customFormat="1">
      <c r="A186" s="192"/>
      <c r="B186" s="104"/>
      <c r="C186" s="175"/>
      <c r="D186" s="136"/>
      <c r="E186" s="138"/>
      <c r="F186" s="176"/>
    </row>
    <row r="187" spans="1:6" s="141" customFormat="1">
      <c r="A187" s="192"/>
      <c r="B187" s="104"/>
      <c r="C187" s="175"/>
      <c r="D187" s="136"/>
      <c r="E187" s="138"/>
      <c r="F187" s="176"/>
    </row>
    <row r="188" spans="1:6" s="141" customFormat="1">
      <c r="A188" s="192"/>
      <c r="B188" s="104"/>
      <c r="C188" s="175"/>
      <c r="D188" s="136"/>
      <c r="E188" s="138"/>
      <c r="F188" s="176"/>
    </row>
    <row r="189" spans="1:6" s="141" customFormat="1">
      <c r="A189" s="192"/>
      <c r="B189" s="104"/>
      <c r="C189" s="175"/>
      <c r="D189" s="136"/>
      <c r="E189" s="138"/>
      <c r="F189" s="176"/>
    </row>
    <row r="190" spans="1:6" s="141" customFormat="1">
      <c r="A190" s="192"/>
      <c r="B190" s="104"/>
      <c r="C190" s="175"/>
      <c r="D190" s="136"/>
      <c r="E190" s="138"/>
      <c r="F190" s="176"/>
    </row>
    <row r="191" spans="1:6" s="141" customFormat="1">
      <c r="A191" s="192"/>
      <c r="B191" s="104"/>
      <c r="C191" s="175"/>
      <c r="D191" s="136"/>
      <c r="E191" s="138"/>
      <c r="F191" s="176"/>
    </row>
    <row r="192" spans="1:6" s="141" customFormat="1">
      <c r="A192" s="192"/>
      <c r="B192" s="104"/>
      <c r="C192" s="175"/>
      <c r="D192" s="136"/>
      <c r="E192" s="138"/>
      <c r="F192" s="176"/>
    </row>
    <row r="193" spans="1:6" s="141" customFormat="1">
      <c r="A193" s="192"/>
      <c r="B193" s="104"/>
      <c r="C193" s="175"/>
      <c r="D193" s="136"/>
      <c r="E193" s="138"/>
      <c r="F193" s="176"/>
    </row>
    <row r="196" spans="1:6" s="109" customFormat="1">
      <c r="A196" s="192"/>
      <c r="B196" s="104"/>
      <c r="C196" s="175"/>
      <c r="D196" s="136"/>
      <c r="E196" s="138"/>
      <c r="F196" s="176"/>
    </row>
    <row r="197" spans="1:6" s="109" customFormat="1">
      <c r="A197" s="192"/>
      <c r="B197" s="104"/>
      <c r="C197" s="175"/>
      <c r="D197" s="136"/>
      <c r="E197" s="138"/>
      <c r="F197" s="176"/>
    </row>
    <row r="198" spans="1:6" s="109" customFormat="1">
      <c r="A198" s="192"/>
      <c r="B198" s="104"/>
      <c r="C198" s="175"/>
      <c r="D198" s="136"/>
      <c r="E198" s="138"/>
      <c r="F198" s="176"/>
    </row>
    <row r="199" spans="1:6" s="109" customFormat="1">
      <c r="A199" s="192"/>
      <c r="B199" s="104"/>
      <c r="C199" s="175"/>
      <c r="D199" s="136"/>
      <c r="E199" s="138"/>
      <c r="F199" s="176"/>
    </row>
    <row r="200" spans="1:6" s="109" customFormat="1">
      <c r="A200" s="192"/>
      <c r="B200" s="104"/>
      <c r="C200" s="175"/>
      <c r="D200" s="136"/>
      <c r="E200" s="138"/>
      <c r="F200" s="176"/>
    </row>
    <row r="201" spans="1:6" s="109" customFormat="1">
      <c r="A201" s="192"/>
      <c r="B201" s="104"/>
      <c r="C201" s="175"/>
      <c r="D201" s="136"/>
      <c r="E201" s="138"/>
      <c r="F201" s="176"/>
    </row>
    <row r="202" spans="1:6" s="109" customFormat="1">
      <c r="A202" s="192"/>
      <c r="B202" s="104"/>
      <c r="C202" s="175"/>
      <c r="D202" s="136"/>
      <c r="E202" s="138"/>
      <c r="F202" s="176"/>
    </row>
    <row r="203" spans="1:6" s="141" customFormat="1">
      <c r="A203" s="192"/>
      <c r="B203" s="104"/>
      <c r="C203" s="175"/>
      <c r="D203" s="136"/>
      <c r="E203" s="138"/>
      <c r="F203" s="176"/>
    </row>
    <row r="204" spans="1:6" s="141" customFormat="1">
      <c r="A204" s="192"/>
      <c r="B204" s="104"/>
      <c r="C204" s="175"/>
      <c r="D204" s="136"/>
      <c r="E204" s="138"/>
      <c r="F204" s="176"/>
    </row>
    <row r="205" spans="1:6" s="141" customFormat="1">
      <c r="A205" s="192"/>
      <c r="B205" s="104"/>
      <c r="C205" s="175"/>
      <c r="D205" s="136"/>
      <c r="E205" s="138"/>
      <c r="F205" s="176"/>
    </row>
    <row r="206" spans="1:6" s="141" customFormat="1">
      <c r="A206" s="192"/>
      <c r="B206" s="104"/>
      <c r="C206" s="175"/>
      <c r="D206" s="136"/>
      <c r="E206" s="138"/>
      <c r="F206" s="176"/>
    </row>
    <row r="207" spans="1:6" s="141" customFormat="1">
      <c r="A207" s="192"/>
      <c r="B207" s="104"/>
      <c r="C207" s="175"/>
      <c r="D207" s="136"/>
      <c r="E207" s="138"/>
      <c r="F207" s="176"/>
    </row>
    <row r="208" spans="1:6" s="141" customFormat="1">
      <c r="A208" s="192"/>
      <c r="B208" s="104"/>
      <c r="C208" s="175"/>
      <c r="D208" s="136"/>
      <c r="E208" s="138"/>
      <c r="F208" s="176"/>
    </row>
    <row r="209" spans="1:6" s="141" customFormat="1">
      <c r="A209" s="192"/>
      <c r="B209" s="104"/>
      <c r="C209" s="175"/>
      <c r="D209" s="136"/>
      <c r="E209" s="138"/>
      <c r="F209" s="176"/>
    </row>
    <row r="210" spans="1:6" s="141" customFormat="1">
      <c r="A210" s="192"/>
      <c r="B210" s="104"/>
      <c r="C210" s="175"/>
      <c r="D210" s="136"/>
      <c r="E210" s="138"/>
      <c r="F210" s="176"/>
    </row>
    <row r="211" spans="1:6" s="141" customFormat="1">
      <c r="A211" s="192"/>
      <c r="B211" s="104"/>
      <c r="C211" s="175"/>
      <c r="D211" s="136"/>
      <c r="E211" s="138"/>
      <c r="F211" s="176"/>
    </row>
    <row r="212" spans="1:6" s="141" customFormat="1">
      <c r="A212" s="192"/>
      <c r="B212" s="104"/>
      <c r="C212" s="175"/>
      <c r="D212" s="136"/>
      <c r="E212" s="138"/>
      <c r="F212" s="176"/>
    </row>
    <row r="213" spans="1:6" s="141" customFormat="1">
      <c r="A213" s="192"/>
      <c r="B213" s="104"/>
      <c r="C213" s="175"/>
      <c r="D213" s="136"/>
      <c r="E213" s="138"/>
      <c r="F213" s="176"/>
    </row>
    <row r="214" spans="1:6" s="141" customFormat="1">
      <c r="A214" s="192"/>
      <c r="B214" s="104"/>
      <c r="C214" s="175"/>
      <c r="D214" s="136"/>
      <c r="E214" s="138"/>
      <c r="F214" s="176"/>
    </row>
    <row r="215" spans="1:6" s="141" customFormat="1">
      <c r="A215" s="192"/>
      <c r="B215" s="104"/>
      <c r="C215" s="175"/>
      <c r="D215" s="136"/>
      <c r="E215" s="138"/>
      <c r="F215" s="176"/>
    </row>
    <row r="216" spans="1:6" s="141" customFormat="1">
      <c r="A216" s="192"/>
      <c r="B216" s="104"/>
      <c r="C216" s="175"/>
      <c r="D216" s="136"/>
      <c r="E216" s="138"/>
      <c r="F216" s="176"/>
    </row>
    <row r="217" spans="1:6" s="141" customFormat="1">
      <c r="A217" s="192"/>
      <c r="B217" s="104"/>
      <c r="C217" s="175"/>
      <c r="D217" s="136"/>
      <c r="E217" s="138"/>
      <c r="F217" s="176"/>
    </row>
    <row r="218" spans="1:6" s="141" customFormat="1">
      <c r="A218" s="192"/>
      <c r="B218" s="104"/>
      <c r="C218" s="175"/>
      <c r="D218" s="136"/>
      <c r="E218" s="138"/>
      <c r="F218" s="176"/>
    </row>
    <row r="219" spans="1:6" s="141" customFormat="1">
      <c r="A219" s="192"/>
      <c r="B219" s="104"/>
      <c r="C219" s="175"/>
      <c r="D219" s="136"/>
      <c r="E219" s="138"/>
      <c r="F219" s="176"/>
    </row>
    <row r="220" spans="1:6" s="141" customFormat="1">
      <c r="A220" s="192"/>
      <c r="B220" s="104"/>
      <c r="C220" s="175"/>
      <c r="D220" s="136"/>
      <c r="E220" s="138"/>
      <c r="F220" s="176"/>
    </row>
    <row r="221" spans="1:6" s="141" customFormat="1">
      <c r="A221" s="192"/>
      <c r="B221" s="104"/>
      <c r="C221" s="175"/>
      <c r="D221" s="136"/>
      <c r="E221" s="138"/>
      <c r="F221" s="176"/>
    </row>
    <row r="222" spans="1:6" s="141" customFormat="1">
      <c r="A222" s="192"/>
      <c r="B222" s="104"/>
      <c r="C222" s="175"/>
      <c r="D222" s="136"/>
      <c r="E222" s="138"/>
      <c r="F222" s="176"/>
    </row>
    <row r="223" spans="1:6" s="141" customFormat="1">
      <c r="A223" s="192"/>
      <c r="B223" s="104"/>
      <c r="C223" s="175"/>
      <c r="D223" s="136"/>
      <c r="E223" s="138"/>
      <c r="F223" s="176"/>
    </row>
    <row r="224" spans="1:6" s="141" customFormat="1">
      <c r="A224" s="192"/>
      <c r="B224" s="104"/>
      <c r="C224" s="175"/>
      <c r="D224" s="136"/>
      <c r="E224" s="138"/>
      <c r="F224" s="176"/>
    </row>
    <row r="225" spans="1:6" s="141" customFormat="1">
      <c r="A225" s="192"/>
      <c r="B225" s="104"/>
      <c r="C225" s="175"/>
      <c r="D225" s="136"/>
      <c r="E225" s="138"/>
      <c r="F225" s="176"/>
    </row>
    <row r="226" spans="1:6" s="141" customFormat="1">
      <c r="A226" s="192"/>
      <c r="B226" s="104"/>
      <c r="C226" s="175"/>
      <c r="D226" s="136"/>
      <c r="E226" s="138"/>
      <c r="F226" s="176"/>
    </row>
    <row r="227" spans="1:6" s="141" customFormat="1">
      <c r="A227" s="192"/>
      <c r="B227" s="104"/>
      <c r="C227" s="175"/>
      <c r="D227" s="136"/>
      <c r="E227" s="138"/>
      <c r="F227" s="176"/>
    </row>
    <row r="228" spans="1:6" s="141" customFormat="1">
      <c r="A228" s="192"/>
      <c r="B228" s="104"/>
      <c r="C228" s="175"/>
      <c r="D228" s="136"/>
      <c r="E228" s="138"/>
      <c r="F228" s="176"/>
    </row>
    <row r="229" spans="1:6" s="141" customFormat="1">
      <c r="A229" s="192"/>
      <c r="B229" s="104"/>
      <c r="C229" s="175"/>
      <c r="D229" s="136"/>
      <c r="E229" s="138"/>
      <c r="F229" s="176"/>
    </row>
    <row r="230" spans="1:6" s="141" customFormat="1">
      <c r="A230" s="192"/>
      <c r="B230" s="104"/>
      <c r="C230" s="175"/>
      <c r="D230" s="136"/>
      <c r="E230" s="138"/>
      <c r="F230" s="176"/>
    </row>
    <row r="231" spans="1:6" s="141" customFormat="1">
      <c r="A231" s="192"/>
      <c r="B231" s="104"/>
      <c r="C231" s="175"/>
      <c r="D231" s="136"/>
      <c r="E231" s="138"/>
      <c r="F231" s="176"/>
    </row>
    <row r="232" spans="1:6" s="141" customFormat="1">
      <c r="A232" s="192"/>
      <c r="B232" s="104"/>
      <c r="C232" s="175"/>
      <c r="D232" s="136"/>
      <c r="E232" s="138"/>
      <c r="F232" s="176"/>
    </row>
    <row r="233" spans="1:6" s="141" customFormat="1">
      <c r="A233" s="192"/>
      <c r="B233" s="104"/>
      <c r="C233" s="175"/>
      <c r="D233" s="136"/>
      <c r="E233" s="138"/>
      <c r="F233" s="176"/>
    </row>
    <row r="234" spans="1:6" s="141" customFormat="1">
      <c r="A234" s="192"/>
      <c r="B234" s="104"/>
      <c r="C234" s="175"/>
      <c r="D234" s="136"/>
      <c r="E234" s="138"/>
      <c r="F234" s="176"/>
    </row>
    <row r="235" spans="1:6" s="141" customFormat="1">
      <c r="A235" s="192"/>
      <c r="B235" s="104"/>
      <c r="C235" s="175"/>
      <c r="D235" s="136"/>
      <c r="E235" s="138"/>
      <c r="F235" s="176"/>
    </row>
    <row r="236" spans="1:6" s="141" customFormat="1">
      <c r="A236" s="192"/>
      <c r="B236" s="104"/>
      <c r="C236" s="175"/>
      <c r="D236" s="136"/>
      <c r="E236" s="138"/>
      <c r="F236" s="176"/>
    </row>
    <row r="237" spans="1:6" s="141" customFormat="1">
      <c r="A237" s="192"/>
      <c r="B237" s="104"/>
      <c r="C237" s="175"/>
      <c r="D237" s="136"/>
      <c r="E237" s="138"/>
      <c r="F237" s="176"/>
    </row>
    <row r="238" spans="1:6" s="141" customFormat="1">
      <c r="A238" s="192"/>
      <c r="B238" s="104"/>
      <c r="C238" s="175"/>
      <c r="D238" s="136"/>
      <c r="E238" s="138"/>
      <c r="F238" s="176"/>
    </row>
    <row r="239" spans="1:6" s="141" customFormat="1">
      <c r="A239" s="192"/>
      <c r="B239" s="104"/>
      <c r="C239" s="175"/>
      <c r="D239" s="136"/>
      <c r="E239" s="138"/>
      <c r="F239" s="176"/>
    </row>
    <row r="240" spans="1:6" s="141" customFormat="1">
      <c r="A240" s="192"/>
      <c r="B240" s="104"/>
      <c r="C240" s="175"/>
      <c r="D240" s="136"/>
      <c r="E240" s="138"/>
      <c r="F240" s="176"/>
    </row>
    <row r="241" spans="1:6" s="141" customFormat="1">
      <c r="A241" s="192"/>
      <c r="B241" s="104"/>
      <c r="C241" s="175"/>
      <c r="D241" s="136"/>
      <c r="E241" s="138"/>
      <c r="F241" s="176"/>
    </row>
    <row r="242" spans="1:6" s="141" customFormat="1">
      <c r="A242" s="192"/>
      <c r="B242" s="104"/>
      <c r="C242" s="175"/>
      <c r="D242" s="136"/>
      <c r="E242" s="138"/>
      <c r="F242" s="176"/>
    </row>
    <row r="243" spans="1:6" s="141" customFormat="1">
      <c r="A243" s="192"/>
      <c r="B243" s="104"/>
      <c r="C243" s="175"/>
      <c r="D243" s="136"/>
      <c r="E243" s="138"/>
      <c r="F243" s="176"/>
    </row>
    <row r="244" spans="1:6" s="141" customFormat="1">
      <c r="A244" s="192"/>
      <c r="B244" s="104"/>
      <c r="C244" s="175"/>
      <c r="D244" s="136"/>
      <c r="E244" s="138"/>
      <c r="F244" s="176"/>
    </row>
    <row r="245" spans="1:6" s="141" customFormat="1">
      <c r="A245" s="192"/>
      <c r="B245" s="104"/>
      <c r="C245" s="175"/>
      <c r="D245" s="136"/>
      <c r="E245" s="138"/>
      <c r="F245" s="176"/>
    </row>
    <row r="246" spans="1:6" s="141" customFormat="1">
      <c r="A246" s="192"/>
      <c r="B246" s="104"/>
      <c r="C246" s="175"/>
      <c r="D246" s="136"/>
      <c r="E246" s="138"/>
      <c r="F246" s="176"/>
    </row>
    <row r="247" spans="1:6" s="141" customFormat="1">
      <c r="A247" s="192"/>
      <c r="B247" s="104"/>
      <c r="C247" s="175"/>
      <c r="D247" s="136"/>
      <c r="E247" s="138"/>
      <c r="F247" s="176"/>
    </row>
    <row r="248" spans="1:6" s="141" customFormat="1">
      <c r="A248" s="192"/>
      <c r="B248" s="104"/>
      <c r="C248" s="175"/>
      <c r="D248" s="136"/>
      <c r="E248" s="138"/>
      <c r="F248" s="176"/>
    </row>
    <row r="249" spans="1:6" s="141" customFormat="1">
      <c r="A249" s="192"/>
      <c r="B249" s="104"/>
      <c r="C249" s="175"/>
      <c r="D249" s="136"/>
      <c r="E249" s="138"/>
      <c r="F249" s="176"/>
    </row>
    <row r="250" spans="1:6" s="141" customFormat="1">
      <c r="A250" s="192"/>
      <c r="B250" s="104"/>
      <c r="C250" s="175"/>
      <c r="D250" s="136"/>
      <c r="E250" s="138"/>
      <c r="F250" s="176"/>
    </row>
    <row r="251" spans="1:6" s="141" customFormat="1">
      <c r="A251" s="192"/>
      <c r="B251" s="104"/>
      <c r="C251" s="175"/>
      <c r="D251" s="136"/>
      <c r="E251" s="138"/>
      <c r="F251" s="176"/>
    </row>
    <row r="252" spans="1:6" s="141" customFormat="1">
      <c r="A252" s="192"/>
      <c r="B252" s="104"/>
      <c r="C252" s="175"/>
      <c r="D252" s="136"/>
      <c r="E252" s="138"/>
      <c r="F252" s="176"/>
    </row>
    <row r="253" spans="1:6" s="141" customFormat="1">
      <c r="A253" s="192"/>
      <c r="B253" s="104"/>
      <c r="C253" s="175"/>
      <c r="D253" s="136"/>
      <c r="E253" s="138"/>
      <c r="F253" s="176"/>
    </row>
    <row r="254" spans="1:6" s="141" customFormat="1">
      <c r="A254" s="192"/>
      <c r="B254" s="104"/>
      <c r="C254" s="175"/>
      <c r="D254" s="136"/>
      <c r="E254" s="138"/>
      <c r="F254" s="176"/>
    </row>
    <row r="255" spans="1:6" s="141" customFormat="1">
      <c r="A255" s="192"/>
      <c r="B255" s="104"/>
      <c r="C255" s="175"/>
      <c r="D255" s="136"/>
      <c r="E255" s="138"/>
      <c r="F255" s="176"/>
    </row>
    <row r="256" spans="1:6" s="141" customFormat="1">
      <c r="A256" s="192"/>
      <c r="B256" s="104"/>
      <c r="C256" s="175"/>
      <c r="D256" s="136"/>
      <c r="E256" s="138"/>
      <c r="F256" s="176"/>
    </row>
    <row r="257" spans="1:6" s="141" customFormat="1">
      <c r="A257" s="192"/>
      <c r="B257" s="104"/>
      <c r="C257" s="175"/>
      <c r="D257" s="136"/>
      <c r="E257" s="138"/>
      <c r="F257" s="176"/>
    </row>
    <row r="258" spans="1:6" s="141" customFormat="1">
      <c r="A258" s="192"/>
      <c r="B258" s="104"/>
      <c r="C258" s="175"/>
      <c r="D258" s="136"/>
      <c r="E258" s="138"/>
      <c r="F258" s="176"/>
    </row>
    <row r="259" spans="1:6" s="141" customFormat="1">
      <c r="A259" s="192"/>
      <c r="B259" s="104"/>
      <c r="C259" s="175"/>
      <c r="D259" s="136"/>
      <c r="E259" s="138"/>
      <c r="F259" s="176"/>
    </row>
    <row r="260" spans="1:6" s="141" customFormat="1">
      <c r="A260" s="192"/>
      <c r="B260" s="104"/>
      <c r="C260" s="175"/>
      <c r="D260" s="136"/>
      <c r="E260" s="138"/>
      <c r="F260" s="176"/>
    </row>
    <row r="261" spans="1:6" s="141" customFormat="1">
      <c r="A261" s="192"/>
      <c r="B261" s="104"/>
      <c r="C261" s="175"/>
      <c r="D261" s="136"/>
      <c r="E261" s="138"/>
      <c r="F261" s="176"/>
    </row>
    <row r="262" spans="1:6" s="141" customFormat="1">
      <c r="A262" s="192"/>
      <c r="B262" s="104"/>
      <c r="C262" s="175"/>
      <c r="D262" s="136"/>
      <c r="E262" s="138"/>
      <c r="F262" s="176"/>
    </row>
    <row r="263" spans="1:6" s="141" customFormat="1">
      <c r="A263" s="192"/>
      <c r="B263" s="104"/>
      <c r="C263" s="175"/>
      <c r="D263" s="136"/>
      <c r="E263" s="138"/>
      <c r="F263" s="176"/>
    </row>
    <row r="264" spans="1:6" s="141" customFormat="1">
      <c r="A264" s="192"/>
      <c r="B264" s="104"/>
      <c r="C264" s="175"/>
      <c r="D264" s="136"/>
      <c r="E264" s="138"/>
      <c r="F264" s="176"/>
    </row>
    <row r="265" spans="1:6" s="141" customFormat="1">
      <c r="A265" s="192"/>
      <c r="B265" s="104"/>
      <c r="C265" s="175"/>
      <c r="D265" s="136"/>
      <c r="E265" s="138"/>
      <c r="F265" s="176"/>
    </row>
    <row r="266" spans="1:6" s="141" customFormat="1">
      <c r="A266" s="192"/>
      <c r="B266" s="104"/>
      <c r="C266" s="175"/>
      <c r="D266" s="136"/>
      <c r="E266" s="138"/>
      <c r="F266" s="176"/>
    </row>
    <row r="267" spans="1:6" s="141" customFormat="1">
      <c r="A267" s="192"/>
      <c r="B267" s="104"/>
      <c r="C267" s="175"/>
      <c r="D267" s="136"/>
      <c r="E267" s="138"/>
      <c r="F267" s="176"/>
    </row>
    <row r="268" spans="1:6" s="141" customFormat="1">
      <c r="A268" s="192"/>
      <c r="B268" s="104"/>
      <c r="C268" s="175"/>
      <c r="D268" s="136"/>
      <c r="E268" s="138"/>
      <c r="F268" s="176"/>
    </row>
    <row r="269" spans="1:6" s="141" customFormat="1">
      <c r="A269" s="192"/>
      <c r="B269" s="104"/>
      <c r="C269" s="175"/>
      <c r="D269" s="136"/>
      <c r="E269" s="138"/>
      <c r="F269" s="176"/>
    </row>
    <row r="270" spans="1:6" s="141" customFormat="1">
      <c r="A270" s="192"/>
      <c r="B270" s="104"/>
      <c r="C270" s="175"/>
      <c r="D270" s="136"/>
      <c r="E270" s="138"/>
      <c r="F270" s="176"/>
    </row>
    <row r="271" spans="1:6" s="141" customFormat="1">
      <c r="A271" s="192"/>
      <c r="B271" s="104"/>
      <c r="C271" s="175"/>
      <c r="D271" s="136"/>
      <c r="E271" s="138"/>
      <c r="F271" s="176"/>
    </row>
    <row r="272" spans="1:6" s="141" customFormat="1">
      <c r="A272" s="192"/>
      <c r="B272" s="104"/>
      <c r="C272" s="175"/>
      <c r="D272" s="136"/>
      <c r="E272" s="138"/>
      <c r="F272" s="176"/>
    </row>
    <row r="273" spans="1:6" s="141" customFormat="1">
      <c r="A273" s="192"/>
      <c r="B273" s="104"/>
      <c r="C273" s="175"/>
      <c r="D273" s="136"/>
      <c r="E273" s="138"/>
      <c r="F273" s="176"/>
    </row>
    <row r="274" spans="1:6" s="141" customFormat="1">
      <c r="A274" s="192"/>
      <c r="B274" s="104"/>
      <c r="C274" s="175"/>
      <c r="D274" s="136"/>
      <c r="E274" s="138"/>
      <c r="F274" s="176"/>
    </row>
    <row r="275" spans="1:6" s="141" customFormat="1">
      <c r="A275" s="192"/>
      <c r="B275" s="104"/>
      <c r="C275" s="175"/>
      <c r="D275" s="136"/>
      <c r="E275" s="138"/>
      <c r="F275" s="176"/>
    </row>
    <row r="276" spans="1:6" s="141" customFormat="1">
      <c r="A276" s="192"/>
      <c r="B276" s="104"/>
      <c r="C276" s="175"/>
      <c r="D276" s="136"/>
      <c r="E276" s="138"/>
      <c r="F276" s="176"/>
    </row>
    <row r="277" spans="1:6" s="141" customFormat="1">
      <c r="A277" s="192"/>
      <c r="B277" s="104"/>
      <c r="C277" s="175"/>
      <c r="D277" s="136"/>
      <c r="E277" s="138"/>
      <c r="F277" s="176"/>
    </row>
    <row r="278" spans="1:6" s="141" customFormat="1">
      <c r="A278" s="192"/>
      <c r="B278" s="104"/>
      <c r="C278" s="175"/>
      <c r="D278" s="136"/>
      <c r="E278" s="138"/>
      <c r="F278" s="176"/>
    </row>
    <row r="279" spans="1:6" s="141" customFormat="1">
      <c r="A279" s="192"/>
      <c r="B279" s="104"/>
      <c r="C279" s="175"/>
      <c r="D279" s="136"/>
      <c r="E279" s="138"/>
      <c r="F279" s="176"/>
    </row>
    <row r="280" spans="1:6" s="141" customFormat="1">
      <c r="A280" s="192"/>
      <c r="B280" s="104"/>
      <c r="C280" s="175"/>
      <c r="D280" s="136"/>
      <c r="E280" s="138"/>
      <c r="F280" s="176"/>
    </row>
    <row r="281" spans="1:6" s="141" customFormat="1">
      <c r="A281" s="192"/>
      <c r="B281" s="104"/>
      <c r="C281" s="175"/>
      <c r="D281" s="136"/>
      <c r="E281" s="138"/>
      <c r="F281" s="176"/>
    </row>
    <row r="282" spans="1:6" s="141" customFormat="1">
      <c r="A282" s="192"/>
      <c r="B282" s="104"/>
      <c r="C282" s="175"/>
      <c r="D282" s="136"/>
      <c r="E282" s="138"/>
      <c r="F282" s="176"/>
    </row>
    <row r="283" spans="1:6" s="141" customFormat="1">
      <c r="A283" s="192"/>
      <c r="B283" s="104"/>
      <c r="C283" s="175"/>
      <c r="D283" s="136"/>
      <c r="E283" s="138"/>
      <c r="F283" s="176"/>
    </row>
    <row r="284" spans="1:6" s="141" customFormat="1">
      <c r="A284" s="192"/>
      <c r="B284" s="104"/>
      <c r="C284" s="175"/>
      <c r="D284" s="136"/>
      <c r="E284" s="138"/>
      <c r="F284" s="176"/>
    </row>
    <row r="285" spans="1:6" s="141" customFormat="1">
      <c r="A285" s="192"/>
      <c r="B285" s="104"/>
      <c r="C285" s="175"/>
      <c r="D285" s="136"/>
      <c r="E285" s="138"/>
      <c r="F285" s="176"/>
    </row>
    <row r="286" spans="1:6" s="141" customFormat="1">
      <c r="A286" s="192"/>
      <c r="B286" s="104"/>
      <c r="C286" s="175"/>
      <c r="D286" s="136"/>
      <c r="E286" s="138"/>
      <c r="F286" s="176"/>
    </row>
    <row r="287" spans="1:6" s="141" customFormat="1">
      <c r="A287" s="192"/>
      <c r="B287" s="104"/>
      <c r="C287" s="175"/>
      <c r="D287" s="136"/>
      <c r="E287" s="138"/>
      <c r="F287" s="176"/>
    </row>
    <row r="288" spans="1:6" s="141" customFormat="1">
      <c r="A288" s="192"/>
      <c r="B288" s="104"/>
      <c r="C288" s="175"/>
      <c r="D288" s="136"/>
      <c r="E288" s="138"/>
      <c r="F288" s="176"/>
    </row>
    <row r="289" spans="1:6" s="141" customFormat="1">
      <c r="A289" s="192"/>
      <c r="B289" s="104"/>
      <c r="C289" s="175"/>
      <c r="D289" s="136"/>
      <c r="E289" s="138"/>
      <c r="F289" s="176"/>
    </row>
    <row r="290" spans="1:6" s="141" customFormat="1">
      <c r="A290" s="192"/>
      <c r="B290" s="104"/>
      <c r="C290" s="175"/>
      <c r="D290" s="136"/>
      <c r="E290" s="138"/>
      <c r="F290" s="176"/>
    </row>
    <row r="291" spans="1:6" s="141" customFormat="1">
      <c r="A291" s="192"/>
      <c r="B291" s="104"/>
      <c r="C291" s="175"/>
      <c r="D291" s="136"/>
      <c r="E291" s="138"/>
      <c r="F291" s="176"/>
    </row>
    <row r="292" spans="1:6" s="141" customFormat="1">
      <c r="A292" s="192"/>
      <c r="B292" s="104"/>
      <c r="C292" s="175"/>
      <c r="D292" s="136"/>
      <c r="E292" s="138"/>
      <c r="F292" s="176"/>
    </row>
    <row r="293" spans="1:6" s="141" customFormat="1">
      <c r="A293" s="192"/>
      <c r="B293" s="104"/>
      <c r="C293" s="175"/>
      <c r="D293" s="136"/>
      <c r="E293" s="138"/>
      <c r="F293" s="176"/>
    </row>
    <row r="294" spans="1:6" s="141" customFormat="1">
      <c r="A294" s="192"/>
      <c r="B294" s="104"/>
      <c r="C294" s="175"/>
      <c r="D294" s="136"/>
      <c r="E294" s="138"/>
      <c r="F294" s="176"/>
    </row>
    <row r="295" spans="1:6" s="141" customFormat="1">
      <c r="A295" s="192"/>
      <c r="B295" s="104"/>
      <c r="C295" s="175"/>
      <c r="D295" s="136"/>
      <c r="E295" s="138"/>
      <c r="F295" s="176"/>
    </row>
    <row r="296" spans="1:6" s="141" customFormat="1">
      <c r="A296" s="192"/>
      <c r="B296" s="104"/>
      <c r="C296" s="175"/>
      <c r="D296" s="136"/>
      <c r="E296" s="138"/>
      <c r="F296" s="176"/>
    </row>
    <row r="297" spans="1:6" s="141" customFormat="1">
      <c r="A297" s="192"/>
      <c r="B297" s="104"/>
      <c r="C297" s="175"/>
      <c r="D297" s="136"/>
      <c r="E297" s="138"/>
      <c r="F297" s="176"/>
    </row>
    <row r="298" spans="1:6" s="141" customFormat="1">
      <c r="A298" s="192"/>
      <c r="B298" s="104"/>
      <c r="C298" s="175"/>
      <c r="D298" s="136"/>
      <c r="E298" s="138"/>
      <c r="F298" s="176"/>
    </row>
    <row r="299" spans="1:6" s="141" customFormat="1">
      <c r="A299" s="192"/>
      <c r="B299" s="104"/>
      <c r="C299" s="175"/>
      <c r="D299" s="136"/>
      <c r="E299" s="138"/>
      <c r="F299" s="176"/>
    </row>
    <row r="300" spans="1:6" s="141" customFormat="1">
      <c r="A300" s="192"/>
      <c r="B300" s="104"/>
      <c r="C300" s="175"/>
      <c r="D300" s="136"/>
      <c r="E300" s="138"/>
      <c r="F300" s="176"/>
    </row>
    <row r="301" spans="1:6" s="141" customFormat="1">
      <c r="A301" s="192"/>
      <c r="B301" s="104"/>
      <c r="C301" s="175"/>
      <c r="D301" s="136"/>
      <c r="E301" s="138"/>
      <c r="F301" s="176"/>
    </row>
    <row r="304" spans="1:6" s="109" customFormat="1">
      <c r="A304" s="192"/>
      <c r="B304" s="104"/>
      <c r="C304" s="175"/>
      <c r="D304" s="136"/>
      <c r="E304" s="138"/>
      <c r="F304" s="176"/>
    </row>
    <row r="305" spans="1:6" s="109" customFormat="1">
      <c r="A305" s="192"/>
      <c r="B305" s="104"/>
      <c r="C305" s="175"/>
      <c r="D305" s="136"/>
      <c r="E305" s="138"/>
      <c r="F305" s="176"/>
    </row>
    <row r="308" spans="1:6" s="141" customFormat="1">
      <c r="A308" s="192"/>
      <c r="B308" s="104"/>
      <c r="C308" s="175"/>
      <c r="D308" s="136"/>
      <c r="E308" s="138"/>
      <c r="F308" s="176"/>
    </row>
    <row r="309" spans="1:6" s="141" customFormat="1">
      <c r="A309" s="192"/>
      <c r="B309" s="104"/>
      <c r="C309" s="175"/>
      <c r="D309" s="136"/>
      <c r="E309" s="138"/>
      <c r="F309" s="176"/>
    </row>
    <row r="310" spans="1:6" s="141" customFormat="1">
      <c r="A310" s="192"/>
      <c r="B310" s="104"/>
      <c r="C310" s="175"/>
      <c r="D310" s="136"/>
      <c r="E310" s="138"/>
      <c r="F310" s="176"/>
    </row>
    <row r="311" spans="1:6" s="141" customFormat="1">
      <c r="A311" s="192"/>
      <c r="B311" s="104"/>
      <c r="C311" s="175"/>
      <c r="D311" s="136"/>
      <c r="E311" s="138"/>
      <c r="F311" s="176"/>
    </row>
    <row r="312" spans="1:6" s="141" customFormat="1">
      <c r="A312" s="192"/>
      <c r="B312" s="104"/>
      <c r="C312" s="175"/>
      <c r="D312" s="136"/>
      <c r="E312" s="138"/>
      <c r="F312" s="176"/>
    </row>
    <row r="313" spans="1:6" s="141" customFormat="1">
      <c r="A313" s="192"/>
      <c r="B313" s="104"/>
      <c r="C313" s="175"/>
      <c r="D313" s="136"/>
      <c r="E313" s="138"/>
      <c r="F313" s="176"/>
    </row>
    <row r="314" spans="1:6" s="141" customFormat="1">
      <c r="A314" s="192"/>
      <c r="B314" s="104"/>
      <c r="C314" s="175"/>
      <c r="D314" s="136"/>
      <c r="E314" s="138"/>
      <c r="F314" s="176"/>
    </row>
    <row r="315" spans="1:6" s="141" customFormat="1">
      <c r="A315" s="192"/>
      <c r="B315" s="104"/>
      <c r="C315" s="175"/>
      <c r="D315" s="136"/>
      <c r="E315" s="138"/>
      <c r="F315" s="176"/>
    </row>
    <row r="316" spans="1:6" s="141" customFormat="1">
      <c r="A316" s="192"/>
      <c r="B316" s="104"/>
      <c r="C316" s="175"/>
      <c r="D316" s="136"/>
      <c r="E316" s="138"/>
      <c r="F316" s="176"/>
    </row>
    <row r="317" spans="1:6" s="141" customFormat="1">
      <c r="A317" s="192"/>
      <c r="B317" s="104"/>
      <c r="C317" s="175"/>
      <c r="D317" s="136"/>
      <c r="E317" s="138"/>
      <c r="F317" s="176"/>
    </row>
    <row r="318" spans="1:6" s="141" customFormat="1">
      <c r="A318" s="192"/>
      <c r="B318" s="104"/>
      <c r="C318" s="175"/>
      <c r="D318" s="136"/>
      <c r="E318" s="138"/>
      <c r="F318" s="176"/>
    </row>
    <row r="319" spans="1:6" s="141" customFormat="1">
      <c r="A319" s="192"/>
      <c r="B319" s="104"/>
      <c r="C319" s="175"/>
      <c r="D319" s="136"/>
      <c r="E319" s="138"/>
      <c r="F319" s="176"/>
    </row>
    <row r="320" spans="1:6" s="141" customFormat="1">
      <c r="A320" s="192"/>
      <c r="B320" s="104"/>
      <c r="C320" s="175"/>
      <c r="D320" s="136"/>
      <c r="E320" s="138"/>
      <c r="F320" s="176"/>
    </row>
    <row r="321" spans="1:6" s="141" customFormat="1">
      <c r="A321" s="192"/>
      <c r="B321" s="104"/>
      <c r="C321" s="175"/>
      <c r="D321" s="136"/>
      <c r="E321" s="138"/>
      <c r="F321" s="176"/>
    </row>
    <row r="322" spans="1:6" s="141" customFormat="1">
      <c r="A322" s="192"/>
      <c r="B322" s="104"/>
      <c r="C322" s="175"/>
      <c r="D322" s="136"/>
      <c r="E322" s="138"/>
      <c r="F322" s="176"/>
    </row>
    <row r="323" spans="1:6" s="141" customFormat="1">
      <c r="A323" s="192"/>
      <c r="B323" s="104"/>
      <c r="C323" s="175"/>
      <c r="D323" s="136"/>
      <c r="E323" s="138"/>
      <c r="F323" s="176"/>
    </row>
    <row r="324" spans="1:6" s="141" customFormat="1">
      <c r="A324" s="192"/>
      <c r="B324" s="104"/>
      <c r="C324" s="175"/>
      <c r="D324" s="136"/>
      <c r="E324" s="138"/>
      <c r="F324" s="176"/>
    </row>
    <row r="325" spans="1:6" s="141" customFormat="1">
      <c r="A325" s="192"/>
      <c r="B325" s="104"/>
      <c r="C325" s="175"/>
      <c r="D325" s="136"/>
      <c r="E325" s="138"/>
      <c r="F325" s="176"/>
    </row>
    <row r="326" spans="1:6" s="141" customFormat="1">
      <c r="A326" s="192"/>
      <c r="B326" s="104"/>
      <c r="C326" s="175"/>
      <c r="D326" s="136"/>
      <c r="E326" s="138"/>
      <c r="F326" s="176"/>
    </row>
    <row r="327" spans="1:6" s="141" customFormat="1">
      <c r="A327" s="192"/>
      <c r="B327" s="104"/>
      <c r="C327" s="175"/>
      <c r="D327" s="136"/>
      <c r="E327" s="138"/>
      <c r="F327" s="176"/>
    </row>
    <row r="328" spans="1:6" s="141" customFormat="1">
      <c r="A328" s="192"/>
      <c r="B328" s="104"/>
      <c r="C328" s="175"/>
      <c r="D328" s="136"/>
      <c r="E328" s="138"/>
      <c r="F328" s="176"/>
    </row>
    <row r="329" spans="1:6" s="141" customFormat="1">
      <c r="A329" s="192"/>
      <c r="B329" s="104"/>
      <c r="C329" s="175"/>
      <c r="D329" s="136"/>
      <c r="E329" s="138"/>
      <c r="F329" s="176"/>
    </row>
    <row r="330" spans="1:6" s="141" customFormat="1">
      <c r="A330" s="192"/>
      <c r="B330" s="104"/>
      <c r="C330" s="175"/>
      <c r="D330" s="136"/>
      <c r="E330" s="138"/>
      <c r="F330" s="176"/>
    </row>
    <row r="331" spans="1:6" s="141" customFormat="1">
      <c r="A331" s="192"/>
      <c r="B331" s="104"/>
      <c r="C331" s="175"/>
      <c r="D331" s="136"/>
      <c r="E331" s="138"/>
      <c r="F331" s="176"/>
    </row>
    <row r="332" spans="1:6" s="141" customFormat="1">
      <c r="A332" s="192"/>
      <c r="B332" s="104"/>
      <c r="C332" s="175"/>
      <c r="D332" s="136"/>
      <c r="E332" s="138"/>
      <c r="F332" s="176"/>
    </row>
    <row r="333" spans="1:6" s="141" customFormat="1">
      <c r="A333" s="192"/>
      <c r="B333" s="104"/>
      <c r="C333" s="175"/>
      <c r="D333" s="136"/>
      <c r="E333" s="138"/>
      <c r="F333" s="176"/>
    </row>
    <row r="334" spans="1:6" s="141" customFormat="1">
      <c r="A334" s="192"/>
      <c r="B334" s="104"/>
      <c r="C334" s="175"/>
      <c r="D334" s="136"/>
      <c r="E334" s="138"/>
      <c r="F334" s="176"/>
    </row>
    <row r="335" spans="1:6" s="141" customFormat="1">
      <c r="A335" s="192"/>
      <c r="B335" s="104"/>
      <c r="C335" s="175"/>
      <c r="D335" s="136"/>
      <c r="E335" s="138"/>
      <c r="F335" s="176"/>
    </row>
    <row r="336" spans="1:6" s="141" customFormat="1">
      <c r="A336" s="192"/>
      <c r="B336" s="104"/>
      <c r="C336" s="175"/>
      <c r="D336" s="136"/>
      <c r="E336" s="138"/>
      <c r="F336" s="176"/>
    </row>
    <row r="337" spans="1:6" s="141" customFormat="1">
      <c r="A337" s="192"/>
      <c r="B337" s="104"/>
      <c r="C337" s="175"/>
      <c r="D337" s="136"/>
      <c r="E337" s="138"/>
      <c r="F337" s="176"/>
    </row>
    <row r="338" spans="1:6" s="141" customFormat="1">
      <c r="A338" s="192"/>
      <c r="B338" s="104"/>
      <c r="C338" s="175"/>
      <c r="D338" s="136"/>
      <c r="E338" s="138"/>
      <c r="F338" s="176"/>
    </row>
    <row r="339" spans="1:6" s="141" customFormat="1">
      <c r="A339" s="192"/>
      <c r="B339" s="104"/>
      <c r="C339" s="175"/>
      <c r="D339" s="136"/>
      <c r="E339" s="138"/>
      <c r="F339" s="176"/>
    </row>
    <row r="340" spans="1:6" s="141" customFormat="1">
      <c r="A340" s="192"/>
      <c r="B340" s="104"/>
      <c r="C340" s="175"/>
      <c r="D340" s="136"/>
      <c r="E340" s="138"/>
      <c r="F340" s="176"/>
    </row>
    <row r="341" spans="1:6" s="141" customFormat="1">
      <c r="A341" s="192"/>
      <c r="B341" s="104"/>
      <c r="C341" s="175"/>
      <c r="D341" s="136"/>
      <c r="E341" s="138"/>
      <c r="F341" s="176"/>
    </row>
    <row r="342" spans="1:6" s="141" customFormat="1">
      <c r="A342" s="192"/>
      <c r="B342" s="104"/>
      <c r="C342" s="175"/>
      <c r="D342" s="136"/>
      <c r="E342" s="138"/>
      <c r="F342" s="176"/>
    </row>
    <row r="343" spans="1:6" s="141" customFormat="1">
      <c r="A343" s="192"/>
      <c r="B343" s="104"/>
      <c r="C343" s="175"/>
      <c r="D343" s="136"/>
      <c r="E343" s="138"/>
      <c r="F343" s="176"/>
    </row>
    <row r="344" spans="1:6" s="141" customFormat="1">
      <c r="A344" s="192"/>
      <c r="B344" s="104"/>
      <c r="C344" s="175"/>
      <c r="D344" s="136"/>
      <c r="E344" s="138"/>
      <c r="F344" s="176"/>
    </row>
    <row r="345" spans="1:6" s="141" customFormat="1">
      <c r="A345" s="192"/>
      <c r="B345" s="104"/>
      <c r="C345" s="175"/>
      <c r="D345" s="136"/>
      <c r="E345" s="138"/>
      <c r="F345" s="176"/>
    </row>
    <row r="346" spans="1:6" s="141" customFormat="1">
      <c r="A346" s="192"/>
      <c r="B346" s="104"/>
      <c r="C346" s="175"/>
      <c r="D346" s="136"/>
      <c r="E346" s="138"/>
      <c r="F346" s="176"/>
    </row>
    <row r="347" spans="1:6" s="141" customFormat="1">
      <c r="A347" s="192"/>
      <c r="B347" s="104"/>
      <c r="C347" s="175"/>
      <c r="D347" s="136"/>
      <c r="E347" s="138"/>
      <c r="F347" s="176"/>
    </row>
    <row r="348" spans="1:6" s="141" customFormat="1">
      <c r="A348" s="192"/>
      <c r="B348" s="104"/>
      <c r="C348" s="175"/>
      <c r="D348" s="136"/>
      <c r="E348" s="138"/>
      <c r="F348" s="176"/>
    </row>
    <row r="349" spans="1:6" s="141" customFormat="1">
      <c r="A349" s="192"/>
      <c r="B349" s="104"/>
      <c r="C349" s="175"/>
      <c r="D349" s="136"/>
      <c r="E349" s="138"/>
      <c r="F349" s="176"/>
    </row>
    <row r="350" spans="1:6" s="141" customFormat="1">
      <c r="A350" s="192"/>
      <c r="B350" s="104"/>
      <c r="C350" s="175"/>
      <c r="D350" s="136"/>
      <c r="E350" s="138"/>
      <c r="F350" s="176"/>
    </row>
    <row r="351" spans="1:6" s="141" customFormat="1">
      <c r="A351" s="192"/>
      <c r="B351" s="104"/>
      <c r="C351" s="175"/>
      <c r="D351" s="136"/>
      <c r="E351" s="138"/>
      <c r="F351" s="176"/>
    </row>
    <row r="352" spans="1:6" s="141" customFormat="1">
      <c r="A352" s="192"/>
      <c r="B352" s="104"/>
      <c r="C352" s="175"/>
      <c r="D352" s="136"/>
      <c r="E352" s="138"/>
      <c r="F352" s="176"/>
    </row>
    <row r="353" spans="1:6" s="141" customFormat="1">
      <c r="A353" s="192"/>
      <c r="B353" s="104"/>
      <c r="C353" s="175"/>
      <c r="D353" s="136"/>
      <c r="E353" s="138"/>
      <c r="F353" s="176"/>
    </row>
    <row r="354" spans="1:6" s="141" customFormat="1">
      <c r="A354" s="192"/>
      <c r="B354" s="104"/>
      <c r="C354" s="175"/>
      <c r="D354" s="136"/>
      <c r="E354" s="138"/>
      <c r="F354" s="176"/>
    </row>
    <row r="355" spans="1:6" s="141" customFormat="1">
      <c r="A355" s="192"/>
      <c r="B355" s="104"/>
      <c r="C355" s="175"/>
      <c r="D355" s="136"/>
      <c r="E355" s="138"/>
      <c r="F355" s="176"/>
    </row>
    <row r="356" spans="1:6" s="141" customFormat="1">
      <c r="A356" s="192"/>
      <c r="B356" s="104"/>
      <c r="C356" s="175"/>
      <c r="D356" s="136"/>
      <c r="E356" s="138"/>
      <c r="F356" s="176"/>
    </row>
    <row r="357" spans="1:6" s="141" customFormat="1">
      <c r="A357" s="192"/>
      <c r="B357" s="104"/>
      <c r="C357" s="175"/>
      <c r="D357" s="136"/>
      <c r="E357" s="138"/>
      <c r="F357" s="176"/>
    </row>
    <row r="358" spans="1:6" s="141" customFormat="1">
      <c r="A358" s="192"/>
      <c r="B358" s="104"/>
      <c r="C358" s="175"/>
      <c r="D358" s="136"/>
      <c r="E358" s="138"/>
      <c r="F358" s="176"/>
    </row>
    <row r="359" spans="1:6" s="141" customFormat="1">
      <c r="A359" s="192"/>
      <c r="B359" s="104"/>
      <c r="C359" s="175"/>
      <c r="D359" s="136"/>
      <c r="E359" s="138"/>
      <c r="F359" s="176"/>
    </row>
    <row r="360" spans="1:6" s="141" customFormat="1">
      <c r="A360" s="192"/>
      <c r="B360" s="104"/>
      <c r="C360" s="175"/>
      <c r="D360" s="136"/>
      <c r="E360" s="138"/>
      <c r="F360" s="176"/>
    </row>
    <row r="361" spans="1:6" s="141" customFormat="1">
      <c r="A361" s="192"/>
      <c r="B361" s="104"/>
      <c r="C361" s="175"/>
      <c r="D361" s="136"/>
      <c r="E361" s="138"/>
      <c r="F361" s="176"/>
    </row>
    <row r="362" spans="1:6" s="141" customFormat="1">
      <c r="A362" s="192"/>
      <c r="B362" s="104"/>
      <c r="C362" s="175"/>
      <c r="D362" s="136"/>
      <c r="E362" s="138"/>
      <c r="F362" s="176"/>
    </row>
    <row r="363" spans="1:6" s="141" customFormat="1">
      <c r="A363" s="192"/>
      <c r="B363" s="104"/>
      <c r="C363" s="175"/>
      <c r="D363" s="136"/>
      <c r="E363" s="138"/>
      <c r="F363" s="176"/>
    </row>
    <row r="364" spans="1:6" s="141" customFormat="1">
      <c r="A364" s="192"/>
      <c r="B364" s="104"/>
      <c r="C364" s="175"/>
      <c r="D364" s="136"/>
      <c r="E364" s="138"/>
      <c r="F364" s="176"/>
    </row>
    <row r="365" spans="1:6" s="141" customFormat="1">
      <c r="A365" s="192"/>
      <c r="B365" s="104"/>
      <c r="C365" s="175"/>
      <c r="D365" s="136"/>
      <c r="E365" s="138"/>
      <c r="F365" s="176"/>
    </row>
    <row r="366" spans="1:6" s="141" customFormat="1">
      <c r="A366" s="192"/>
      <c r="B366" s="104"/>
      <c r="C366" s="175"/>
      <c r="D366" s="136"/>
      <c r="E366" s="138"/>
      <c r="F366" s="176"/>
    </row>
    <row r="367" spans="1:6" s="141" customFormat="1">
      <c r="A367" s="192"/>
      <c r="B367" s="104"/>
      <c r="C367" s="175"/>
      <c r="D367" s="136"/>
      <c r="E367" s="138"/>
      <c r="F367" s="176"/>
    </row>
    <row r="368" spans="1:6" s="141" customFormat="1">
      <c r="A368" s="192"/>
      <c r="B368" s="104"/>
      <c r="C368" s="175"/>
      <c r="D368" s="136"/>
      <c r="E368" s="138"/>
      <c r="F368" s="176"/>
    </row>
    <row r="369" spans="1:6" s="141" customFormat="1">
      <c r="A369" s="192"/>
      <c r="B369" s="104"/>
      <c r="C369" s="175"/>
      <c r="D369" s="136"/>
      <c r="E369" s="138"/>
      <c r="F369" s="176"/>
    </row>
    <row r="370" spans="1:6" s="141" customFormat="1">
      <c r="A370" s="192"/>
      <c r="B370" s="104"/>
      <c r="C370" s="175"/>
      <c r="D370" s="136"/>
      <c r="E370" s="138"/>
      <c r="F370" s="176"/>
    </row>
    <row r="371" spans="1:6" s="141" customFormat="1">
      <c r="A371" s="192"/>
      <c r="B371" s="104"/>
      <c r="C371" s="175"/>
      <c r="D371" s="136"/>
      <c r="E371" s="138"/>
      <c r="F371" s="176"/>
    </row>
    <row r="372" spans="1:6" s="141" customFormat="1">
      <c r="A372" s="192"/>
      <c r="B372" s="104"/>
      <c r="C372" s="175"/>
      <c r="D372" s="136"/>
      <c r="E372" s="138"/>
      <c r="F372" s="176"/>
    </row>
    <row r="373" spans="1:6" s="141" customFormat="1">
      <c r="A373" s="192"/>
      <c r="B373" s="104"/>
      <c r="C373" s="175"/>
      <c r="D373" s="136"/>
      <c r="E373" s="138"/>
      <c r="F373" s="176"/>
    </row>
    <row r="374" spans="1:6" s="141" customFormat="1">
      <c r="A374" s="192"/>
      <c r="B374" s="104"/>
      <c r="C374" s="175"/>
      <c r="D374" s="136"/>
      <c r="E374" s="138"/>
      <c r="F374" s="176"/>
    </row>
    <row r="375" spans="1:6" s="141" customFormat="1">
      <c r="A375" s="192"/>
      <c r="B375" s="104"/>
      <c r="C375" s="175"/>
      <c r="D375" s="136"/>
      <c r="E375" s="138"/>
      <c r="F375" s="176"/>
    </row>
    <row r="376" spans="1:6" s="141" customFormat="1">
      <c r="A376" s="192"/>
      <c r="B376" s="104"/>
      <c r="C376" s="175"/>
      <c r="D376" s="136"/>
      <c r="E376" s="138"/>
      <c r="F376" s="176"/>
    </row>
    <row r="377" spans="1:6" s="141" customFormat="1">
      <c r="A377" s="192"/>
      <c r="B377" s="104"/>
      <c r="C377" s="175"/>
      <c r="D377" s="136"/>
      <c r="E377" s="138"/>
      <c r="F377" s="176"/>
    </row>
    <row r="378" spans="1:6" s="141" customFormat="1">
      <c r="A378" s="192"/>
      <c r="B378" s="104"/>
      <c r="C378" s="175"/>
      <c r="D378" s="136"/>
      <c r="E378" s="138"/>
      <c r="F378" s="176"/>
    </row>
    <row r="379" spans="1:6" s="141" customFormat="1">
      <c r="A379" s="192"/>
      <c r="B379" s="104"/>
      <c r="C379" s="175"/>
      <c r="D379" s="136"/>
      <c r="E379" s="138"/>
      <c r="F379" s="176"/>
    </row>
    <row r="380" spans="1:6" s="141" customFormat="1">
      <c r="A380" s="192"/>
      <c r="B380" s="104"/>
      <c r="C380" s="175"/>
      <c r="D380" s="136"/>
      <c r="E380" s="138"/>
      <c r="F380" s="176"/>
    </row>
    <row r="381" spans="1:6" s="141" customFormat="1">
      <c r="A381" s="192"/>
      <c r="B381" s="104"/>
      <c r="C381" s="175"/>
      <c r="D381" s="136"/>
      <c r="E381" s="138"/>
      <c r="F381" s="176"/>
    </row>
    <row r="382" spans="1:6" s="141" customFormat="1">
      <c r="A382" s="192"/>
      <c r="B382" s="104"/>
      <c r="C382" s="175"/>
      <c r="D382" s="136"/>
      <c r="E382" s="138"/>
      <c r="F382" s="176"/>
    </row>
    <row r="383" spans="1:6" s="141" customFormat="1">
      <c r="A383" s="192"/>
      <c r="B383" s="104"/>
      <c r="C383" s="175"/>
      <c r="D383" s="136"/>
      <c r="E383" s="138"/>
      <c r="F383" s="176"/>
    </row>
    <row r="384" spans="1:6" s="141" customFormat="1">
      <c r="A384" s="192"/>
      <c r="B384" s="104"/>
      <c r="C384" s="175"/>
      <c r="D384" s="136"/>
      <c r="E384" s="138"/>
      <c r="F384" s="176"/>
    </row>
    <row r="385" spans="1:6" s="141" customFormat="1">
      <c r="A385" s="192"/>
      <c r="B385" s="104"/>
      <c r="C385" s="175"/>
      <c r="D385" s="136"/>
      <c r="E385" s="138"/>
      <c r="F385" s="176"/>
    </row>
    <row r="386" spans="1:6" s="141" customFormat="1">
      <c r="A386" s="192"/>
      <c r="B386" s="104"/>
      <c r="C386" s="175"/>
      <c r="D386" s="136"/>
      <c r="E386" s="138"/>
      <c r="F386" s="176"/>
    </row>
    <row r="387" spans="1:6" s="141" customFormat="1">
      <c r="A387" s="192"/>
      <c r="B387" s="104"/>
      <c r="C387" s="175"/>
      <c r="D387" s="136"/>
      <c r="E387" s="138"/>
      <c r="F387" s="176"/>
    </row>
    <row r="388" spans="1:6" s="141" customFormat="1">
      <c r="A388" s="192"/>
      <c r="B388" s="104"/>
      <c r="C388" s="175"/>
      <c r="D388" s="136"/>
      <c r="E388" s="138"/>
      <c r="F388" s="176"/>
    </row>
    <row r="389" spans="1:6" s="141" customFormat="1">
      <c r="A389" s="192"/>
      <c r="B389" s="104"/>
      <c r="C389" s="175"/>
      <c r="D389" s="136"/>
      <c r="E389" s="138"/>
      <c r="F389" s="176"/>
    </row>
    <row r="390" spans="1:6" s="141" customFormat="1">
      <c r="A390" s="192"/>
      <c r="B390" s="104"/>
      <c r="C390" s="175"/>
      <c r="D390" s="136"/>
      <c r="E390" s="138"/>
      <c r="F390" s="176"/>
    </row>
    <row r="391" spans="1:6" s="141" customFormat="1">
      <c r="A391" s="192"/>
      <c r="B391" s="104"/>
      <c r="C391" s="175"/>
      <c r="D391" s="136"/>
      <c r="E391" s="138"/>
      <c r="F391" s="176"/>
    </row>
    <row r="392" spans="1:6" s="141" customFormat="1">
      <c r="A392" s="192"/>
      <c r="B392" s="104"/>
      <c r="C392" s="175"/>
      <c r="D392" s="136"/>
      <c r="E392" s="138"/>
      <c r="F392" s="176"/>
    </row>
    <row r="393" spans="1:6" s="141" customFormat="1">
      <c r="A393" s="192"/>
      <c r="B393" s="104"/>
      <c r="C393" s="175"/>
      <c r="D393" s="136"/>
      <c r="E393" s="138"/>
      <c r="F393" s="176"/>
    </row>
    <row r="394" spans="1:6" s="141" customFormat="1">
      <c r="A394" s="192"/>
      <c r="B394" s="104"/>
      <c r="C394" s="175"/>
      <c r="D394" s="136"/>
      <c r="E394" s="138"/>
      <c r="F394" s="176"/>
    </row>
    <row r="395" spans="1:6" s="141" customFormat="1">
      <c r="A395" s="192"/>
      <c r="B395" s="104"/>
      <c r="C395" s="175"/>
      <c r="D395" s="136"/>
      <c r="E395" s="138"/>
      <c r="F395" s="176"/>
    </row>
    <row r="396" spans="1:6" s="141" customFormat="1">
      <c r="A396" s="192"/>
      <c r="B396" s="104"/>
      <c r="C396" s="175"/>
      <c r="D396" s="136"/>
      <c r="E396" s="138"/>
      <c r="F396" s="176"/>
    </row>
    <row r="397" spans="1:6" s="141" customFormat="1">
      <c r="A397" s="192"/>
      <c r="B397" s="104"/>
      <c r="C397" s="175"/>
      <c r="D397" s="136"/>
      <c r="E397" s="138"/>
      <c r="F397" s="176"/>
    </row>
    <row r="398" spans="1:6" s="141" customFormat="1">
      <c r="A398" s="192"/>
      <c r="B398" s="104"/>
      <c r="C398" s="175"/>
      <c r="D398" s="136"/>
      <c r="E398" s="138"/>
      <c r="F398" s="176"/>
    </row>
    <row r="399" spans="1:6" s="141" customFormat="1">
      <c r="A399" s="192"/>
      <c r="B399" s="104"/>
      <c r="C399" s="175"/>
      <c r="D399" s="136"/>
      <c r="E399" s="138"/>
      <c r="F399" s="176"/>
    </row>
    <row r="400" spans="1:6" s="141" customFormat="1">
      <c r="A400" s="192"/>
      <c r="B400" s="104"/>
      <c r="C400" s="175"/>
      <c r="D400" s="136"/>
      <c r="E400" s="138"/>
      <c r="F400" s="176"/>
    </row>
    <row r="401" spans="1:6" s="141" customFormat="1">
      <c r="A401" s="192"/>
      <c r="B401" s="104"/>
      <c r="C401" s="175"/>
      <c r="D401" s="136"/>
      <c r="E401" s="138"/>
      <c r="F401" s="176"/>
    </row>
    <row r="402" spans="1:6" s="141" customFormat="1">
      <c r="A402" s="192"/>
      <c r="B402" s="104"/>
      <c r="C402" s="175"/>
      <c r="D402" s="136"/>
      <c r="E402" s="138"/>
      <c r="F402" s="176"/>
    </row>
    <row r="403" spans="1:6" s="141" customFormat="1">
      <c r="A403" s="192"/>
      <c r="B403" s="104"/>
      <c r="C403" s="175"/>
      <c r="D403" s="136"/>
      <c r="E403" s="138"/>
      <c r="F403" s="176"/>
    </row>
    <row r="404" spans="1:6" s="141" customFormat="1">
      <c r="A404" s="192"/>
      <c r="B404" s="104"/>
      <c r="C404" s="175"/>
      <c r="D404" s="136"/>
      <c r="E404" s="138"/>
      <c r="F404" s="176"/>
    </row>
    <row r="405" spans="1:6" s="141" customFormat="1">
      <c r="A405" s="192"/>
      <c r="B405" s="104"/>
      <c r="C405" s="175"/>
      <c r="D405" s="136"/>
      <c r="E405" s="138"/>
      <c r="F405" s="176"/>
    </row>
    <row r="406" spans="1:6" s="141" customFormat="1">
      <c r="A406" s="192"/>
      <c r="B406" s="104"/>
      <c r="C406" s="175"/>
      <c r="D406" s="136"/>
      <c r="E406" s="138"/>
      <c r="F406" s="176"/>
    </row>
    <row r="407" spans="1:6" s="141" customFormat="1">
      <c r="A407" s="192"/>
      <c r="B407" s="104"/>
      <c r="C407" s="175"/>
      <c r="D407" s="136"/>
      <c r="E407" s="138"/>
      <c r="F407" s="176"/>
    </row>
    <row r="408" spans="1:6" s="141" customFormat="1">
      <c r="A408" s="192"/>
      <c r="B408" s="104"/>
      <c r="C408" s="175"/>
      <c r="D408" s="136"/>
      <c r="E408" s="138"/>
      <c r="F408" s="176"/>
    </row>
    <row r="409" spans="1:6" s="141" customFormat="1">
      <c r="A409" s="192"/>
      <c r="B409" s="104"/>
      <c r="C409" s="175"/>
      <c r="D409" s="136"/>
      <c r="E409" s="138"/>
      <c r="F409" s="176"/>
    </row>
    <row r="410" spans="1:6" s="141" customFormat="1">
      <c r="A410" s="192"/>
      <c r="B410" s="104"/>
      <c r="C410" s="175"/>
      <c r="D410" s="136"/>
      <c r="E410" s="138"/>
      <c r="F410" s="176"/>
    </row>
    <row r="411" spans="1:6" s="141" customFormat="1">
      <c r="A411" s="192"/>
      <c r="B411" s="104"/>
      <c r="C411" s="175"/>
      <c r="D411" s="136"/>
      <c r="E411" s="138"/>
      <c r="F411" s="176"/>
    </row>
    <row r="412" spans="1:6" s="141" customFormat="1">
      <c r="A412" s="192"/>
      <c r="B412" s="104"/>
      <c r="C412" s="175"/>
      <c r="D412" s="136"/>
      <c r="E412" s="138"/>
      <c r="F412" s="176"/>
    </row>
    <row r="413" spans="1:6" s="141" customFormat="1">
      <c r="A413" s="192"/>
      <c r="B413" s="104"/>
      <c r="C413" s="175"/>
      <c r="D413" s="136"/>
      <c r="E413" s="138"/>
      <c r="F413" s="176"/>
    </row>
    <row r="414" spans="1:6" s="141" customFormat="1">
      <c r="A414" s="192"/>
      <c r="B414" s="104"/>
      <c r="C414" s="175"/>
      <c r="D414" s="136"/>
      <c r="E414" s="138"/>
      <c r="F414" s="176"/>
    </row>
    <row r="415" spans="1:6" s="141" customFormat="1">
      <c r="A415" s="192"/>
      <c r="B415" s="104"/>
      <c r="C415" s="175"/>
      <c r="D415" s="136"/>
      <c r="E415" s="138"/>
      <c r="F415" s="176"/>
    </row>
    <row r="416" spans="1:6" s="141" customFormat="1">
      <c r="A416" s="192"/>
      <c r="B416" s="104"/>
      <c r="C416" s="175"/>
      <c r="D416" s="136"/>
      <c r="E416" s="138"/>
      <c r="F416" s="176"/>
    </row>
    <row r="417" spans="1:6" s="141" customFormat="1">
      <c r="A417" s="192"/>
      <c r="B417" s="104"/>
      <c r="C417" s="175"/>
      <c r="D417" s="136"/>
      <c r="E417" s="138"/>
      <c r="F417" s="176"/>
    </row>
    <row r="418" spans="1:6" s="141" customFormat="1">
      <c r="A418" s="192"/>
      <c r="B418" s="104"/>
      <c r="C418" s="175"/>
      <c r="D418" s="136"/>
      <c r="E418" s="138"/>
      <c r="F418" s="176"/>
    </row>
    <row r="419" spans="1:6" s="141" customFormat="1">
      <c r="A419" s="192"/>
      <c r="B419" s="104"/>
      <c r="C419" s="175"/>
      <c r="D419" s="136"/>
      <c r="E419" s="138"/>
      <c r="F419" s="176"/>
    </row>
    <row r="420" spans="1:6" s="141" customFormat="1">
      <c r="A420" s="192"/>
      <c r="B420" s="104"/>
      <c r="C420" s="175"/>
      <c r="D420" s="136"/>
      <c r="E420" s="138"/>
      <c r="F420" s="176"/>
    </row>
    <row r="421" spans="1:6" s="141" customFormat="1">
      <c r="A421" s="192"/>
      <c r="B421" s="104"/>
      <c r="C421" s="175"/>
      <c r="D421" s="136"/>
      <c r="E421" s="138"/>
      <c r="F421" s="176"/>
    </row>
    <row r="422" spans="1:6" s="141" customFormat="1">
      <c r="A422" s="192"/>
      <c r="B422" s="104"/>
      <c r="C422" s="175"/>
      <c r="D422" s="136"/>
      <c r="E422" s="138"/>
      <c r="F422" s="176"/>
    </row>
    <row r="423" spans="1:6" s="141" customFormat="1">
      <c r="A423" s="192"/>
      <c r="B423" s="104"/>
      <c r="C423" s="175"/>
      <c r="D423" s="136"/>
      <c r="E423" s="138"/>
      <c r="F423" s="176"/>
    </row>
    <row r="424" spans="1:6" s="141" customFormat="1">
      <c r="A424" s="192"/>
      <c r="B424" s="104"/>
      <c r="C424" s="175"/>
      <c r="D424" s="136"/>
      <c r="E424" s="138"/>
      <c r="F424" s="176"/>
    </row>
    <row r="425" spans="1:6" s="141" customFormat="1">
      <c r="A425" s="192"/>
      <c r="B425" s="104"/>
      <c r="C425" s="175"/>
      <c r="D425" s="136"/>
      <c r="E425" s="138"/>
      <c r="F425" s="176"/>
    </row>
    <row r="426" spans="1:6" s="141" customFormat="1">
      <c r="A426" s="192"/>
      <c r="B426" s="104"/>
      <c r="C426" s="175"/>
      <c r="D426" s="136"/>
      <c r="E426" s="138"/>
      <c r="F426" s="176"/>
    </row>
    <row r="427" spans="1:6" s="141" customFormat="1">
      <c r="A427" s="192"/>
      <c r="B427" s="104"/>
      <c r="C427" s="175"/>
      <c r="D427" s="136"/>
      <c r="E427" s="138"/>
      <c r="F427" s="176"/>
    </row>
    <row r="428" spans="1:6" s="141" customFormat="1">
      <c r="A428" s="192"/>
      <c r="B428" s="104"/>
      <c r="C428" s="175"/>
      <c r="D428" s="136"/>
      <c r="E428" s="138"/>
      <c r="F428" s="176"/>
    </row>
    <row r="429" spans="1:6" s="141" customFormat="1">
      <c r="A429" s="192"/>
      <c r="B429" s="104"/>
      <c r="C429" s="175"/>
      <c r="D429" s="136"/>
      <c r="E429" s="138"/>
      <c r="F429" s="176"/>
    </row>
    <row r="430" spans="1:6" s="141" customFormat="1">
      <c r="A430" s="192"/>
      <c r="B430" s="104"/>
      <c r="C430" s="175"/>
      <c r="D430" s="136"/>
      <c r="E430" s="138"/>
      <c r="F430" s="176"/>
    </row>
    <row r="431" spans="1:6" s="141" customFormat="1">
      <c r="A431" s="192"/>
      <c r="B431" s="104"/>
      <c r="C431" s="175"/>
      <c r="D431" s="136"/>
      <c r="E431" s="138"/>
      <c r="F431" s="176"/>
    </row>
    <row r="432" spans="1:6" s="141" customFormat="1">
      <c r="A432" s="192"/>
      <c r="B432" s="104"/>
      <c r="C432" s="175"/>
      <c r="D432" s="136"/>
      <c r="E432" s="138"/>
      <c r="F432" s="176"/>
    </row>
    <row r="433" spans="1:6" s="141" customFormat="1">
      <c r="A433" s="192"/>
      <c r="B433" s="104"/>
      <c r="C433" s="175"/>
      <c r="D433" s="136"/>
      <c r="E433" s="138"/>
      <c r="F433" s="176"/>
    </row>
    <row r="434" spans="1:6" s="141" customFormat="1">
      <c r="A434" s="192"/>
      <c r="B434" s="104"/>
      <c r="C434" s="175"/>
      <c r="D434" s="136"/>
      <c r="E434" s="138"/>
      <c r="F434" s="176"/>
    </row>
    <row r="435" spans="1:6" s="141" customFormat="1">
      <c r="A435" s="192"/>
      <c r="B435" s="104"/>
      <c r="C435" s="175"/>
      <c r="D435" s="136"/>
      <c r="E435" s="138"/>
      <c r="F435" s="176"/>
    </row>
    <row r="436" spans="1:6" s="141" customFormat="1">
      <c r="A436" s="192"/>
      <c r="B436" s="104"/>
      <c r="C436" s="175"/>
      <c r="D436" s="136"/>
      <c r="E436" s="138"/>
      <c r="F436" s="176"/>
    </row>
    <row r="437" spans="1:6" s="141" customFormat="1">
      <c r="A437" s="192"/>
      <c r="B437" s="104"/>
      <c r="C437" s="175"/>
      <c r="D437" s="136"/>
      <c r="E437" s="138"/>
      <c r="F437" s="176"/>
    </row>
    <row r="438" spans="1:6" s="141" customFormat="1">
      <c r="A438" s="192"/>
      <c r="B438" s="104"/>
      <c r="C438" s="175"/>
      <c r="D438" s="136"/>
      <c r="E438" s="138"/>
      <c r="F438" s="176"/>
    </row>
    <row r="439" spans="1:6" s="141" customFormat="1">
      <c r="A439" s="192"/>
      <c r="B439" s="104"/>
      <c r="C439" s="175"/>
      <c r="D439" s="136"/>
      <c r="E439" s="138"/>
      <c r="F439" s="176"/>
    </row>
    <row r="440" spans="1:6" s="141" customFormat="1">
      <c r="A440" s="192"/>
      <c r="B440" s="104"/>
      <c r="C440" s="175"/>
      <c r="D440" s="136"/>
      <c r="E440" s="138"/>
      <c r="F440" s="176"/>
    </row>
    <row r="441" spans="1:6" s="141" customFormat="1">
      <c r="A441" s="192"/>
      <c r="B441" s="104"/>
      <c r="C441" s="175"/>
      <c r="D441" s="136"/>
      <c r="E441" s="138"/>
      <c r="F441" s="176"/>
    </row>
    <row r="442" spans="1:6" s="141" customFormat="1">
      <c r="A442" s="192"/>
      <c r="B442" s="104"/>
      <c r="C442" s="175"/>
      <c r="D442" s="136"/>
      <c r="E442" s="138"/>
      <c r="F442" s="176"/>
    </row>
    <row r="443" spans="1:6" s="141" customFormat="1">
      <c r="A443" s="192"/>
      <c r="B443" s="104"/>
      <c r="C443" s="175"/>
      <c r="D443" s="136"/>
      <c r="E443" s="138"/>
      <c r="F443" s="176"/>
    </row>
    <row r="444" spans="1:6" s="141" customFormat="1">
      <c r="A444" s="192"/>
      <c r="B444" s="104"/>
      <c r="C444" s="175"/>
      <c r="D444" s="136"/>
      <c r="E444" s="138"/>
      <c r="F444" s="176"/>
    </row>
    <row r="445" spans="1:6" s="141" customFormat="1">
      <c r="A445" s="192"/>
      <c r="B445" s="104"/>
      <c r="C445" s="175"/>
      <c r="D445" s="136"/>
      <c r="E445" s="138"/>
      <c r="F445" s="176"/>
    </row>
    <row r="446" spans="1:6" s="141" customFormat="1">
      <c r="A446" s="192"/>
      <c r="B446" s="104"/>
      <c r="C446" s="175"/>
      <c r="D446" s="136"/>
      <c r="E446" s="138"/>
      <c r="F446" s="176"/>
    </row>
    <row r="447" spans="1:6" s="141" customFormat="1">
      <c r="A447" s="192"/>
      <c r="B447" s="104"/>
      <c r="C447" s="175"/>
      <c r="D447" s="136"/>
      <c r="E447" s="138"/>
      <c r="F447" s="176"/>
    </row>
    <row r="448" spans="1:6" s="141" customFormat="1">
      <c r="A448" s="192"/>
      <c r="B448" s="104"/>
      <c r="C448" s="175"/>
      <c r="D448" s="136"/>
      <c r="E448" s="138"/>
      <c r="F448" s="176"/>
    </row>
    <row r="449" spans="1:6" s="141" customFormat="1">
      <c r="A449" s="192"/>
      <c r="B449" s="104"/>
      <c r="C449" s="175"/>
      <c r="D449" s="136"/>
      <c r="E449" s="138"/>
      <c r="F449" s="176"/>
    </row>
    <row r="450" spans="1:6" s="141" customFormat="1">
      <c r="A450" s="192"/>
      <c r="B450" s="104"/>
      <c r="C450" s="175"/>
      <c r="D450" s="136"/>
      <c r="E450" s="138"/>
      <c r="F450" s="176"/>
    </row>
    <row r="451" spans="1:6" s="141" customFormat="1">
      <c r="A451" s="192"/>
      <c r="B451" s="104"/>
      <c r="C451" s="175"/>
      <c r="D451" s="136"/>
      <c r="E451" s="138"/>
      <c r="F451" s="176"/>
    </row>
    <row r="452" spans="1:6" s="141" customFormat="1">
      <c r="A452" s="192"/>
      <c r="B452" s="104"/>
      <c r="C452" s="175"/>
      <c r="D452" s="136"/>
      <c r="E452" s="138"/>
      <c r="F452" s="176"/>
    </row>
    <row r="453" spans="1:6" s="141" customFormat="1">
      <c r="A453" s="192"/>
      <c r="B453" s="104"/>
      <c r="C453" s="175"/>
      <c r="D453" s="136"/>
      <c r="E453" s="138"/>
      <c r="F453" s="176"/>
    </row>
    <row r="454" spans="1:6" s="141" customFormat="1">
      <c r="A454" s="192"/>
      <c r="B454" s="104"/>
      <c r="C454" s="175"/>
      <c r="D454" s="136"/>
      <c r="E454" s="138"/>
      <c r="F454" s="176"/>
    </row>
    <row r="455" spans="1:6" s="141" customFormat="1">
      <c r="A455" s="192"/>
      <c r="B455" s="104"/>
      <c r="C455" s="175"/>
      <c r="D455" s="136"/>
      <c r="E455" s="138"/>
      <c r="F455" s="176"/>
    </row>
    <row r="456" spans="1:6" s="141" customFormat="1">
      <c r="A456" s="192"/>
      <c r="B456" s="104"/>
      <c r="C456" s="175"/>
      <c r="D456" s="136"/>
      <c r="E456" s="138"/>
      <c r="F456" s="176"/>
    </row>
    <row r="457" spans="1:6" s="141" customFormat="1">
      <c r="A457" s="192"/>
      <c r="B457" s="104"/>
      <c r="C457" s="175"/>
      <c r="D457" s="136"/>
      <c r="E457" s="138"/>
      <c r="F457" s="176"/>
    </row>
    <row r="458" spans="1:6" s="141" customFormat="1">
      <c r="A458" s="192"/>
      <c r="B458" s="104"/>
      <c r="C458" s="175"/>
      <c r="D458" s="136"/>
      <c r="E458" s="138"/>
      <c r="F458" s="176"/>
    </row>
    <row r="459" spans="1:6" s="141" customFormat="1">
      <c r="A459" s="192"/>
      <c r="B459" s="104"/>
      <c r="C459" s="175"/>
      <c r="D459" s="136"/>
      <c r="E459" s="138"/>
      <c r="F459" s="176"/>
    </row>
    <row r="460" spans="1:6" s="141" customFormat="1">
      <c r="A460" s="192"/>
      <c r="B460" s="104"/>
      <c r="C460" s="175"/>
      <c r="D460" s="136"/>
      <c r="E460" s="138"/>
      <c r="F460" s="176"/>
    </row>
    <row r="461" spans="1:6" s="141" customFormat="1">
      <c r="A461" s="192"/>
      <c r="B461" s="104"/>
      <c r="C461" s="175"/>
      <c r="D461" s="136"/>
      <c r="E461" s="138"/>
      <c r="F461" s="176"/>
    </row>
    <row r="462" spans="1:6" s="141" customFormat="1">
      <c r="A462" s="192"/>
      <c r="B462" s="104"/>
      <c r="C462" s="175"/>
      <c r="D462" s="136"/>
      <c r="E462" s="138"/>
      <c r="F462" s="176"/>
    </row>
    <row r="463" spans="1:6" s="141" customFormat="1">
      <c r="A463" s="192"/>
      <c r="B463" s="104"/>
      <c r="C463" s="175"/>
      <c r="D463" s="136"/>
      <c r="E463" s="138"/>
      <c r="F463" s="176"/>
    </row>
    <row r="464" spans="1:6" s="141" customFormat="1">
      <c r="A464" s="192"/>
      <c r="B464" s="104"/>
      <c r="C464" s="175"/>
      <c r="D464" s="136"/>
      <c r="E464" s="138"/>
      <c r="F464" s="176"/>
    </row>
    <row r="465" spans="1:6" s="141" customFormat="1">
      <c r="A465" s="192"/>
      <c r="B465" s="104"/>
      <c r="C465" s="175"/>
      <c r="D465" s="136"/>
      <c r="E465" s="138"/>
      <c r="F465" s="176"/>
    </row>
    <row r="466" spans="1:6" s="141" customFormat="1">
      <c r="A466" s="192"/>
      <c r="B466" s="104"/>
      <c r="C466" s="175"/>
      <c r="D466" s="136"/>
      <c r="E466" s="138"/>
      <c r="F466" s="176"/>
    </row>
    <row r="467" spans="1:6" s="141" customFormat="1">
      <c r="A467" s="192"/>
      <c r="B467" s="104"/>
      <c r="C467" s="175"/>
      <c r="D467" s="136"/>
      <c r="E467" s="138"/>
      <c r="F467" s="176"/>
    </row>
    <row r="468" spans="1:6" s="141" customFormat="1">
      <c r="A468" s="192"/>
      <c r="B468" s="104"/>
      <c r="C468" s="175"/>
      <c r="D468" s="136"/>
      <c r="E468" s="138"/>
      <c r="F468" s="176"/>
    </row>
    <row r="469" spans="1:6" s="141" customFormat="1">
      <c r="A469" s="192"/>
      <c r="B469" s="104"/>
      <c r="C469" s="175"/>
      <c r="D469" s="136"/>
      <c r="E469" s="138"/>
      <c r="F469" s="176"/>
    </row>
    <row r="470" spans="1:6" s="141" customFormat="1">
      <c r="A470" s="192"/>
      <c r="B470" s="104"/>
      <c r="C470" s="175"/>
      <c r="D470" s="136"/>
      <c r="E470" s="138"/>
      <c r="F470" s="176"/>
    </row>
    <row r="471" spans="1:6" s="141" customFormat="1">
      <c r="A471" s="192"/>
      <c r="B471" s="104"/>
      <c r="C471" s="175"/>
      <c r="D471" s="136"/>
      <c r="E471" s="138"/>
      <c r="F471" s="176"/>
    </row>
    <row r="472" spans="1:6" s="141" customFormat="1">
      <c r="A472" s="192"/>
      <c r="B472" s="104"/>
      <c r="C472" s="175"/>
      <c r="D472" s="136"/>
      <c r="E472" s="138"/>
      <c r="F472" s="176"/>
    </row>
    <row r="473" spans="1:6" s="141" customFormat="1">
      <c r="A473" s="192"/>
      <c r="B473" s="104"/>
      <c r="C473" s="175"/>
      <c r="D473" s="136"/>
      <c r="E473" s="138"/>
      <c r="F473" s="176"/>
    </row>
    <row r="474" spans="1:6" s="141" customFormat="1">
      <c r="A474" s="192"/>
      <c r="B474" s="104"/>
      <c r="C474" s="175"/>
      <c r="D474" s="136"/>
      <c r="E474" s="138"/>
      <c r="F474" s="176"/>
    </row>
    <row r="475" spans="1:6" s="141" customFormat="1">
      <c r="A475" s="192"/>
      <c r="B475" s="104"/>
      <c r="C475" s="175"/>
      <c r="D475" s="136"/>
      <c r="E475" s="138"/>
      <c r="F475" s="176"/>
    </row>
    <row r="476" spans="1:6" s="141" customFormat="1">
      <c r="A476" s="192"/>
      <c r="B476" s="104"/>
      <c r="C476" s="175"/>
      <c r="D476" s="136"/>
      <c r="E476" s="138"/>
      <c r="F476" s="176"/>
    </row>
    <row r="477" spans="1:6" s="141" customFormat="1">
      <c r="A477" s="192"/>
      <c r="B477" s="104"/>
      <c r="C477" s="175"/>
      <c r="D477" s="136"/>
      <c r="E477" s="138"/>
      <c r="F477" s="176"/>
    </row>
    <row r="478" spans="1:6" s="141" customFormat="1">
      <c r="A478" s="192"/>
      <c r="B478" s="104"/>
      <c r="C478" s="175"/>
      <c r="D478" s="136"/>
      <c r="E478" s="138"/>
      <c r="F478" s="176"/>
    </row>
    <row r="479" spans="1:6" s="141" customFormat="1">
      <c r="A479" s="192"/>
      <c r="B479" s="104"/>
      <c r="C479" s="175"/>
      <c r="D479" s="136"/>
      <c r="E479" s="138"/>
      <c r="F479" s="176"/>
    </row>
    <row r="480" spans="1:6" s="141" customFormat="1">
      <c r="A480" s="192"/>
      <c r="B480" s="104"/>
      <c r="C480" s="175"/>
      <c r="D480" s="136"/>
      <c r="E480" s="138"/>
      <c r="F480" s="176"/>
    </row>
    <row r="481" spans="1:6" s="141" customFormat="1">
      <c r="A481" s="192"/>
      <c r="B481" s="104"/>
      <c r="C481" s="175"/>
      <c r="D481" s="136"/>
      <c r="E481" s="138"/>
      <c r="F481" s="176"/>
    </row>
    <row r="482" spans="1:6" s="141" customFormat="1">
      <c r="A482" s="192"/>
      <c r="B482" s="104"/>
      <c r="C482" s="175"/>
      <c r="D482" s="136"/>
      <c r="E482" s="138"/>
      <c r="F482" s="176"/>
    </row>
    <row r="483" spans="1:6" s="141" customFormat="1">
      <c r="A483" s="192"/>
      <c r="B483" s="104"/>
      <c r="C483" s="175"/>
      <c r="D483" s="136"/>
      <c r="E483" s="138"/>
      <c r="F483" s="176"/>
    </row>
    <row r="484" spans="1:6" s="141" customFormat="1">
      <c r="A484" s="192"/>
      <c r="B484" s="104"/>
      <c r="C484" s="175"/>
      <c r="D484" s="136"/>
      <c r="E484" s="138"/>
      <c r="F484" s="176"/>
    </row>
    <row r="485" spans="1:6" s="141" customFormat="1">
      <c r="A485" s="192"/>
      <c r="B485" s="104"/>
      <c r="C485" s="175"/>
      <c r="D485" s="136"/>
      <c r="E485" s="138"/>
      <c r="F485" s="176"/>
    </row>
    <row r="486" spans="1:6" s="141" customFormat="1">
      <c r="A486" s="192"/>
      <c r="B486" s="104"/>
      <c r="C486" s="175"/>
      <c r="D486" s="136"/>
      <c r="E486" s="138"/>
      <c r="F486" s="176"/>
    </row>
    <row r="487" spans="1:6" s="141" customFormat="1">
      <c r="A487" s="192"/>
      <c r="B487" s="104"/>
      <c r="C487" s="175"/>
      <c r="D487" s="136"/>
      <c r="E487" s="138"/>
      <c r="F487" s="176"/>
    </row>
    <row r="488" spans="1:6" s="141" customFormat="1">
      <c r="A488" s="192"/>
      <c r="B488" s="104"/>
      <c r="C488" s="175"/>
      <c r="D488" s="136"/>
      <c r="E488" s="138"/>
      <c r="F488" s="176"/>
    </row>
    <row r="489" spans="1:6" s="141" customFormat="1">
      <c r="A489" s="192"/>
      <c r="B489" s="104"/>
      <c r="C489" s="175"/>
      <c r="D489" s="136"/>
      <c r="E489" s="138"/>
      <c r="F489" s="176"/>
    </row>
    <row r="490" spans="1:6" s="141" customFormat="1">
      <c r="A490" s="192"/>
      <c r="B490" s="104"/>
      <c r="C490" s="175"/>
      <c r="D490" s="136"/>
      <c r="E490" s="138"/>
      <c r="F490" s="176"/>
    </row>
    <row r="491" spans="1:6" s="141" customFormat="1">
      <c r="A491" s="192"/>
      <c r="B491" s="104"/>
      <c r="C491" s="175"/>
      <c r="D491" s="136"/>
      <c r="E491" s="138"/>
      <c r="F491" s="176"/>
    </row>
    <row r="492" spans="1:6" s="141" customFormat="1">
      <c r="A492" s="192"/>
      <c r="B492" s="104"/>
      <c r="C492" s="175"/>
      <c r="D492" s="136"/>
      <c r="E492" s="138"/>
      <c r="F492" s="176"/>
    </row>
    <row r="493" spans="1:6" s="141" customFormat="1">
      <c r="A493" s="192"/>
      <c r="B493" s="104"/>
      <c r="C493" s="175"/>
      <c r="D493" s="136"/>
      <c r="E493" s="138"/>
      <c r="F493" s="176"/>
    </row>
    <row r="494" spans="1:6" s="141" customFormat="1">
      <c r="A494" s="192"/>
      <c r="B494" s="104"/>
      <c r="C494" s="175"/>
      <c r="D494" s="136"/>
      <c r="E494" s="138"/>
      <c r="F494" s="176"/>
    </row>
    <row r="495" spans="1:6" s="141" customFormat="1">
      <c r="A495" s="192"/>
      <c r="B495" s="104"/>
      <c r="C495" s="175"/>
      <c r="D495" s="136"/>
      <c r="E495" s="138"/>
      <c r="F495" s="176"/>
    </row>
    <row r="496" spans="1:6" s="141" customFormat="1">
      <c r="A496" s="192"/>
      <c r="B496" s="104"/>
      <c r="C496" s="175"/>
      <c r="D496" s="136"/>
      <c r="E496" s="138"/>
      <c r="F496" s="176"/>
    </row>
    <row r="497" spans="1:6" s="141" customFormat="1">
      <c r="A497" s="192"/>
      <c r="B497" s="104"/>
      <c r="C497" s="175"/>
      <c r="D497" s="136"/>
      <c r="E497" s="138"/>
      <c r="F497" s="176"/>
    </row>
    <row r="498" spans="1:6" s="141" customFormat="1">
      <c r="A498" s="192"/>
      <c r="B498" s="104"/>
      <c r="C498" s="175"/>
      <c r="D498" s="136"/>
      <c r="E498" s="138"/>
      <c r="F498" s="176"/>
    </row>
    <row r="499" spans="1:6" s="141" customFormat="1">
      <c r="A499" s="192"/>
      <c r="B499" s="104"/>
      <c r="C499" s="175"/>
      <c r="D499" s="136"/>
      <c r="E499" s="138"/>
      <c r="F499" s="176"/>
    </row>
    <row r="500" spans="1:6" s="141" customFormat="1">
      <c r="A500" s="192"/>
      <c r="B500" s="104"/>
      <c r="C500" s="175"/>
      <c r="D500" s="136"/>
      <c r="E500" s="138"/>
      <c r="F500" s="176"/>
    </row>
    <row r="501" spans="1:6" s="141" customFormat="1">
      <c r="A501" s="192"/>
      <c r="B501" s="104"/>
      <c r="C501" s="175"/>
      <c r="D501" s="136"/>
      <c r="E501" s="138"/>
      <c r="F501" s="176"/>
    </row>
    <row r="502" spans="1:6" s="141" customFormat="1">
      <c r="A502" s="192"/>
      <c r="B502" s="104"/>
      <c r="C502" s="175"/>
      <c r="D502" s="136"/>
      <c r="E502" s="138"/>
      <c r="F502" s="176"/>
    </row>
    <row r="503" spans="1:6" s="141" customFormat="1">
      <c r="A503" s="192"/>
      <c r="B503" s="104"/>
      <c r="C503" s="175"/>
      <c r="D503" s="136"/>
      <c r="E503" s="138"/>
      <c r="F503" s="176"/>
    </row>
    <row r="504" spans="1:6" s="141" customFormat="1">
      <c r="A504" s="192"/>
      <c r="B504" s="104"/>
      <c r="C504" s="175"/>
      <c r="D504" s="136"/>
      <c r="E504" s="138"/>
      <c r="F504" s="176"/>
    </row>
    <row r="505" spans="1:6" s="141" customFormat="1">
      <c r="A505" s="192"/>
      <c r="B505" s="104"/>
      <c r="C505" s="175"/>
      <c r="D505" s="136"/>
      <c r="E505" s="138"/>
      <c r="F505" s="176"/>
    </row>
    <row r="506" spans="1:6" s="141" customFormat="1">
      <c r="A506" s="192"/>
      <c r="B506" s="104"/>
      <c r="C506" s="175"/>
      <c r="D506" s="136"/>
      <c r="E506" s="138"/>
      <c r="F506" s="176"/>
    </row>
    <row r="507" spans="1:6" s="141" customFormat="1">
      <c r="A507" s="192"/>
      <c r="B507" s="104"/>
      <c r="C507" s="175"/>
      <c r="D507" s="136"/>
      <c r="E507" s="138"/>
      <c r="F507" s="176"/>
    </row>
    <row r="508" spans="1:6" s="141" customFormat="1">
      <c r="A508" s="192"/>
      <c r="B508" s="104"/>
      <c r="C508" s="175"/>
      <c r="D508" s="136"/>
      <c r="E508" s="138"/>
      <c r="F508" s="176"/>
    </row>
    <row r="509" spans="1:6" s="141" customFormat="1">
      <c r="A509" s="192"/>
      <c r="B509" s="104"/>
      <c r="C509" s="175"/>
      <c r="D509" s="136"/>
      <c r="E509" s="138"/>
      <c r="F509" s="176"/>
    </row>
    <row r="510" spans="1:6" s="141" customFormat="1">
      <c r="A510" s="192"/>
      <c r="B510" s="104"/>
      <c r="C510" s="175"/>
      <c r="D510" s="136"/>
      <c r="E510" s="138"/>
      <c r="F510" s="176"/>
    </row>
    <row r="511" spans="1:6" s="141" customFormat="1">
      <c r="A511" s="192"/>
      <c r="B511" s="104"/>
      <c r="C511" s="175"/>
      <c r="D511" s="136"/>
      <c r="E511" s="138"/>
      <c r="F511" s="176"/>
    </row>
    <row r="512" spans="1:6" s="141" customFormat="1">
      <c r="A512" s="192"/>
      <c r="B512" s="104"/>
      <c r="C512" s="175"/>
      <c r="D512" s="136"/>
      <c r="E512" s="138"/>
      <c r="F512" s="176"/>
    </row>
    <row r="513" spans="1:6" s="141" customFormat="1">
      <c r="A513" s="192"/>
      <c r="B513" s="104"/>
      <c r="C513" s="175"/>
      <c r="D513" s="136"/>
      <c r="E513" s="138"/>
      <c r="F513" s="176"/>
    </row>
    <row r="514" spans="1:6" s="141" customFormat="1">
      <c r="A514" s="192"/>
      <c r="B514" s="104"/>
      <c r="C514" s="175"/>
      <c r="D514" s="136"/>
      <c r="E514" s="138"/>
      <c r="F514" s="176"/>
    </row>
    <row r="515" spans="1:6" s="141" customFormat="1">
      <c r="A515" s="192"/>
      <c r="B515" s="104"/>
      <c r="C515" s="175"/>
      <c r="D515" s="136"/>
      <c r="E515" s="138"/>
      <c r="F515" s="176"/>
    </row>
    <row r="516" spans="1:6" s="141" customFormat="1">
      <c r="A516" s="192"/>
      <c r="B516" s="104"/>
      <c r="C516" s="175"/>
      <c r="D516" s="136"/>
      <c r="E516" s="138"/>
      <c r="F516" s="176"/>
    </row>
    <row r="517" spans="1:6" s="141" customFormat="1">
      <c r="A517" s="192"/>
      <c r="B517" s="104"/>
      <c r="C517" s="175"/>
      <c r="D517" s="136"/>
      <c r="E517" s="138"/>
      <c r="F517" s="176"/>
    </row>
    <row r="518" spans="1:6" s="141" customFormat="1">
      <c r="A518" s="192"/>
      <c r="B518" s="104"/>
      <c r="C518" s="175"/>
      <c r="D518" s="136"/>
      <c r="E518" s="138"/>
      <c r="F518" s="176"/>
    </row>
    <row r="519" spans="1:6" s="141" customFormat="1">
      <c r="A519" s="192"/>
      <c r="B519" s="104"/>
      <c r="C519" s="175"/>
      <c r="D519" s="136"/>
      <c r="E519" s="138"/>
      <c r="F519" s="176"/>
    </row>
    <row r="520" spans="1:6" s="141" customFormat="1">
      <c r="A520" s="192"/>
      <c r="B520" s="104"/>
      <c r="C520" s="175"/>
      <c r="D520" s="136"/>
      <c r="E520" s="138"/>
      <c r="F520" s="176"/>
    </row>
    <row r="521" spans="1:6" s="141" customFormat="1">
      <c r="A521" s="192"/>
      <c r="B521" s="104"/>
      <c r="C521" s="175"/>
      <c r="D521" s="136"/>
      <c r="E521" s="138"/>
      <c r="F521" s="176"/>
    </row>
    <row r="522" spans="1:6" s="141" customFormat="1">
      <c r="A522" s="192"/>
      <c r="B522" s="104"/>
      <c r="C522" s="175"/>
      <c r="D522" s="136"/>
      <c r="E522" s="138"/>
      <c r="F522" s="176"/>
    </row>
    <row r="523" spans="1:6" s="141" customFormat="1">
      <c r="A523" s="192"/>
      <c r="B523" s="104"/>
      <c r="C523" s="175"/>
      <c r="D523" s="136"/>
      <c r="E523" s="138"/>
      <c r="F523" s="176"/>
    </row>
    <row r="524" spans="1:6" s="141" customFormat="1">
      <c r="A524" s="192"/>
      <c r="B524" s="104"/>
      <c r="C524" s="175"/>
      <c r="D524" s="136"/>
      <c r="E524" s="138"/>
      <c r="F524" s="176"/>
    </row>
    <row r="525" spans="1:6" s="141" customFormat="1">
      <c r="A525" s="192"/>
      <c r="B525" s="104"/>
      <c r="C525" s="175"/>
      <c r="D525" s="136"/>
      <c r="E525" s="138"/>
      <c r="F525" s="176"/>
    </row>
    <row r="526" spans="1:6" s="141" customFormat="1">
      <c r="A526" s="192"/>
      <c r="B526" s="104"/>
      <c r="C526" s="175"/>
      <c r="D526" s="136"/>
      <c r="E526" s="138"/>
      <c r="F526" s="176"/>
    </row>
    <row r="527" spans="1:6" s="141" customFormat="1">
      <c r="A527" s="192"/>
      <c r="B527" s="104"/>
      <c r="C527" s="175"/>
      <c r="D527" s="136"/>
      <c r="E527" s="138"/>
      <c r="F527" s="176"/>
    </row>
    <row r="528" spans="1:6" s="141" customFormat="1">
      <c r="A528" s="192"/>
      <c r="B528" s="104"/>
      <c r="C528" s="175"/>
      <c r="D528" s="136"/>
      <c r="E528" s="138"/>
      <c r="F528" s="176"/>
    </row>
    <row r="529" spans="1:6" s="141" customFormat="1">
      <c r="A529" s="192"/>
      <c r="B529" s="104"/>
      <c r="C529" s="175"/>
      <c r="D529" s="136"/>
      <c r="E529" s="138"/>
      <c r="F529" s="176"/>
    </row>
    <row r="530" spans="1:6" s="141" customFormat="1">
      <c r="A530" s="192"/>
      <c r="B530" s="104"/>
      <c r="C530" s="175"/>
      <c r="D530" s="136"/>
      <c r="E530" s="138"/>
      <c r="F530" s="176"/>
    </row>
    <row r="531" spans="1:6" s="141" customFormat="1">
      <c r="A531" s="192"/>
      <c r="B531" s="104"/>
      <c r="C531" s="175"/>
      <c r="D531" s="136"/>
      <c r="E531" s="138"/>
      <c r="F531" s="176"/>
    </row>
    <row r="532" spans="1:6" s="141" customFormat="1">
      <c r="A532" s="192"/>
      <c r="B532" s="104"/>
      <c r="C532" s="175"/>
      <c r="D532" s="136"/>
      <c r="E532" s="138"/>
      <c r="F532" s="176"/>
    </row>
    <row r="533" spans="1:6" s="141" customFormat="1">
      <c r="A533" s="192"/>
      <c r="B533" s="104"/>
      <c r="C533" s="175"/>
      <c r="D533" s="136"/>
      <c r="E533" s="138"/>
      <c r="F533" s="176"/>
    </row>
    <row r="534" spans="1:6" s="141" customFormat="1">
      <c r="A534" s="192"/>
      <c r="B534" s="104"/>
      <c r="C534" s="175"/>
      <c r="D534" s="136"/>
      <c r="E534" s="138"/>
      <c r="F534" s="176"/>
    </row>
    <row r="535" spans="1:6" s="141" customFormat="1">
      <c r="A535" s="192"/>
      <c r="B535" s="104"/>
      <c r="C535" s="175"/>
      <c r="D535" s="136"/>
      <c r="E535" s="138"/>
      <c r="F535" s="176"/>
    </row>
    <row r="536" spans="1:6" s="141" customFormat="1">
      <c r="A536" s="192"/>
      <c r="B536" s="104"/>
      <c r="C536" s="175"/>
      <c r="D536" s="136"/>
      <c r="E536" s="138"/>
      <c r="F536" s="176"/>
    </row>
    <row r="537" spans="1:6" s="141" customFormat="1">
      <c r="A537" s="192"/>
      <c r="B537" s="104"/>
      <c r="C537" s="175"/>
      <c r="D537" s="136"/>
      <c r="E537" s="138"/>
      <c r="F537" s="176"/>
    </row>
    <row r="538" spans="1:6" s="141" customFormat="1">
      <c r="A538" s="192"/>
      <c r="B538" s="104"/>
      <c r="C538" s="175"/>
      <c r="D538" s="136"/>
      <c r="E538" s="138"/>
      <c r="F538" s="176"/>
    </row>
    <row r="539" spans="1:6" s="141" customFormat="1">
      <c r="A539" s="192"/>
      <c r="B539" s="104"/>
      <c r="C539" s="175"/>
      <c r="D539" s="136"/>
      <c r="E539" s="138"/>
      <c r="F539" s="176"/>
    </row>
    <row r="540" spans="1:6" s="141" customFormat="1">
      <c r="A540" s="192"/>
      <c r="B540" s="104"/>
      <c r="C540" s="175"/>
      <c r="D540" s="136"/>
      <c r="E540" s="138"/>
      <c r="F540" s="176"/>
    </row>
    <row r="541" spans="1:6" s="141" customFormat="1">
      <c r="A541" s="192"/>
      <c r="B541" s="104"/>
      <c r="C541" s="175"/>
      <c r="D541" s="136"/>
      <c r="E541" s="138"/>
      <c r="F541" s="176"/>
    </row>
    <row r="542" spans="1:6" s="141" customFormat="1">
      <c r="A542" s="192"/>
      <c r="B542" s="104"/>
      <c r="C542" s="175"/>
      <c r="D542" s="136"/>
      <c r="E542" s="138"/>
      <c r="F542" s="176"/>
    </row>
    <row r="543" spans="1:6" s="141" customFormat="1">
      <c r="A543" s="192"/>
      <c r="B543" s="104"/>
      <c r="C543" s="175"/>
      <c r="D543" s="136"/>
      <c r="E543" s="138"/>
      <c r="F543" s="176"/>
    </row>
    <row r="544" spans="1:6" s="141" customFormat="1">
      <c r="A544" s="192"/>
      <c r="B544" s="104"/>
      <c r="C544" s="175"/>
      <c r="D544" s="136"/>
      <c r="E544" s="138"/>
      <c r="F544" s="176"/>
    </row>
    <row r="545" spans="1:6" s="141" customFormat="1">
      <c r="A545" s="192"/>
      <c r="B545" s="104"/>
      <c r="C545" s="175"/>
      <c r="D545" s="136"/>
      <c r="E545" s="138"/>
      <c r="F545" s="176"/>
    </row>
    <row r="546" spans="1:6" s="141" customFormat="1">
      <c r="A546" s="192"/>
      <c r="B546" s="104"/>
      <c r="C546" s="175"/>
      <c r="D546" s="136"/>
      <c r="E546" s="138"/>
      <c r="F546" s="176"/>
    </row>
    <row r="547" spans="1:6" s="141" customFormat="1">
      <c r="A547" s="192"/>
      <c r="B547" s="104"/>
      <c r="C547" s="175"/>
      <c r="D547" s="136"/>
      <c r="E547" s="138"/>
      <c r="F547" s="176"/>
    </row>
    <row r="548" spans="1:6" s="141" customFormat="1">
      <c r="A548" s="192"/>
      <c r="B548" s="104"/>
      <c r="C548" s="175"/>
      <c r="D548" s="136"/>
      <c r="E548" s="138"/>
      <c r="F548" s="176"/>
    </row>
    <row r="549" spans="1:6" s="141" customFormat="1">
      <c r="A549" s="192"/>
      <c r="B549" s="104"/>
      <c r="C549" s="175"/>
      <c r="D549" s="136"/>
      <c r="E549" s="138"/>
      <c r="F549" s="176"/>
    </row>
    <row r="550" spans="1:6" s="141" customFormat="1">
      <c r="A550" s="192"/>
      <c r="B550" s="104"/>
      <c r="C550" s="175"/>
      <c r="D550" s="136"/>
      <c r="E550" s="138"/>
      <c r="F550" s="176"/>
    </row>
    <row r="551" spans="1:6" s="141" customFormat="1">
      <c r="A551" s="192"/>
      <c r="B551" s="104"/>
      <c r="C551" s="175"/>
      <c r="D551" s="136"/>
      <c r="E551" s="138"/>
      <c r="F551" s="176"/>
    </row>
    <row r="552" spans="1:6" s="141" customFormat="1">
      <c r="A552" s="192"/>
      <c r="B552" s="104"/>
      <c r="C552" s="175"/>
      <c r="D552" s="136"/>
      <c r="E552" s="138"/>
      <c r="F552" s="176"/>
    </row>
    <row r="553" spans="1:6" s="141" customFormat="1">
      <c r="A553" s="192"/>
      <c r="B553" s="104"/>
      <c r="C553" s="175"/>
      <c r="D553" s="136"/>
      <c r="E553" s="138"/>
      <c r="F553" s="176"/>
    </row>
    <row r="554" spans="1:6" s="141" customFormat="1">
      <c r="A554" s="192"/>
      <c r="B554" s="104"/>
      <c r="C554" s="175"/>
      <c r="D554" s="136"/>
      <c r="E554" s="138"/>
      <c r="F554" s="176"/>
    </row>
    <row r="555" spans="1:6" s="141" customFormat="1">
      <c r="A555" s="192"/>
      <c r="B555" s="104"/>
      <c r="C555" s="175"/>
      <c r="D555" s="136"/>
      <c r="E555" s="138"/>
      <c r="F555" s="176"/>
    </row>
    <row r="556" spans="1:6" s="141" customFormat="1">
      <c r="A556" s="192"/>
      <c r="B556" s="104"/>
      <c r="C556" s="175"/>
      <c r="D556" s="136"/>
      <c r="E556" s="138"/>
      <c r="F556" s="176"/>
    </row>
    <row r="557" spans="1:6" s="141" customFormat="1">
      <c r="A557" s="192"/>
      <c r="B557" s="104"/>
      <c r="C557" s="175"/>
      <c r="D557" s="136"/>
      <c r="E557" s="138"/>
      <c r="F557" s="176"/>
    </row>
    <row r="558" spans="1:6" s="141" customFormat="1">
      <c r="A558" s="192"/>
      <c r="B558" s="104"/>
      <c r="C558" s="175"/>
      <c r="D558" s="136"/>
      <c r="E558" s="138"/>
      <c r="F558" s="176"/>
    </row>
    <row r="559" spans="1:6" s="141" customFormat="1">
      <c r="A559" s="192"/>
      <c r="B559" s="104"/>
      <c r="C559" s="175"/>
      <c r="D559" s="136"/>
      <c r="E559" s="138"/>
      <c r="F559" s="176"/>
    </row>
    <row r="560" spans="1:6" s="141" customFormat="1">
      <c r="A560" s="192"/>
      <c r="B560" s="104"/>
      <c r="C560" s="175"/>
      <c r="D560" s="136"/>
      <c r="E560" s="138"/>
      <c r="F560" s="176"/>
    </row>
    <row r="561" spans="1:6" s="141" customFormat="1">
      <c r="A561" s="192"/>
      <c r="B561" s="104"/>
      <c r="C561" s="175"/>
      <c r="D561" s="136"/>
      <c r="E561" s="138"/>
      <c r="F561" s="176"/>
    </row>
    <row r="562" spans="1:6" s="141" customFormat="1">
      <c r="A562" s="192"/>
      <c r="B562" s="104"/>
      <c r="C562" s="175"/>
      <c r="D562" s="136"/>
      <c r="E562" s="138"/>
      <c r="F562" s="176"/>
    </row>
    <row r="563" spans="1:6" s="141" customFormat="1">
      <c r="A563" s="192"/>
      <c r="B563" s="104"/>
      <c r="C563" s="175"/>
      <c r="D563" s="136"/>
      <c r="E563" s="138"/>
      <c r="F563" s="176"/>
    </row>
    <row r="564" spans="1:6" s="141" customFormat="1">
      <c r="A564" s="192"/>
      <c r="B564" s="104"/>
      <c r="C564" s="175"/>
      <c r="D564" s="136"/>
      <c r="E564" s="138"/>
      <c r="F564" s="176"/>
    </row>
    <row r="565" spans="1:6" s="141" customFormat="1">
      <c r="A565" s="192"/>
      <c r="B565" s="104"/>
      <c r="C565" s="175"/>
      <c r="D565" s="136"/>
      <c r="E565" s="138"/>
      <c r="F565" s="176"/>
    </row>
    <row r="566" spans="1:6" s="141" customFormat="1">
      <c r="A566" s="192"/>
      <c r="B566" s="104"/>
      <c r="C566" s="175"/>
      <c r="D566" s="136"/>
      <c r="E566" s="138"/>
      <c r="F566" s="176"/>
    </row>
    <row r="567" spans="1:6" s="141" customFormat="1">
      <c r="A567" s="192"/>
      <c r="B567" s="104"/>
      <c r="C567" s="175"/>
      <c r="D567" s="136"/>
      <c r="E567" s="138"/>
      <c r="F567" s="176"/>
    </row>
    <row r="568" spans="1:6" s="141" customFormat="1">
      <c r="A568" s="192"/>
      <c r="B568" s="104"/>
      <c r="C568" s="175"/>
      <c r="D568" s="136"/>
      <c r="E568" s="138"/>
      <c r="F568" s="176"/>
    </row>
    <row r="569" spans="1:6" s="141" customFormat="1">
      <c r="A569" s="192"/>
      <c r="B569" s="104"/>
      <c r="C569" s="175"/>
      <c r="D569" s="136"/>
      <c r="E569" s="138"/>
      <c r="F569" s="176"/>
    </row>
    <row r="570" spans="1:6" s="141" customFormat="1">
      <c r="A570" s="192"/>
      <c r="B570" s="104"/>
      <c r="C570" s="175"/>
      <c r="D570" s="136"/>
      <c r="E570" s="138"/>
      <c r="F570" s="176"/>
    </row>
    <row r="571" spans="1:6" s="141" customFormat="1">
      <c r="A571" s="192"/>
      <c r="B571" s="104"/>
      <c r="C571" s="175"/>
      <c r="D571" s="136"/>
      <c r="E571" s="138"/>
      <c r="F571" s="176"/>
    </row>
    <row r="572" spans="1:6" s="141" customFormat="1">
      <c r="A572" s="192"/>
      <c r="B572" s="104"/>
      <c r="C572" s="175"/>
      <c r="D572" s="136"/>
      <c r="E572" s="138"/>
      <c r="F572" s="176"/>
    </row>
    <row r="573" spans="1:6" s="141" customFormat="1">
      <c r="A573" s="192"/>
      <c r="B573" s="104"/>
      <c r="C573" s="175"/>
      <c r="D573" s="136"/>
      <c r="E573" s="138"/>
      <c r="F573" s="176"/>
    </row>
    <row r="574" spans="1:6" s="141" customFormat="1">
      <c r="A574" s="192"/>
      <c r="B574" s="104"/>
      <c r="C574" s="175"/>
      <c r="D574" s="136"/>
      <c r="E574" s="138"/>
      <c r="F574" s="176"/>
    </row>
    <row r="575" spans="1:6" s="141" customFormat="1">
      <c r="A575" s="192"/>
      <c r="B575" s="104"/>
      <c r="C575" s="175"/>
      <c r="D575" s="136"/>
      <c r="E575" s="138"/>
      <c r="F575" s="176"/>
    </row>
    <row r="576" spans="1:6" s="141" customFormat="1">
      <c r="A576" s="192"/>
      <c r="B576" s="104"/>
      <c r="C576" s="175"/>
      <c r="D576" s="136"/>
      <c r="E576" s="138"/>
      <c r="F576" s="176"/>
    </row>
    <row r="577" spans="1:6" s="141" customFormat="1">
      <c r="A577" s="192"/>
      <c r="B577" s="104"/>
      <c r="C577" s="175"/>
      <c r="D577" s="136"/>
      <c r="E577" s="138"/>
      <c r="F577" s="176"/>
    </row>
    <row r="578" spans="1:6" s="141" customFormat="1">
      <c r="A578" s="192"/>
      <c r="B578" s="104"/>
      <c r="C578" s="175"/>
      <c r="D578" s="136"/>
      <c r="E578" s="138"/>
      <c r="F578" s="176"/>
    </row>
    <row r="579" spans="1:6" s="141" customFormat="1">
      <c r="A579" s="192"/>
      <c r="B579" s="104"/>
      <c r="C579" s="175"/>
      <c r="D579" s="136"/>
      <c r="E579" s="138"/>
      <c r="F579" s="176"/>
    </row>
    <row r="580" spans="1:6" s="141" customFormat="1">
      <c r="A580" s="192"/>
      <c r="B580" s="104"/>
      <c r="C580" s="175"/>
      <c r="D580" s="136"/>
      <c r="E580" s="138"/>
      <c r="F580" s="176"/>
    </row>
    <row r="581" spans="1:6" s="141" customFormat="1">
      <c r="A581" s="192"/>
      <c r="B581" s="104"/>
      <c r="C581" s="175"/>
      <c r="D581" s="136"/>
      <c r="E581" s="138"/>
      <c r="F581" s="176"/>
    </row>
    <row r="582" spans="1:6" s="141" customFormat="1">
      <c r="A582" s="192"/>
      <c r="B582" s="104"/>
      <c r="C582" s="175"/>
      <c r="D582" s="136"/>
      <c r="E582" s="138"/>
      <c r="F582" s="176"/>
    </row>
    <row r="583" spans="1:6" s="141" customFormat="1">
      <c r="A583" s="192"/>
      <c r="B583" s="104"/>
      <c r="C583" s="175"/>
      <c r="D583" s="136"/>
      <c r="E583" s="138"/>
      <c r="F583" s="176"/>
    </row>
    <row r="584" spans="1:6" s="141" customFormat="1">
      <c r="A584" s="192"/>
      <c r="B584" s="104"/>
      <c r="C584" s="175"/>
      <c r="D584" s="136"/>
      <c r="E584" s="138"/>
      <c r="F584" s="176"/>
    </row>
    <row r="585" spans="1:6" s="141" customFormat="1">
      <c r="A585" s="192"/>
      <c r="B585" s="104"/>
      <c r="C585" s="175"/>
      <c r="D585" s="136"/>
      <c r="E585" s="138"/>
      <c r="F585" s="176"/>
    </row>
    <row r="586" spans="1:6" s="141" customFormat="1">
      <c r="A586" s="192"/>
      <c r="B586" s="104"/>
      <c r="C586" s="175"/>
      <c r="D586" s="136"/>
      <c r="E586" s="138"/>
      <c r="F586" s="176"/>
    </row>
    <row r="587" spans="1:6" s="141" customFormat="1">
      <c r="A587" s="192"/>
      <c r="B587" s="104"/>
      <c r="C587" s="175"/>
      <c r="D587" s="136"/>
      <c r="E587" s="138"/>
      <c r="F587" s="176"/>
    </row>
    <row r="588" spans="1:6" s="141" customFormat="1">
      <c r="A588" s="192"/>
      <c r="B588" s="104"/>
      <c r="C588" s="175"/>
      <c r="D588" s="136"/>
      <c r="E588" s="138"/>
      <c r="F588" s="176"/>
    </row>
    <row r="589" spans="1:6" s="141" customFormat="1">
      <c r="A589" s="192"/>
      <c r="B589" s="104"/>
      <c r="C589" s="175"/>
      <c r="D589" s="136"/>
      <c r="E589" s="138"/>
      <c r="F589" s="176"/>
    </row>
    <row r="590" spans="1:6" s="141" customFormat="1">
      <c r="A590" s="192"/>
      <c r="B590" s="104"/>
      <c r="C590" s="175"/>
      <c r="D590" s="136"/>
      <c r="E590" s="138"/>
      <c r="F590" s="176"/>
    </row>
    <row r="591" spans="1:6" s="141" customFormat="1">
      <c r="A591" s="192"/>
      <c r="B591" s="104"/>
      <c r="C591" s="175"/>
      <c r="D591" s="136"/>
      <c r="E591" s="138"/>
      <c r="F591" s="176"/>
    </row>
    <row r="592" spans="1:6" s="141" customFormat="1">
      <c r="A592" s="192"/>
      <c r="B592" s="104"/>
      <c r="C592" s="175"/>
      <c r="D592" s="136"/>
      <c r="E592" s="138"/>
      <c r="F592" s="176"/>
    </row>
    <row r="593" spans="1:6" s="141" customFormat="1">
      <c r="A593" s="192"/>
      <c r="B593" s="104"/>
      <c r="C593" s="175"/>
      <c r="D593" s="136"/>
      <c r="E593" s="138"/>
      <c r="F593" s="176"/>
    </row>
    <row r="594" spans="1:6" s="141" customFormat="1">
      <c r="A594" s="192"/>
      <c r="B594" s="104"/>
      <c r="C594" s="175"/>
      <c r="D594" s="136"/>
      <c r="E594" s="138"/>
      <c r="F594" s="176"/>
    </row>
    <row r="595" spans="1:6" s="141" customFormat="1">
      <c r="A595" s="192"/>
      <c r="B595" s="104"/>
      <c r="C595" s="175"/>
      <c r="D595" s="136"/>
      <c r="E595" s="138"/>
      <c r="F595" s="176"/>
    </row>
    <row r="596" spans="1:6" s="141" customFormat="1">
      <c r="A596" s="192"/>
      <c r="B596" s="104"/>
      <c r="C596" s="175"/>
      <c r="D596" s="136"/>
      <c r="E596" s="138"/>
      <c r="F596" s="176"/>
    </row>
    <row r="597" spans="1:6" s="141" customFormat="1">
      <c r="A597" s="192"/>
      <c r="B597" s="104"/>
      <c r="C597" s="175"/>
      <c r="D597" s="136"/>
      <c r="E597" s="138"/>
      <c r="F597" s="176"/>
    </row>
    <row r="598" spans="1:6" s="141" customFormat="1">
      <c r="A598" s="192"/>
      <c r="B598" s="104"/>
      <c r="C598" s="175"/>
      <c r="D598" s="136"/>
      <c r="E598" s="138"/>
      <c r="F598" s="176"/>
    </row>
    <row r="599" spans="1:6" s="141" customFormat="1">
      <c r="A599" s="192"/>
      <c r="B599" s="104"/>
      <c r="C599" s="175"/>
      <c r="D599" s="136"/>
      <c r="E599" s="138"/>
      <c r="F599" s="176"/>
    </row>
    <row r="600" spans="1:6" s="141" customFormat="1">
      <c r="A600" s="192"/>
      <c r="B600" s="104"/>
      <c r="C600" s="175"/>
      <c r="D600" s="136"/>
      <c r="E600" s="138"/>
      <c r="F600" s="176"/>
    </row>
    <row r="601" spans="1:6" s="141" customFormat="1">
      <c r="A601" s="192"/>
      <c r="B601" s="104"/>
      <c r="C601" s="175"/>
      <c r="D601" s="136"/>
      <c r="E601" s="138"/>
      <c r="F601" s="176"/>
    </row>
    <row r="602" spans="1:6" s="141" customFormat="1">
      <c r="A602" s="192"/>
      <c r="B602" s="104"/>
      <c r="C602" s="175"/>
      <c r="D602" s="136"/>
      <c r="E602" s="138"/>
      <c r="F602" s="176"/>
    </row>
    <row r="603" spans="1:6" s="141" customFormat="1">
      <c r="A603" s="192"/>
      <c r="B603" s="104"/>
      <c r="C603" s="175"/>
      <c r="D603" s="136"/>
      <c r="E603" s="138"/>
      <c r="F603" s="176"/>
    </row>
    <row r="604" spans="1:6" s="141" customFormat="1">
      <c r="A604" s="192"/>
      <c r="B604" s="104"/>
      <c r="C604" s="175"/>
      <c r="D604" s="136"/>
      <c r="E604" s="138"/>
      <c r="F604" s="176"/>
    </row>
    <row r="605" spans="1:6" s="141" customFormat="1">
      <c r="A605" s="192"/>
      <c r="B605" s="104"/>
      <c r="C605" s="175"/>
      <c r="D605" s="136"/>
      <c r="E605" s="138"/>
      <c r="F605" s="176"/>
    </row>
    <row r="606" spans="1:6" s="141" customFormat="1">
      <c r="A606" s="192"/>
      <c r="B606" s="104"/>
      <c r="C606" s="175"/>
      <c r="D606" s="136"/>
      <c r="E606" s="138"/>
      <c r="F606" s="176"/>
    </row>
    <row r="607" spans="1:6" s="141" customFormat="1">
      <c r="A607" s="192"/>
      <c r="B607" s="104"/>
      <c r="C607" s="175"/>
      <c r="D607" s="136"/>
      <c r="E607" s="138"/>
      <c r="F607" s="176"/>
    </row>
    <row r="608" spans="1:6" s="141" customFormat="1">
      <c r="A608" s="192"/>
      <c r="B608" s="104"/>
      <c r="C608" s="175"/>
      <c r="D608" s="136"/>
      <c r="E608" s="138"/>
      <c r="F608" s="176"/>
    </row>
    <row r="609" spans="1:6" s="141" customFormat="1">
      <c r="A609" s="192"/>
      <c r="B609" s="104"/>
      <c r="C609" s="175"/>
      <c r="D609" s="136"/>
      <c r="E609" s="138"/>
      <c r="F609" s="176"/>
    </row>
    <row r="610" spans="1:6" s="141" customFormat="1">
      <c r="A610" s="192"/>
      <c r="B610" s="104"/>
      <c r="C610" s="175"/>
      <c r="D610" s="136"/>
      <c r="E610" s="138"/>
      <c r="F610" s="176"/>
    </row>
    <row r="611" spans="1:6" s="141" customFormat="1">
      <c r="A611" s="192"/>
      <c r="B611" s="104"/>
      <c r="C611" s="175"/>
      <c r="D611" s="136"/>
      <c r="E611" s="138"/>
      <c r="F611" s="176"/>
    </row>
    <row r="612" spans="1:6" s="141" customFormat="1">
      <c r="A612" s="192"/>
      <c r="B612" s="104"/>
      <c r="C612" s="175"/>
      <c r="D612" s="136"/>
      <c r="E612" s="138"/>
      <c r="F612" s="176"/>
    </row>
    <row r="613" spans="1:6" s="141" customFormat="1">
      <c r="A613" s="192"/>
      <c r="B613" s="104"/>
      <c r="C613" s="175"/>
      <c r="D613" s="136"/>
      <c r="E613" s="138"/>
      <c r="F613" s="176"/>
    </row>
    <row r="614" spans="1:6" s="141" customFormat="1">
      <c r="A614" s="192"/>
      <c r="B614" s="104"/>
      <c r="C614" s="175"/>
      <c r="D614" s="136"/>
      <c r="E614" s="138"/>
      <c r="F614" s="176"/>
    </row>
    <row r="615" spans="1:6" s="141" customFormat="1">
      <c r="A615" s="192"/>
      <c r="B615" s="104"/>
      <c r="C615" s="175"/>
      <c r="D615" s="136"/>
      <c r="E615" s="138"/>
      <c r="F615" s="176"/>
    </row>
    <row r="616" spans="1:6" s="141" customFormat="1">
      <c r="A616" s="192"/>
      <c r="B616" s="104"/>
      <c r="C616" s="175"/>
      <c r="D616" s="136"/>
      <c r="E616" s="138"/>
      <c r="F616" s="176"/>
    </row>
    <row r="617" spans="1:6" s="141" customFormat="1">
      <c r="A617" s="192"/>
      <c r="B617" s="104"/>
      <c r="C617" s="175"/>
      <c r="D617" s="136"/>
      <c r="E617" s="138"/>
      <c r="F617" s="176"/>
    </row>
    <row r="618" spans="1:6" s="141" customFormat="1">
      <c r="A618" s="192"/>
      <c r="B618" s="104"/>
      <c r="C618" s="175"/>
      <c r="D618" s="136"/>
      <c r="E618" s="138"/>
      <c r="F618" s="176"/>
    </row>
    <row r="619" spans="1:6" s="141" customFormat="1">
      <c r="A619" s="192"/>
      <c r="B619" s="104"/>
      <c r="C619" s="175"/>
      <c r="D619" s="136"/>
      <c r="E619" s="138"/>
      <c r="F619" s="176"/>
    </row>
    <row r="620" spans="1:6" s="141" customFormat="1">
      <c r="A620" s="192"/>
      <c r="B620" s="104"/>
      <c r="C620" s="175"/>
      <c r="D620" s="136"/>
      <c r="E620" s="138"/>
      <c r="F620" s="176"/>
    </row>
    <row r="621" spans="1:6" s="141" customFormat="1">
      <c r="A621" s="192"/>
      <c r="B621" s="104"/>
      <c r="C621" s="175"/>
      <c r="D621" s="136"/>
      <c r="E621" s="138"/>
      <c r="F621" s="176"/>
    </row>
    <row r="622" spans="1:6" s="141" customFormat="1">
      <c r="A622" s="192"/>
      <c r="B622" s="104"/>
      <c r="C622" s="175"/>
      <c r="D622" s="136"/>
      <c r="E622" s="138"/>
      <c r="F622" s="176"/>
    </row>
    <row r="623" spans="1:6" s="141" customFormat="1">
      <c r="A623" s="192"/>
      <c r="B623" s="104"/>
      <c r="C623" s="175"/>
      <c r="D623" s="136"/>
      <c r="E623" s="138"/>
      <c r="F623" s="176"/>
    </row>
    <row r="624" spans="1:6" s="141" customFormat="1">
      <c r="A624" s="192"/>
      <c r="B624" s="104"/>
      <c r="C624" s="175"/>
      <c r="D624" s="136"/>
      <c r="E624" s="138"/>
      <c r="F624" s="176"/>
    </row>
    <row r="625" spans="1:6" s="141" customFormat="1">
      <c r="A625" s="192"/>
      <c r="B625" s="104"/>
      <c r="C625" s="175"/>
      <c r="D625" s="136"/>
      <c r="E625" s="138"/>
      <c r="F625" s="176"/>
    </row>
    <row r="626" spans="1:6" s="141" customFormat="1">
      <c r="A626" s="192"/>
      <c r="B626" s="104"/>
      <c r="C626" s="175"/>
      <c r="D626" s="136"/>
      <c r="E626" s="138"/>
      <c r="F626" s="176"/>
    </row>
    <row r="627" spans="1:6" s="141" customFormat="1">
      <c r="A627" s="192"/>
      <c r="B627" s="104"/>
      <c r="C627" s="175"/>
      <c r="D627" s="136"/>
      <c r="E627" s="138"/>
      <c r="F627" s="176"/>
    </row>
    <row r="628" spans="1:6" s="141" customFormat="1">
      <c r="A628" s="192"/>
      <c r="B628" s="104"/>
      <c r="C628" s="175"/>
      <c r="D628" s="136"/>
      <c r="E628" s="138"/>
      <c r="F628" s="176"/>
    </row>
    <row r="629" spans="1:6" s="141" customFormat="1">
      <c r="A629" s="192"/>
      <c r="B629" s="104"/>
      <c r="C629" s="175"/>
      <c r="D629" s="136"/>
      <c r="E629" s="138"/>
      <c r="F629" s="176"/>
    </row>
    <row r="630" spans="1:6" s="141" customFormat="1">
      <c r="A630" s="192"/>
      <c r="B630" s="104"/>
      <c r="C630" s="175"/>
      <c r="D630" s="136"/>
      <c r="E630" s="138"/>
      <c r="F630" s="176"/>
    </row>
    <row r="631" spans="1:6" s="141" customFormat="1">
      <c r="A631" s="192"/>
      <c r="B631" s="104"/>
      <c r="C631" s="175"/>
      <c r="D631" s="136"/>
      <c r="E631" s="138"/>
      <c r="F631" s="176"/>
    </row>
    <row r="632" spans="1:6" s="141" customFormat="1">
      <c r="A632" s="192"/>
      <c r="B632" s="104"/>
      <c r="C632" s="175"/>
      <c r="D632" s="136"/>
      <c r="E632" s="138"/>
      <c r="F632" s="176"/>
    </row>
    <row r="633" spans="1:6" s="141" customFormat="1">
      <c r="A633" s="192"/>
      <c r="B633" s="104"/>
      <c r="C633" s="175"/>
      <c r="D633" s="136"/>
      <c r="E633" s="138"/>
      <c r="F633" s="176"/>
    </row>
    <row r="634" spans="1:6" s="141" customFormat="1">
      <c r="A634" s="192"/>
      <c r="B634" s="104"/>
      <c r="C634" s="175"/>
      <c r="D634" s="136"/>
      <c r="E634" s="138"/>
      <c r="F634" s="176"/>
    </row>
    <row r="635" spans="1:6" s="141" customFormat="1">
      <c r="A635" s="192"/>
      <c r="B635" s="104"/>
      <c r="C635" s="175"/>
      <c r="D635" s="136"/>
      <c r="E635" s="138"/>
      <c r="F635" s="176"/>
    </row>
    <row r="636" spans="1:6" s="141" customFormat="1">
      <c r="A636" s="192"/>
      <c r="B636" s="104"/>
      <c r="C636" s="175"/>
      <c r="D636" s="136"/>
      <c r="E636" s="138"/>
      <c r="F636" s="176"/>
    </row>
    <row r="637" spans="1:6" s="141" customFormat="1">
      <c r="A637" s="192"/>
      <c r="B637" s="104"/>
      <c r="C637" s="175"/>
      <c r="D637" s="136"/>
      <c r="E637" s="138"/>
      <c r="F637" s="176"/>
    </row>
    <row r="638" spans="1:6" s="141" customFormat="1">
      <c r="A638" s="192"/>
      <c r="B638" s="104"/>
      <c r="C638" s="175"/>
      <c r="D638" s="136"/>
      <c r="E638" s="138"/>
      <c r="F638" s="176"/>
    </row>
    <row r="639" spans="1:6" s="141" customFormat="1">
      <c r="A639" s="192"/>
      <c r="B639" s="104"/>
      <c r="C639" s="175"/>
      <c r="D639" s="136"/>
      <c r="E639" s="138"/>
      <c r="F639" s="176"/>
    </row>
    <row r="640" spans="1:6" s="141" customFormat="1">
      <c r="A640" s="192"/>
      <c r="B640" s="104"/>
      <c r="C640" s="175"/>
      <c r="D640" s="136"/>
      <c r="E640" s="138"/>
      <c r="F640" s="176"/>
    </row>
    <row r="641" spans="1:6" s="141" customFormat="1">
      <c r="A641" s="192"/>
      <c r="B641" s="104"/>
      <c r="C641" s="175"/>
      <c r="D641" s="136"/>
      <c r="E641" s="138"/>
      <c r="F641" s="176"/>
    </row>
    <row r="642" spans="1:6" s="141" customFormat="1">
      <c r="A642" s="192"/>
      <c r="B642" s="104"/>
      <c r="C642" s="175"/>
      <c r="D642" s="136"/>
      <c r="E642" s="138"/>
      <c r="F642" s="176"/>
    </row>
    <row r="643" spans="1:6" s="141" customFormat="1">
      <c r="A643" s="192"/>
      <c r="B643" s="104"/>
      <c r="C643" s="175"/>
      <c r="D643" s="136"/>
      <c r="E643" s="138"/>
      <c r="F643" s="176"/>
    </row>
    <row r="644" spans="1:6" s="141" customFormat="1">
      <c r="A644" s="192"/>
      <c r="B644" s="104"/>
      <c r="C644" s="175"/>
      <c r="D644" s="136"/>
      <c r="E644" s="138"/>
      <c r="F644" s="176"/>
    </row>
    <row r="645" spans="1:6" s="141" customFormat="1">
      <c r="A645" s="192"/>
      <c r="B645" s="104"/>
      <c r="C645" s="175"/>
      <c r="D645" s="136"/>
      <c r="E645" s="138"/>
      <c r="F645" s="176"/>
    </row>
    <row r="646" spans="1:6" s="141" customFormat="1">
      <c r="A646" s="192"/>
      <c r="B646" s="104"/>
      <c r="C646" s="175"/>
      <c r="D646" s="136"/>
      <c r="E646" s="138"/>
      <c r="F646" s="176"/>
    </row>
    <row r="647" spans="1:6" s="141" customFormat="1">
      <c r="A647" s="192"/>
      <c r="B647" s="104"/>
      <c r="C647" s="175"/>
      <c r="D647" s="136"/>
      <c r="E647" s="138"/>
      <c r="F647" s="176"/>
    </row>
    <row r="648" spans="1:6" s="141" customFormat="1">
      <c r="A648" s="192"/>
      <c r="B648" s="104"/>
      <c r="C648" s="175"/>
      <c r="D648" s="136"/>
      <c r="E648" s="138"/>
      <c r="F648" s="176"/>
    </row>
    <row r="649" spans="1:6" s="141" customFormat="1">
      <c r="A649" s="192"/>
      <c r="B649" s="104"/>
      <c r="C649" s="175"/>
      <c r="D649" s="136"/>
      <c r="E649" s="138"/>
      <c r="F649" s="176"/>
    </row>
    <row r="652" spans="1:6" s="109" customFormat="1">
      <c r="A652" s="192"/>
      <c r="B652" s="104"/>
      <c r="C652" s="175"/>
      <c r="D652" s="136"/>
      <c r="E652" s="138"/>
      <c r="F652" s="176"/>
    </row>
    <row r="653" spans="1:6" s="109" customFormat="1">
      <c r="A653" s="192"/>
      <c r="B653" s="104"/>
      <c r="C653" s="175"/>
      <c r="D653" s="136"/>
      <c r="E653" s="138"/>
      <c r="F653" s="176"/>
    </row>
    <row r="674" spans="1:6" s="141" customFormat="1">
      <c r="A674" s="192"/>
      <c r="B674" s="104"/>
      <c r="C674" s="175"/>
      <c r="D674" s="136"/>
      <c r="E674" s="138"/>
      <c r="F674" s="176"/>
    </row>
    <row r="676" spans="1:6" s="141" customFormat="1">
      <c r="A676" s="192"/>
      <c r="B676" s="104"/>
      <c r="C676" s="175"/>
      <c r="D676" s="136"/>
      <c r="E676" s="138"/>
      <c r="F676" s="176"/>
    </row>
    <row r="677" spans="1:6" s="141" customFormat="1">
      <c r="A677" s="192"/>
      <c r="B677" s="104"/>
      <c r="C677" s="175"/>
      <c r="D677" s="136"/>
      <c r="E677" s="138"/>
      <c r="F677" s="176"/>
    </row>
    <row r="678" spans="1:6" s="141" customFormat="1">
      <c r="A678" s="192"/>
      <c r="B678" s="104"/>
      <c r="C678" s="175"/>
      <c r="D678" s="136"/>
      <c r="E678" s="138"/>
      <c r="F678" s="176"/>
    </row>
    <row r="679" spans="1:6" s="141" customFormat="1">
      <c r="A679" s="192"/>
      <c r="B679" s="104"/>
      <c r="C679" s="175"/>
      <c r="D679" s="136"/>
      <c r="E679" s="138"/>
      <c r="F679" s="176"/>
    </row>
    <row r="702" spans="1:6" s="109" customFormat="1">
      <c r="A702" s="192"/>
      <c r="B702" s="104"/>
      <c r="C702" s="175"/>
      <c r="D702" s="136"/>
      <c r="E702" s="138"/>
      <c r="F702" s="176"/>
    </row>
    <row r="703" spans="1:6" s="109" customFormat="1">
      <c r="A703" s="192"/>
      <c r="B703" s="104"/>
      <c r="C703" s="175"/>
      <c r="D703" s="136"/>
      <c r="E703" s="138"/>
      <c r="F703" s="176"/>
    </row>
    <row r="737" spans="1:6" s="109" customFormat="1">
      <c r="A737" s="192"/>
      <c r="B737" s="104"/>
      <c r="C737" s="175"/>
      <c r="D737" s="136"/>
      <c r="E737" s="138"/>
      <c r="F737" s="176"/>
    </row>
    <row r="738" spans="1:6" s="109" customFormat="1">
      <c r="A738" s="192"/>
      <c r="B738" s="104"/>
      <c r="C738" s="175"/>
      <c r="D738" s="136"/>
      <c r="E738" s="138"/>
      <c r="F738" s="176"/>
    </row>
    <row r="739" spans="1:6" s="109" customFormat="1">
      <c r="A739" s="192"/>
      <c r="B739" s="104"/>
      <c r="C739" s="175"/>
      <c r="D739" s="136"/>
      <c r="E739" s="138"/>
      <c r="F739" s="176"/>
    </row>
    <row r="740" spans="1:6" s="109" customFormat="1">
      <c r="A740" s="192"/>
      <c r="B740" s="104"/>
      <c r="C740" s="175"/>
      <c r="D740" s="136"/>
      <c r="E740" s="138"/>
      <c r="F740" s="176"/>
    </row>
    <row r="741" spans="1:6" s="109" customFormat="1">
      <c r="A741" s="192"/>
      <c r="B741" s="104"/>
      <c r="C741" s="175"/>
      <c r="D741" s="136"/>
      <c r="E741" s="138"/>
      <c r="F741" s="176"/>
    </row>
    <row r="742" spans="1:6" s="109" customFormat="1">
      <c r="A742" s="192"/>
      <c r="B742" s="104"/>
      <c r="C742" s="175"/>
      <c r="D742" s="136"/>
      <c r="E742" s="138"/>
      <c r="F742" s="176"/>
    </row>
    <row r="743" spans="1:6" s="109" customFormat="1">
      <c r="A743" s="192"/>
      <c r="B743" s="104"/>
      <c r="C743" s="175"/>
      <c r="D743" s="136"/>
      <c r="E743" s="138"/>
      <c r="F743" s="176"/>
    </row>
    <row r="744" spans="1:6" s="141" customFormat="1">
      <c r="A744" s="192"/>
      <c r="B744" s="104"/>
      <c r="C744" s="175"/>
      <c r="D744" s="136"/>
      <c r="E744" s="138"/>
      <c r="F744" s="176"/>
    </row>
    <row r="745" spans="1:6" s="141" customFormat="1">
      <c r="A745" s="192"/>
      <c r="B745" s="104"/>
      <c r="C745" s="175"/>
      <c r="D745" s="136"/>
      <c r="E745" s="138"/>
      <c r="F745" s="176"/>
    </row>
    <row r="748" spans="1:6" s="141" customFormat="1">
      <c r="A748" s="192"/>
      <c r="B748" s="104"/>
      <c r="C748" s="175"/>
      <c r="D748" s="136"/>
      <c r="E748" s="138"/>
      <c r="F748" s="176"/>
    </row>
    <row r="749" spans="1:6" s="141" customFormat="1">
      <c r="A749" s="192"/>
      <c r="B749" s="104"/>
      <c r="C749" s="175"/>
      <c r="D749" s="136"/>
      <c r="E749" s="138"/>
      <c r="F749" s="176"/>
    </row>
    <row r="752" spans="1:6" s="141" customFormat="1">
      <c r="A752" s="192"/>
      <c r="B752" s="104"/>
      <c r="C752" s="175"/>
      <c r="D752" s="136"/>
      <c r="E752" s="138"/>
      <c r="F752" s="176"/>
    </row>
    <row r="753" spans="1:6" s="141" customFormat="1">
      <c r="A753" s="192"/>
      <c r="B753" s="104"/>
      <c r="C753" s="175"/>
      <c r="D753" s="136"/>
      <c r="E753" s="138"/>
      <c r="F753" s="176"/>
    </row>
    <row r="755" spans="1:6" s="109" customFormat="1">
      <c r="A755" s="192"/>
      <c r="B755" s="104"/>
      <c r="C755" s="175"/>
      <c r="D755" s="136"/>
      <c r="E755" s="138"/>
      <c r="F755" s="176"/>
    </row>
    <row r="757" spans="1:6" s="109" customFormat="1">
      <c r="A757" s="192"/>
      <c r="B757" s="104"/>
      <c r="C757" s="175"/>
      <c r="D757" s="136"/>
      <c r="E757" s="138"/>
      <c r="F757" s="176"/>
    </row>
    <row r="758" spans="1:6" s="109" customFormat="1">
      <c r="A758" s="192"/>
      <c r="B758" s="104"/>
      <c r="C758" s="175"/>
      <c r="D758" s="136"/>
      <c r="E758" s="138"/>
      <c r="F758" s="176"/>
    </row>
    <row r="761" spans="1:6" s="141" customFormat="1">
      <c r="A761" s="192"/>
      <c r="B761" s="104"/>
      <c r="C761" s="175"/>
      <c r="D761" s="136"/>
      <c r="E761" s="138"/>
      <c r="F761" s="176"/>
    </row>
    <row r="764" spans="1:6" s="141" customFormat="1">
      <c r="A764" s="192"/>
      <c r="B764" s="104"/>
      <c r="C764" s="175"/>
      <c r="D764" s="136"/>
      <c r="E764" s="138"/>
      <c r="F764" s="176"/>
    </row>
    <row r="765" spans="1:6" s="141" customFormat="1">
      <c r="A765" s="192"/>
      <c r="B765" s="104"/>
      <c r="C765" s="175"/>
      <c r="D765" s="136"/>
      <c r="E765" s="138"/>
      <c r="F765" s="176"/>
    </row>
    <row r="766" spans="1:6" s="141" customFormat="1">
      <c r="A766" s="192"/>
      <c r="B766" s="104"/>
      <c r="C766" s="175"/>
      <c r="D766" s="136"/>
      <c r="E766" s="138"/>
      <c r="F766" s="176"/>
    </row>
    <row r="767" spans="1:6" s="141" customFormat="1">
      <c r="A767" s="192"/>
      <c r="B767" s="104"/>
      <c r="C767" s="175"/>
      <c r="D767" s="136"/>
      <c r="E767" s="138"/>
      <c r="F767" s="176"/>
    </row>
    <row r="768" spans="1:6" s="141" customFormat="1">
      <c r="A768" s="192"/>
      <c r="B768" s="104"/>
      <c r="C768" s="175"/>
      <c r="D768" s="136"/>
      <c r="E768" s="138"/>
      <c r="F768" s="176"/>
    </row>
    <row r="769" spans="1:6" s="141" customFormat="1">
      <c r="A769" s="192"/>
      <c r="B769" s="104"/>
      <c r="C769" s="175"/>
      <c r="D769" s="136"/>
      <c r="E769" s="138"/>
      <c r="F769" s="176"/>
    </row>
    <row r="770" spans="1:6" s="141" customFormat="1">
      <c r="A770" s="192"/>
      <c r="B770" s="104"/>
      <c r="C770" s="175"/>
      <c r="D770" s="136"/>
      <c r="E770" s="138"/>
      <c r="F770" s="176"/>
    </row>
    <row r="771" spans="1:6" s="141" customFormat="1">
      <c r="A771" s="192"/>
      <c r="B771" s="104"/>
      <c r="C771" s="175"/>
      <c r="D771" s="136"/>
      <c r="E771" s="138"/>
      <c r="F771" s="176"/>
    </row>
    <row r="772" spans="1:6" s="141" customFormat="1">
      <c r="A772" s="192"/>
      <c r="B772" s="104"/>
      <c r="C772" s="175"/>
      <c r="D772" s="136"/>
      <c r="E772" s="138"/>
      <c r="F772" s="176"/>
    </row>
    <row r="773" spans="1:6" s="141" customFormat="1">
      <c r="A773" s="192"/>
      <c r="B773" s="104"/>
      <c r="C773" s="175"/>
      <c r="D773" s="136"/>
      <c r="E773" s="138"/>
      <c r="F773" s="176"/>
    </row>
    <row r="774" spans="1:6" s="141" customFormat="1">
      <c r="A774" s="192"/>
      <c r="B774" s="104"/>
      <c r="C774" s="175"/>
      <c r="D774" s="136"/>
      <c r="E774" s="138"/>
      <c r="F774" s="176"/>
    </row>
    <row r="775" spans="1:6" s="141" customFormat="1">
      <c r="A775" s="192"/>
      <c r="B775" s="104"/>
      <c r="C775" s="175"/>
      <c r="D775" s="136"/>
      <c r="E775" s="138"/>
      <c r="F775" s="176"/>
    </row>
    <row r="776" spans="1:6" s="141" customFormat="1">
      <c r="A776" s="192"/>
      <c r="B776" s="104"/>
      <c r="C776" s="175"/>
      <c r="D776" s="136"/>
      <c r="E776" s="138"/>
      <c r="F776" s="176"/>
    </row>
    <row r="777" spans="1:6" s="141" customFormat="1">
      <c r="A777" s="192"/>
      <c r="B777" s="104"/>
      <c r="C777" s="175"/>
      <c r="D777" s="136"/>
      <c r="E777" s="138"/>
      <c r="F777" s="176"/>
    </row>
    <row r="778" spans="1:6" s="141" customFormat="1">
      <c r="A778" s="192"/>
      <c r="B778" s="104"/>
      <c r="C778" s="175"/>
      <c r="D778" s="136"/>
      <c r="E778" s="138"/>
      <c r="F778" s="176"/>
    </row>
    <row r="779" spans="1:6" s="141" customFormat="1">
      <c r="A779" s="192"/>
      <c r="B779" s="104"/>
      <c r="C779" s="175"/>
      <c r="D779" s="136"/>
      <c r="E779" s="138"/>
      <c r="F779" s="176"/>
    </row>
    <row r="780" spans="1:6" s="141" customFormat="1">
      <c r="A780" s="192"/>
      <c r="B780" s="104"/>
      <c r="C780" s="175"/>
      <c r="D780" s="136"/>
      <c r="E780" s="138"/>
      <c r="F780" s="176"/>
    </row>
    <row r="781" spans="1:6" s="141" customFormat="1">
      <c r="A781" s="192"/>
      <c r="B781" s="104"/>
      <c r="C781" s="175"/>
      <c r="D781" s="136"/>
      <c r="E781" s="138"/>
      <c r="F781" s="176"/>
    </row>
    <row r="782" spans="1:6" s="141" customFormat="1">
      <c r="A782" s="192"/>
      <c r="B782" s="104"/>
      <c r="C782" s="175"/>
      <c r="D782" s="136"/>
      <c r="E782" s="138"/>
      <c r="F782" s="176"/>
    </row>
    <row r="783" spans="1:6" s="141" customFormat="1">
      <c r="A783" s="192"/>
      <c r="B783" s="104"/>
      <c r="C783" s="175"/>
      <c r="D783" s="136"/>
      <c r="E783" s="138"/>
      <c r="F783" s="176"/>
    </row>
    <row r="784" spans="1:6" s="141" customFormat="1">
      <c r="A784" s="192"/>
      <c r="B784" s="104"/>
      <c r="C784" s="175"/>
      <c r="D784" s="136"/>
      <c r="E784" s="138"/>
      <c r="F784" s="176"/>
    </row>
    <row r="785" spans="1:6" s="141" customFormat="1">
      <c r="A785" s="192"/>
      <c r="B785" s="104"/>
      <c r="C785" s="175"/>
      <c r="D785" s="136"/>
      <c r="E785" s="138"/>
      <c r="F785" s="176"/>
    </row>
    <row r="786" spans="1:6" s="141" customFormat="1">
      <c r="A786" s="192"/>
      <c r="B786" s="104"/>
      <c r="C786" s="175"/>
      <c r="D786" s="136"/>
      <c r="E786" s="138"/>
      <c r="F786" s="176"/>
    </row>
    <row r="787" spans="1:6" s="141" customFormat="1">
      <c r="A787" s="192"/>
      <c r="B787" s="104"/>
      <c r="C787" s="175"/>
      <c r="D787" s="136"/>
      <c r="E787" s="138"/>
      <c r="F787" s="176"/>
    </row>
    <row r="788" spans="1:6" s="141" customFormat="1">
      <c r="A788" s="192"/>
      <c r="B788" s="104"/>
      <c r="C788" s="175"/>
      <c r="D788" s="136"/>
      <c r="E788" s="138"/>
      <c r="F788" s="176"/>
    </row>
    <row r="789" spans="1:6" s="141" customFormat="1">
      <c r="A789" s="192"/>
      <c r="B789" s="104"/>
      <c r="C789" s="175"/>
      <c r="D789" s="136"/>
      <c r="E789" s="138"/>
      <c r="F789" s="176"/>
    </row>
    <row r="790" spans="1:6" s="141" customFormat="1">
      <c r="A790" s="192"/>
      <c r="B790" s="104"/>
      <c r="C790" s="175"/>
      <c r="D790" s="136"/>
      <c r="E790" s="138"/>
      <c r="F790" s="176"/>
    </row>
    <row r="791" spans="1:6" s="141" customFormat="1">
      <c r="A791" s="192"/>
      <c r="B791" s="104"/>
      <c r="C791" s="175"/>
      <c r="D791" s="136"/>
      <c r="E791" s="138"/>
      <c r="F791" s="176"/>
    </row>
    <row r="792" spans="1:6" s="141" customFormat="1">
      <c r="A792" s="192"/>
      <c r="B792" s="104"/>
      <c r="C792" s="175"/>
      <c r="D792" s="136"/>
      <c r="E792" s="138"/>
      <c r="F792" s="176"/>
    </row>
    <row r="793" spans="1:6" s="141" customFormat="1">
      <c r="A793" s="192"/>
      <c r="B793" s="104"/>
      <c r="C793" s="175"/>
      <c r="D793" s="136"/>
      <c r="E793" s="138"/>
      <c r="F793" s="176"/>
    </row>
    <row r="794" spans="1:6" s="141" customFormat="1">
      <c r="A794" s="192"/>
      <c r="B794" s="104"/>
      <c r="C794" s="175"/>
      <c r="D794" s="136"/>
      <c r="E794" s="138"/>
      <c r="F794" s="176"/>
    </row>
    <row r="795" spans="1:6" s="141" customFormat="1">
      <c r="A795" s="192"/>
      <c r="B795" s="104"/>
      <c r="C795" s="175"/>
      <c r="D795" s="136"/>
      <c r="E795" s="138"/>
      <c r="F795" s="176"/>
    </row>
    <row r="796" spans="1:6" s="141" customFormat="1">
      <c r="A796" s="192"/>
      <c r="B796" s="104"/>
      <c r="C796" s="175"/>
      <c r="D796" s="136"/>
      <c r="E796" s="138"/>
      <c r="F796" s="176"/>
    </row>
    <row r="797" spans="1:6" s="141" customFormat="1">
      <c r="A797" s="192"/>
      <c r="B797" s="104"/>
      <c r="C797" s="175"/>
      <c r="D797" s="136"/>
      <c r="E797" s="138"/>
      <c r="F797" s="176"/>
    </row>
    <row r="798" spans="1:6" s="141" customFormat="1">
      <c r="A798" s="192"/>
      <c r="B798" s="104"/>
      <c r="C798" s="175"/>
      <c r="D798" s="136"/>
      <c r="E798" s="138"/>
      <c r="F798" s="176"/>
    </row>
    <row r="799" spans="1:6" s="141" customFormat="1">
      <c r="A799" s="192"/>
      <c r="B799" s="104"/>
      <c r="C799" s="175"/>
      <c r="D799" s="136"/>
      <c r="E799" s="138"/>
      <c r="F799" s="176"/>
    </row>
    <row r="800" spans="1:6" s="141" customFormat="1">
      <c r="A800" s="192"/>
      <c r="B800" s="104"/>
      <c r="C800" s="175"/>
      <c r="D800" s="136"/>
      <c r="E800" s="138"/>
      <c r="F800" s="176"/>
    </row>
    <row r="801" spans="1:6" s="141" customFormat="1">
      <c r="A801" s="192"/>
      <c r="B801" s="104"/>
      <c r="C801" s="175"/>
      <c r="D801" s="136"/>
      <c r="E801" s="138"/>
      <c r="F801" s="176"/>
    </row>
    <row r="802" spans="1:6" s="141" customFormat="1">
      <c r="A802" s="192"/>
      <c r="B802" s="104"/>
      <c r="C802" s="175"/>
      <c r="D802" s="136"/>
      <c r="E802" s="138"/>
      <c r="F802" s="176"/>
    </row>
    <row r="803" spans="1:6" s="141" customFormat="1">
      <c r="A803" s="192"/>
      <c r="B803" s="104"/>
      <c r="C803" s="175"/>
      <c r="D803" s="136"/>
      <c r="E803" s="138"/>
      <c r="F803" s="176"/>
    </row>
    <row r="804" spans="1:6" s="141" customFormat="1">
      <c r="A804" s="192"/>
      <c r="B804" s="104"/>
      <c r="C804" s="175"/>
      <c r="D804" s="136"/>
      <c r="E804" s="138"/>
      <c r="F804" s="176"/>
    </row>
    <row r="805" spans="1:6" s="141" customFormat="1">
      <c r="A805" s="192"/>
      <c r="B805" s="104"/>
      <c r="C805" s="175"/>
      <c r="D805" s="136"/>
      <c r="E805" s="138"/>
      <c r="F805" s="176"/>
    </row>
    <row r="806" spans="1:6" s="141" customFormat="1">
      <c r="A806" s="192"/>
      <c r="B806" s="104"/>
      <c r="C806" s="175"/>
      <c r="D806" s="136"/>
      <c r="E806" s="138"/>
      <c r="F806" s="176"/>
    </row>
    <row r="807" spans="1:6" s="141" customFormat="1">
      <c r="A807" s="192"/>
      <c r="B807" s="104"/>
      <c r="C807" s="175"/>
      <c r="D807" s="136"/>
      <c r="E807" s="138"/>
      <c r="F807" s="176"/>
    </row>
    <row r="808" spans="1:6" s="141" customFormat="1">
      <c r="A808" s="192"/>
      <c r="B808" s="104"/>
      <c r="C808" s="175"/>
      <c r="D808" s="136"/>
      <c r="E808" s="138"/>
      <c r="F808" s="176"/>
    </row>
    <row r="809" spans="1:6" s="141" customFormat="1">
      <c r="A809" s="192"/>
      <c r="B809" s="104"/>
      <c r="C809" s="175"/>
      <c r="D809" s="136"/>
      <c r="E809" s="138"/>
      <c r="F809" s="176"/>
    </row>
    <row r="810" spans="1:6" s="141" customFormat="1">
      <c r="A810" s="192"/>
      <c r="B810" s="104"/>
      <c r="C810" s="175"/>
      <c r="D810" s="136"/>
      <c r="E810" s="138"/>
      <c r="F810" s="176"/>
    </row>
    <row r="811" spans="1:6" s="141" customFormat="1">
      <c r="A811" s="192"/>
      <c r="B811" s="104"/>
      <c r="C811" s="175"/>
      <c r="D811" s="136"/>
      <c r="E811" s="138"/>
      <c r="F811" s="176"/>
    </row>
    <row r="812" spans="1:6" s="141" customFormat="1">
      <c r="A812" s="192"/>
      <c r="B812" s="104"/>
      <c r="C812" s="175"/>
      <c r="D812" s="136"/>
      <c r="E812" s="138"/>
      <c r="F812" s="176"/>
    </row>
    <row r="813" spans="1:6" s="141" customFormat="1">
      <c r="A813" s="192"/>
      <c r="B813" s="104"/>
      <c r="C813" s="175"/>
      <c r="D813" s="136"/>
      <c r="E813" s="138"/>
      <c r="F813" s="176"/>
    </row>
    <row r="814" spans="1:6" s="141" customFormat="1">
      <c r="A814" s="192"/>
      <c r="B814" s="104"/>
      <c r="C814" s="175"/>
      <c r="D814" s="136"/>
      <c r="E814" s="138"/>
      <c r="F814" s="176"/>
    </row>
    <row r="815" spans="1:6" s="141" customFormat="1">
      <c r="A815" s="192"/>
      <c r="B815" s="104"/>
      <c r="C815" s="175"/>
      <c r="D815" s="136"/>
      <c r="E815" s="138"/>
      <c r="F815" s="176"/>
    </row>
    <row r="816" spans="1:6" s="141" customFormat="1">
      <c r="A816" s="192"/>
      <c r="B816" s="104"/>
      <c r="C816" s="175"/>
      <c r="D816" s="136"/>
      <c r="E816" s="138"/>
      <c r="F816" s="176"/>
    </row>
    <row r="817" spans="1:6" s="141" customFormat="1">
      <c r="A817" s="192"/>
      <c r="B817" s="104"/>
      <c r="C817" s="175"/>
      <c r="D817" s="136"/>
      <c r="E817" s="138"/>
      <c r="F817" s="176"/>
    </row>
    <row r="818" spans="1:6" s="141" customFormat="1">
      <c r="A818" s="192"/>
      <c r="B818" s="104"/>
      <c r="C818" s="175"/>
      <c r="D818" s="136"/>
      <c r="E818" s="138"/>
      <c r="F818" s="176"/>
    </row>
    <row r="819" spans="1:6" s="141" customFormat="1">
      <c r="A819" s="192"/>
      <c r="B819" s="104"/>
      <c r="C819" s="175"/>
      <c r="D819" s="136"/>
      <c r="E819" s="138"/>
      <c r="F819" s="176"/>
    </row>
    <row r="820" spans="1:6" s="141" customFormat="1">
      <c r="A820" s="192"/>
      <c r="B820" s="104"/>
      <c r="C820" s="175"/>
      <c r="D820" s="136"/>
      <c r="E820" s="138"/>
      <c r="F820" s="176"/>
    </row>
    <row r="821" spans="1:6" s="141" customFormat="1">
      <c r="A821" s="192"/>
      <c r="B821" s="104"/>
      <c r="C821" s="175"/>
      <c r="D821" s="136"/>
      <c r="E821" s="138"/>
      <c r="F821" s="176"/>
    </row>
    <row r="822" spans="1:6" s="141" customFormat="1">
      <c r="A822" s="192"/>
      <c r="B822" s="104"/>
      <c r="C822" s="175"/>
      <c r="D822" s="136"/>
      <c r="E822" s="138"/>
      <c r="F822" s="176"/>
    </row>
    <row r="823" spans="1:6" s="141" customFormat="1">
      <c r="A823" s="192"/>
      <c r="B823" s="104"/>
      <c r="C823" s="175"/>
      <c r="D823" s="136"/>
      <c r="E823" s="138"/>
      <c r="F823" s="176"/>
    </row>
    <row r="824" spans="1:6" s="141" customFormat="1">
      <c r="A824" s="192"/>
      <c r="B824" s="104"/>
      <c r="C824" s="175"/>
      <c r="D824" s="136"/>
      <c r="E824" s="138"/>
      <c r="F824" s="176"/>
    </row>
    <row r="825" spans="1:6" s="141" customFormat="1">
      <c r="A825" s="192"/>
      <c r="B825" s="104"/>
      <c r="C825" s="175"/>
      <c r="D825" s="136"/>
      <c r="E825" s="138"/>
      <c r="F825" s="176"/>
    </row>
    <row r="826" spans="1:6" s="141" customFormat="1">
      <c r="A826" s="192"/>
      <c r="B826" s="104"/>
      <c r="C826" s="175"/>
      <c r="D826" s="136"/>
      <c r="E826" s="138"/>
      <c r="F826" s="176"/>
    </row>
    <row r="827" spans="1:6" s="141" customFormat="1">
      <c r="A827" s="192"/>
      <c r="B827" s="104"/>
      <c r="C827" s="175"/>
      <c r="D827" s="136"/>
      <c r="E827" s="138"/>
      <c r="F827" s="176"/>
    </row>
    <row r="828" spans="1:6" s="141" customFormat="1">
      <c r="A828" s="192"/>
      <c r="B828" s="104"/>
      <c r="C828" s="175"/>
      <c r="D828" s="136"/>
      <c r="E828" s="138"/>
      <c r="F828" s="176"/>
    </row>
    <row r="829" spans="1:6" s="141" customFormat="1">
      <c r="A829" s="192"/>
      <c r="B829" s="104"/>
      <c r="C829" s="175"/>
      <c r="D829" s="136"/>
      <c r="E829" s="138"/>
      <c r="F829" s="176"/>
    </row>
    <row r="830" spans="1:6" s="141" customFormat="1">
      <c r="A830" s="192"/>
      <c r="B830" s="104"/>
      <c r="C830" s="175"/>
      <c r="D830" s="136"/>
      <c r="E830" s="138"/>
      <c r="F830" s="176"/>
    </row>
    <row r="831" spans="1:6" s="141" customFormat="1">
      <c r="A831" s="192"/>
      <c r="B831" s="104"/>
      <c r="C831" s="175"/>
      <c r="D831" s="136"/>
      <c r="E831" s="138"/>
      <c r="F831" s="176"/>
    </row>
    <row r="832" spans="1:6" s="141" customFormat="1">
      <c r="A832" s="192"/>
      <c r="B832" s="104"/>
      <c r="C832" s="175"/>
      <c r="D832" s="136"/>
      <c r="E832" s="138"/>
      <c r="F832" s="176"/>
    </row>
    <row r="833" spans="1:6" s="141" customFormat="1">
      <c r="A833" s="192"/>
      <c r="B833" s="104"/>
      <c r="C833" s="175"/>
      <c r="D833" s="136"/>
      <c r="E833" s="138"/>
      <c r="F833" s="176"/>
    </row>
    <row r="834" spans="1:6" s="141" customFormat="1">
      <c r="A834" s="192"/>
      <c r="B834" s="104"/>
      <c r="C834" s="175"/>
      <c r="D834" s="136"/>
      <c r="E834" s="138"/>
      <c r="F834" s="176"/>
    </row>
    <row r="835" spans="1:6" s="141" customFormat="1">
      <c r="A835" s="192"/>
      <c r="B835" s="104"/>
      <c r="C835" s="175"/>
      <c r="D835" s="136"/>
      <c r="E835" s="138"/>
      <c r="F835" s="176"/>
    </row>
    <row r="836" spans="1:6" s="141" customFormat="1">
      <c r="A836" s="192"/>
      <c r="B836" s="104"/>
      <c r="C836" s="175"/>
      <c r="D836" s="136"/>
      <c r="E836" s="138"/>
      <c r="F836" s="176"/>
    </row>
    <row r="837" spans="1:6" s="141" customFormat="1">
      <c r="A837" s="192"/>
      <c r="B837" s="104"/>
      <c r="C837" s="175"/>
      <c r="D837" s="136"/>
      <c r="E837" s="138"/>
      <c r="F837" s="176"/>
    </row>
    <row r="838" spans="1:6" s="141" customFormat="1">
      <c r="A838" s="192"/>
      <c r="B838" s="104"/>
      <c r="C838" s="175"/>
      <c r="D838" s="136"/>
      <c r="E838" s="138"/>
      <c r="F838" s="176"/>
    </row>
    <row r="839" spans="1:6" s="141" customFormat="1">
      <c r="A839" s="192"/>
      <c r="B839" s="104"/>
      <c r="C839" s="175"/>
      <c r="D839" s="136"/>
      <c r="E839" s="138"/>
      <c r="F839" s="176"/>
    </row>
    <row r="840" spans="1:6" s="141" customFormat="1">
      <c r="A840" s="192"/>
      <c r="B840" s="104"/>
      <c r="C840" s="175"/>
      <c r="D840" s="136"/>
      <c r="E840" s="138"/>
      <c r="F840" s="176"/>
    </row>
    <row r="841" spans="1:6" s="141" customFormat="1">
      <c r="A841" s="192"/>
      <c r="B841" s="104"/>
      <c r="C841" s="175"/>
      <c r="D841" s="136"/>
      <c r="E841" s="138"/>
      <c r="F841" s="176"/>
    </row>
    <row r="842" spans="1:6" s="141" customFormat="1">
      <c r="A842" s="192"/>
      <c r="B842" s="104"/>
      <c r="C842" s="175"/>
      <c r="D842" s="136"/>
      <c r="E842" s="138"/>
      <c r="F842" s="176"/>
    </row>
    <row r="843" spans="1:6" s="141" customFormat="1">
      <c r="A843" s="192"/>
      <c r="B843" s="104"/>
      <c r="C843" s="175"/>
      <c r="D843" s="136"/>
      <c r="E843" s="138"/>
      <c r="F843" s="176"/>
    </row>
    <row r="844" spans="1:6" s="141" customFormat="1">
      <c r="A844" s="192"/>
      <c r="B844" s="104"/>
      <c r="C844" s="175"/>
      <c r="D844" s="136"/>
      <c r="E844" s="138"/>
      <c r="F844" s="176"/>
    </row>
    <row r="845" spans="1:6" s="141" customFormat="1">
      <c r="A845" s="192"/>
      <c r="B845" s="104"/>
      <c r="C845" s="175"/>
      <c r="D845" s="136"/>
      <c r="E845" s="138"/>
      <c r="F845" s="176"/>
    </row>
    <row r="846" spans="1:6" s="141" customFormat="1">
      <c r="A846" s="192"/>
      <c r="B846" s="104"/>
      <c r="C846" s="175"/>
      <c r="D846" s="136"/>
      <c r="E846" s="138"/>
      <c r="F846" s="176"/>
    </row>
    <row r="847" spans="1:6" s="141" customFormat="1">
      <c r="A847" s="192"/>
      <c r="B847" s="104"/>
      <c r="C847" s="175"/>
      <c r="D847" s="136"/>
      <c r="E847" s="138"/>
      <c r="F847" s="176"/>
    </row>
    <row r="848" spans="1:6" s="141" customFormat="1">
      <c r="A848" s="192"/>
      <c r="B848" s="104"/>
      <c r="C848" s="175"/>
      <c r="D848" s="136"/>
      <c r="E848" s="138"/>
      <c r="F848" s="176"/>
    </row>
    <row r="849" spans="1:6" s="141" customFormat="1">
      <c r="A849" s="192"/>
      <c r="B849" s="104"/>
      <c r="C849" s="175"/>
      <c r="D849" s="136"/>
      <c r="E849" s="138"/>
      <c r="F849" s="176"/>
    </row>
    <row r="850" spans="1:6" s="141" customFormat="1">
      <c r="A850" s="192"/>
      <c r="B850" s="104"/>
      <c r="C850" s="175"/>
      <c r="D850" s="136"/>
      <c r="E850" s="138"/>
      <c r="F850" s="176"/>
    </row>
    <row r="851" spans="1:6" s="141" customFormat="1">
      <c r="A851" s="192"/>
      <c r="B851" s="104"/>
      <c r="C851" s="175"/>
      <c r="D851" s="136"/>
      <c r="E851" s="138"/>
      <c r="F851" s="176"/>
    </row>
    <row r="852" spans="1:6" s="141" customFormat="1">
      <c r="A852" s="192"/>
      <c r="B852" s="104"/>
      <c r="C852" s="175"/>
      <c r="D852" s="136"/>
      <c r="E852" s="138"/>
      <c r="F852" s="176"/>
    </row>
    <row r="853" spans="1:6" s="141" customFormat="1">
      <c r="A853" s="192"/>
      <c r="B853" s="104"/>
      <c r="C853" s="175"/>
      <c r="D853" s="136"/>
      <c r="E853" s="138"/>
      <c r="F853" s="176"/>
    </row>
    <row r="854" spans="1:6" s="141" customFormat="1">
      <c r="A854" s="192"/>
      <c r="B854" s="104"/>
      <c r="C854" s="175"/>
      <c r="D854" s="136"/>
      <c r="E854" s="138"/>
      <c r="F854" s="176"/>
    </row>
    <row r="855" spans="1:6" s="141" customFormat="1">
      <c r="A855" s="192"/>
      <c r="B855" s="104"/>
      <c r="C855" s="175"/>
      <c r="D855" s="136"/>
      <c r="E855" s="138"/>
      <c r="F855" s="176"/>
    </row>
    <row r="856" spans="1:6" s="141" customFormat="1">
      <c r="A856" s="192"/>
      <c r="B856" s="104"/>
      <c r="C856" s="175"/>
      <c r="D856" s="136"/>
      <c r="E856" s="138"/>
      <c r="F856" s="176"/>
    </row>
    <row r="857" spans="1:6" s="141" customFormat="1">
      <c r="A857" s="192"/>
      <c r="B857" s="104"/>
      <c r="C857" s="175"/>
      <c r="D857" s="136"/>
      <c r="E857" s="138"/>
      <c r="F857" s="176"/>
    </row>
    <row r="858" spans="1:6" s="141" customFormat="1">
      <c r="A858" s="192"/>
      <c r="B858" s="104"/>
      <c r="C858" s="175"/>
      <c r="D858" s="136"/>
      <c r="E858" s="138"/>
      <c r="F858" s="176"/>
    </row>
    <row r="860" spans="1:6" s="141" customFormat="1">
      <c r="A860" s="192"/>
      <c r="B860" s="104"/>
      <c r="C860" s="175"/>
      <c r="D860" s="136"/>
      <c r="E860" s="138"/>
      <c r="F860" s="176"/>
    </row>
    <row r="861" spans="1:6" s="141" customFormat="1">
      <c r="A861" s="192"/>
      <c r="B861" s="104"/>
      <c r="C861" s="175"/>
      <c r="D861" s="136"/>
      <c r="E861" s="138"/>
      <c r="F861" s="176"/>
    </row>
    <row r="863" spans="1:6" s="141" customFormat="1">
      <c r="A863" s="192"/>
      <c r="B863" s="104"/>
      <c r="C863" s="175"/>
      <c r="D863" s="136"/>
      <c r="E863" s="138"/>
      <c r="F863" s="176"/>
    </row>
    <row r="864" spans="1:6" s="141" customFormat="1">
      <c r="A864" s="192"/>
      <c r="B864" s="104"/>
      <c r="C864" s="175"/>
      <c r="D864" s="136"/>
      <c r="E864" s="138"/>
      <c r="F864" s="176"/>
    </row>
    <row r="867" spans="1:6" s="141" customFormat="1">
      <c r="A867" s="192"/>
      <c r="B867" s="104"/>
      <c r="C867" s="175"/>
      <c r="D867" s="136"/>
      <c r="E867" s="138"/>
      <c r="F867" s="176"/>
    </row>
    <row r="873" spans="1:6" s="141" customFormat="1">
      <c r="A873" s="192"/>
      <c r="B873" s="104"/>
      <c r="C873" s="175"/>
      <c r="D873" s="136"/>
      <c r="E873" s="138"/>
      <c r="F873" s="176"/>
    </row>
    <row r="876" spans="1:6" s="109" customFormat="1">
      <c r="A876" s="192"/>
      <c r="B876" s="104"/>
      <c r="C876" s="175"/>
      <c r="D876" s="136"/>
      <c r="E876" s="138"/>
      <c r="F876" s="176"/>
    </row>
    <row r="877" spans="1:6" s="109" customFormat="1">
      <c r="A877" s="192"/>
      <c r="B877" s="104"/>
      <c r="C877" s="175"/>
      <c r="D877" s="136"/>
      <c r="E877" s="138"/>
      <c r="F877" s="176"/>
    </row>
    <row r="880" spans="1:6" s="141" customFormat="1">
      <c r="A880" s="192"/>
      <c r="B880" s="104"/>
      <c r="C880" s="175"/>
      <c r="D880" s="136"/>
      <c r="E880" s="138"/>
      <c r="F880" s="176"/>
    </row>
    <row r="881" spans="1:6" s="141" customFormat="1">
      <c r="A881" s="192"/>
      <c r="B881" s="104"/>
      <c r="C881" s="175"/>
      <c r="D881" s="136"/>
      <c r="E881" s="138"/>
      <c r="F881" s="176"/>
    </row>
    <row r="882" spans="1:6" s="141" customFormat="1">
      <c r="A882" s="192"/>
      <c r="B882" s="104"/>
      <c r="C882" s="175"/>
      <c r="D882" s="136"/>
      <c r="E882" s="138"/>
      <c r="F882" s="176"/>
    </row>
    <row r="883" spans="1:6" s="141" customFormat="1">
      <c r="A883" s="192"/>
      <c r="B883" s="104"/>
      <c r="C883" s="175"/>
      <c r="D883" s="136"/>
      <c r="E883" s="138"/>
      <c r="F883" s="176"/>
    </row>
    <row r="884" spans="1:6" s="141" customFormat="1">
      <c r="A884" s="192"/>
      <c r="B884" s="104"/>
      <c r="C884" s="175"/>
      <c r="D884" s="136"/>
      <c r="E884" s="138"/>
      <c r="F884" s="176"/>
    </row>
    <row r="885" spans="1:6" s="141" customFormat="1">
      <c r="A885" s="192"/>
      <c r="B885" s="104"/>
      <c r="C885" s="175"/>
      <c r="D885" s="136"/>
      <c r="E885" s="138"/>
      <c r="F885" s="176"/>
    </row>
    <row r="886" spans="1:6" s="141" customFormat="1">
      <c r="A886" s="192"/>
      <c r="B886" s="104"/>
      <c r="C886" s="175"/>
      <c r="D886" s="136"/>
      <c r="E886" s="138"/>
      <c r="F886" s="176"/>
    </row>
    <row r="887" spans="1:6" s="141" customFormat="1">
      <c r="A887" s="192"/>
      <c r="B887" s="104"/>
      <c r="C887" s="175"/>
      <c r="D887" s="136"/>
      <c r="E887" s="138"/>
      <c r="F887" s="176"/>
    </row>
    <row r="890" spans="1:6" s="109" customFormat="1">
      <c r="A890" s="192"/>
      <c r="B890" s="104"/>
      <c r="C890" s="175"/>
      <c r="D890" s="136"/>
      <c r="E890" s="138"/>
      <c r="F890" s="176"/>
    </row>
    <row r="891" spans="1:6" s="109" customFormat="1">
      <c r="A891" s="192"/>
      <c r="B891" s="104"/>
      <c r="C891" s="175"/>
      <c r="D891" s="136"/>
      <c r="E891" s="138"/>
      <c r="F891" s="176"/>
    </row>
    <row r="894" spans="1:6" s="141" customFormat="1">
      <c r="A894" s="192"/>
      <c r="B894" s="104"/>
      <c r="C894" s="175"/>
      <c r="D894" s="136"/>
      <c r="E894" s="138"/>
      <c r="F894" s="176"/>
    </row>
    <row r="895" spans="1:6" s="141" customFormat="1">
      <c r="A895" s="192"/>
      <c r="B895" s="104"/>
      <c r="C895" s="175"/>
      <c r="D895" s="136"/>
      <c r="E895" s="138"/>
      <c r="F895" s="176"/>
    </row>
    <row r="896" spans="1:6" s="141" customFormat="1">
      <c r="A896" s="192"/>
      <c r="B896" s="104"/>
      <c r="C896" s="175"/>
      <c r="D896" s="136"/>
      <c r="E896" s="138"/>
      <c r="F896" s="176"/>
    </row>
    <row r="897" spans="1:6" s="141" customFormat="1">
      <c r="A897" s="192"/>
      <c r="B897" s="104"/>
      <c r="C897" s="175"/>
      <c r="D897" s="136"/>
      <c r="E897" s="138"/>
      <c r="F897" s="176"/>
    </row>
    <row r="898" spans="1:6" s="141" customFormat="1">
      <c r="A898" s="192"/>
      <c r="B898" s="104"/>
      <c r="C898" s="175"/>
      <c r="D898" s="136"/>
      <c r="E898" s="138"/>
      <c r="F898" s="176"/>
    </row>
    <row r="899" spans="1:6" s="141" customFormat="1">
      <c r="A899" s="192"/>
      <c r="B899" s="104"/>
      <c r="C899" s="175"/>
      <c r="D899" s="136"/>
      <c r="E899" s="138"/>
      <c r="F899" s="176"/>
    </row>
    <row r="900" spans="1:6" s="141" customFormat="1">
      <c r="A900" s="192"/>
      <c r="B900" s="104"/>
      <c r="C900" s="175"/>
      <c r="D900" s="136"/>
      <c r="E900" s="138"/>
      <c r="F900" s="176"/>
    </row>
    <row r="901" spans="1:6" s="141" customFormat="1">
      <c r="A901" s="192"/>
      <c r="B901" s="104"/>
      <c r="C901" s="175"/>
      <c r="D901" s="136"/>
      <c r="E901" s="138"/>
      <c r="F901" s="176"/>
    </row>
    <row r="902" spans="1:6" s="141" customFormat="1">
      <c r="A902" s="192"/>
      <c r="B902" s="104"/>
      <c r="C902" s="175"/>
      <c r="D902" s="136"/>
      <c r="E902" s="138"/>
      <c r="F902" s="176"/>
    </row>
    <row r="903" spans="1:6" s="141" customFormat="1">
      <c r="A903" s="192"/>
      <c r="B903" s="104"/>
      <c r="C903" s="175"/>
      <c r="D903" s="136"/>
      <c r="E903" s="138"/>
      <c r="F903" s="176"/>
    </row>
    <row r="904" spans="1:6" s="141" customFormat="1">
      <c r="A904" s="192"/>
      <c r="B904" s="104"/>
      <c r="C904" s="175"/>
      <c r="D904" s="136"/>
      <c r="E904" s="138"/>
      <c r="F904" s="176"/>
    </row>
    <row r="905" spans="1:6" s="141" customFormat="1">
      <c r="A905" s="192"/>
      <c r="B905" s="104"/>
      <c r="C905" s="175"/>
      <c r="D905" s="136"/>
      <c r="E905" s="138"/>
      <c r="F905" s="176"/>
    </row>
    <row r="906" spans="1:6" s="141" customFormat="1">
      <c r="A906" s="192"/>
      <c r="B906" s="104"/>
      <c r="C906" s="175"/>
      <c r="D906" s="136"/>
      <c r="E906" s="138"/>
      <c r="F906" s="176"/>
    </row>
    <row r="907" spans="1:6" s="141" customFormat="1">
      <c r="A907" s="192"/>
      <c r="B907" s="104"/>
      <c r="C907" s="175"/>
      <c r="D907" s="136"/>
      <c r="E907" s="138"/>
      <c r="F907" s="176"/>
    </row>
    <row r="908" spans="1:6" s="141" customFormat="1">
      <c r="A908" s="192"/>
      <c r="B908" s="104"/>
      <c r="C908" s="175"/>
      <c r="D908" s="136"/>
      <c r="E908" s="138"/>
      <c r="F908" s="176"/>
    </row>
    <row r="909" spans="1:6" s="141" customFormat="1">
      <c r="A909" s="192"/>
      <c r="B909" s="104"/>
      <c r="C909" s="175"/>
      <c r="D909" s="136"/>
      <c r="E909" s="138"/>
      <c r="F909" s="176"/>
    </row>
    <row r="910" spans="1:6" s="141" customFormat="1">
      <c r="A910" s="192"/>
      <c r="B910" s="104"/>
      <c r="C910" s="175"/>
      <c r="D910" s="136"/>
      <c r="E910" s="138"/>
      <c r="F910" s="176"/>
    </row>
    <row r="911" spans="1:6" s="141" customFormat="1">
      <c r="A911" s="192"/>
      <c r="B911" s="104"/>
      <c r="C911" s="175"/>
      <c r="D911" s="136"/>
      <c r="E911" s="138"/>
      <c r="F911" s="176"/>
    </row>
    <row r="912" spans="1:6" s="141" customFormat="1">
      <c r="A912" s="192"/>
      <c r="B912" s="104"/>
      <c r="C912" s="175"/>
      <c r="D912" s="136"/>
      <c r="E912" s="138"/>
      <c r="F912" s="176"/>
    </row>
    <row r="913" spans="1:6" s="141" customFormat="1">
      <c r="A913" s="192"/>
      <c r="B913" s="104"/>
      <c r="C913" s="175"/>
      <c r="D913" s="136"/>
      <c r="E913" s="138"/>
      <c r="F913" s="176"/>
    </row>
    <row r="914" spans="1:6" s="141" customFormat="1">
      <c r="A914" s="192"/>
      <c r="B914" s="104"/>
      <c r="C914" s="175"/>
      <c r="D914" s="136"/>
      <c r="E914" s="138"/>
      <c r="F914" s="176"/>
    </row>
    <row r="915" spans="1:6" s="141" customFormat="1">
      <c r="A915" s="192"/>
      <c r="B915" s="104"/>
      <c r="C915" s="175"/>
      <c r="D915" s="136"/>
      <c r="E915" s="138"/>
      <c r="F915" s="176"/>
    </row>
    <row r="916" spans="1:6" s="141" customFormat="1">
      <c r="A916" s="192"/>
      <c r="B916" s="104"/>
      <c r="C916" s="175"/>
      <c r="D916" s="136"/>
      <c r="E916" s="138"/>
      <c r="F916" s="176"/>
    </row>
    <row r="917" spans="1:6" s="141" customFormat="1">
      <c r="A917" s="192"/>
      <c r="B917" s="104"/>
      <c r="C917" s="175"/>
      <c r="D917" s="136"/>
      <c r="E917" s="138"/>
      <c r="F917" s="176"/>
    </row>
    <row r="920" spans="1:6" s="109" customFormat="1">
      <c r="A920" s="192"/>
      <c r="B920" s="104"/>
      <c r="C920" s="175"/>
      <c r="D920" s="136"/>
      <c r="E920" s="138"/>
      <c r="F920" s="176"/>
    </row>
    <row r="921" spans="1:6" s="109" customFormat="1">
      <c r="A921" s="192"/>
      <c r="B921" s="104"/>
      <c r="C921" s="175"/>
      <c r="D921" s="136"/>
      <c r="E921" s="138"/>
      <c r="F921" s="176"/>
    </row>
    <row r="934" spans="1:6" s="141" customFormat="1">
      <c r="A934" s="192"/>
      <c r="B934" s="104"/>
      <c r="C934" s="175"/>
      <c r="D934" s="136"/>
      <c r="E934" s="138"/>
      <c r="F934" s="176"/>
    </row>
    <row r="935" spans="1:6" s="141" customFormat="1">
      <c r="A935" s="192"/>
      <c r="B935" s="104"/>
      <c r="C935" s="175"/>
      <c r="D935" s="136"/>
      <c r="E935" s="138"/>
      <c r="F935" s="176"/>
    </row>
    <row r="936" spans="1:6" s="141" customFormat="1">
      <c r="A936" s="192"/>
      <c r="B936" s="104"/>
      <c r="C936" s="175"/>
      <c r="D936" s="136"/>
      <c r="E936" s="138"/>
      <c r="F936" s="176"/>
    </row>
    <row r="937" spans="1:6" s="141" customFormat="1">
      <c r="A937" s="192"/>
      <c r="B937" s="104"/>
      <c r="C937" s="175"/>
      <c r="D937" s="136"/>
      <c r="E937" s="138"/>
      <c r="F937" s="176"/>
    </row>
    <row r="938" spans="1:6" s="141" customFormat="1">
      <c r="A938" s="192"/>
      <c r="B938" s="104"/>
      <c r="C938" s="175"/>
      <c r="D938" s="136"/>
      <c r="E938" s="138"/>
      <c r="F938" s="176"/>
    </row>
    <row r="939" spans="1:6" s="141" customFormat="1">
      <c r="A939" s="192"/>
      <c r="B939" s="104"/>
      <c r="C939" s="175"/>
      <c r="D939" s="136"/>
      <c r="E939" s="138"/>
      <c r="F939" s="176"/>
    </row>
    <row r="940" spans="1:6" s="141" customFormat="1">
      <c r="A940" s="192"/>
      <c r="B940" s="104"/>
      <c r="C940" s="175"/>
      <c r="D940" s="136"/>
      <c r="E940" s="138"/>
      <c r="F940" s="176"/>
    </row>
    <row r="941" spans="1:6" s="141" customFormat="1">
      <c r="A941" s="192"/>
      <c r="B941" s="104"/>
      <c r="C941" s="175"/>
      <c r="D941" s="136"/>
      <c r="E941" s="138"/>
      <c r="F941" s="176"/>
    </row>
    <row r="942" spans="1:6" s="141" customFormat="1">
      <c r="A942" s="192"/>
      <c r="B942" s="104"/>
      <c r="C942" s="175"/>
      <c r="D942" s="136"/>
      <c r="E942" s="138"/>
      <c r="F942" s="176"/>
    </row>
    <row r="943" spans="1:6" s="141" customFormat="1">
      <c r="A943" s="192"/>
      <c r="B943" s="104"/>
      <c r="C943" s="175"/>
      <c r="D943" s="136"/>
      <c r="E943" s="138"/>
      <c r="F943" s="176"/>
    </row>
    <row r="944" spans="1:6" s="141" customFormat="1">
      <c r="A944" s="192"/>
      <c r="B944" s="104"/>
      <c r="C944" s="175"/>
      <c r="D944" s="136"/>
      <c r="E944" s="138"/>
      <c r="F944" s="176"/>
    </row>
    <row r="945" spans="1:6" s="141" customFormat="1">
      <c r="A945" s="192"/>
      <c r="B945" s="104"/>
      <c r="C945" s="175"/>
      <c r="D945" s="136"/>
      <c r="E945" s="138"/>
      <c r="F945" s="176"/>
    </row>
    <row r="946" spans="1:6" s="141" customFormat="1">
      <c r="A946" s="192"/>
      <c r="B946" s="104"/>
      <c r="C946" s="175"/>
      <c r="D946" s="136"/>
      <c r="E946" s="138"/>
      <c r="F946" s="176"/>
    </row>
    <row r="947" spans="1:6" s="141" customFormat="1">
      <c r="A947" s="192"/>
      <c r="B947" s="104"/>
      <c r="C947" s="175"/>
      <c r="D947" s="136"/>
      <c r="E947" s="138"/>
      <c r="F947" s="176"/>
    </row>
    <row r="948" spans="1:6" s="141" customFormat="1">
      <c r="A948" s="192"/>
      <c r="B948" s="104"/>
      <c r="C948" s="175"/>
      <c r="D948" s="136"/>
      <c r="E948" s="138"/>
      <c r="F948" s="176"/>
    </row>
    <row r="949" spans="1:6" s="141" customFormat="1">
      <c r="A949" s="192"/>
      <c r="B949" s="104"/>
      <c r="C949" s="175"/>
      <c r="D949" s="136"/>
      <c r="E949" s="138"/>
      <c r="F949" s="176"/>
    </row>
    <row r="950" spans="1:6" s="141" customFormat="1">
      <c r="A950" s="192"/>
      <c r="B950" s="104"/>
      <c r="C950" s="175"/>
      <c r="D950" s="136"/>
      <c r="E950" s="138"/>
      <c r="F950" s="176"/>
    </row>
    <row r="951" spans="1:6" s="141" customFormat="1">
      <c r="A951" s="192"/>
      <c r="B951" s="104"/>
      <c r="C951" s="175"/>
      <c r="D951" s="136"/>
      <c r="E951" s="138"/>
      <c r="F951" s="176"/>
    </row>
    <row r="952" spans="1:6" s="141" customFormat="1">
      <c r="A952" s="192"/>
      <c r="B952" s="104"/>
      <c r="C952" s="175"/>
      <c r="D952" s="136"/>
      <c r="E952" s="138"/>
      <c r="F952" s="176"/>
    </row>
    <row r="953" spans="1:6" s="141" customFormat="1">
      <c r="A953" s="192"/>
      <c r="B953" s="104"/>
      <c r="C953" s="175"/>
      <c r="D953" s="136"/>
      <c r="E953" s="138"/>
      <c r="F953" s="176"/>
    </row>
    <row r="954" spans="1:6" s="141" customFormat="1">
      <c r="A954" s="192"/>
      <c r="B954" s="104"/>
      <c r="C954" s="175"/>
      <c r="D954" s="136"/>
      <c r="E954" s="138"/>
      <c r="F954" s="176"/>
    </row>
    <row r="955" spans="1:6" s="141" customFormat="1">
      <c r="A955" s="192"/>
      <c r="B955" s="104"/>
      <c r="C955" s="175"/>
      <c r="D955" s="136"/>
      <c r="E955" s="138"/>
      <c r="F955" s="176"/>
    </row>
    <row r="956" spans="1:6" s="141" customFormat="1">
      <c r="A956" s="192"/>
      <c r="B956" s="104"/>
      <c r="C956" s="175"/>
      <c r="D956" s="136"/>
      <c r="E956" s="138"/>
      <c r="F956" s="176"/>
    </row>
    <row r="957" spans="1:6" s="141" customFormat="1">
      <c r="A957" s="192"/>
      <c r="B957" s="104"/>
      <c r="C957" s="175"/>
      <c r="D957" s="136"/>
      <c r="E957" s="138"/>
      <c r="F957" s="176"/>
    </row>
    <row r="958" spans="1:6" s="141" customFormat="1">
      <c r="A958" s="192"/>
      <c r="B958" s="104"/>
      <c r="C958" s="175"/>
      <c r="D958" s="136"/>
      <c r="E958" s="138"/>
      <c r="F958" s="176"/>
    </row>
    <row r="959" spans="1:6" s="141" customFormat="1">
      <c r="A959" s="192"/>
      <c r="B959" s="104"/>
      <c r="C959" s="175"/>
      <c r="D959" s="136"/>
      <c r="E959" s="138"/>
      <c r="F959" s="176"/>
    </row>
    <row r="960" spans="1:6" s="141" customFormat="1">
      <c r="A960" s="192"/>
      <c r="B960" s="104"/>
      <c r="C960" s="175"/>
      <c r="D960" s="136"/>
      <c r="E960" s="138"/>
      <c r="F960" s="176"/>
    </row>
    <row r="961" spans="1:6" s="141" customFormat="1">
      <c r="A961" s="192"/>
      <c r="B961" s="104"/>
      <c r="C961" s="175"/>
      <c r="D961" s="136"/>
      <c r="E961" s="138"/>
      <c r="F961" s="176"/>
    </row>
    <row r="962" spans="1:6" s="141" customFormat="1">
      <c r="A962" s="192"/>
      <c r="B962" s="104"/>
      <c r="C962" s="175"/>
      <c r="D962" s="136"/>
      <c r="E962" s="138"/>
      <c r="F962" s="176"/>
    </row>
    <row r="963" spans="1:6" s="141" customFormat="1">
      <c r="A963" s="192"/>
      <c r="B963" s="104"/>
      <c r="C963" s="175"/>
      <c r="D963" s="136"/>
      <c r="E963" s="138"/>
      <c r="F963" s="176"/>
    </row>
    <row r="964" spans="1:6" s="141" customFormat="1">
      <c r="A964" s="192"/>
      <c r="B964" s="104"/>
      <c r="C964" s="175"/>
      <c r="D964" s="136"/>
      <c r="E964" s="138"/>
      <c r="F964" s="176"/>
    </row>
    <row r="965" spans="1:6" s="141" customFormat="1">
      <c r="A965" s="192"/>
      <c r="B965" s="104"/>
      <c r="C965" s="175"/>
      <c r="D965" s="136"/>
      <c r="E965" s="138"/>
      <c r="F965" s="176"/>
    </row>
    <row r="966" spans="1:6" s="141" customFormat="1">
      <c r="A966" s="192"/>
      <c r="B966" s="104"/>
      <c r="C966" s="175"/>
      <c r="D966" s="136"/>
      <c r="E966" s="138"/>
      <c r="F966" s="176"/>
    </row>
    <row r="967" spans="1:6" s="141" customFormat="1">
      <c r="A967" s="192"/>
      <c r="B967" s="104"/>
      <c r="C967" s="175"/>
      <c r="D967" s="136"/>
      <c r="E967" s="138"/>
      <c r="F967" s="176"/>
    </row>
    <row r="968" spans="1:6" s="141" customFormat="1">
      <c r="A968" s="192"/>
      <c r="B968" s="104"/>
      <c r="C968" s="175"/>
      <c r="D968" s="136"/>
      <c r="E968" s="138"/>
      <c r="F968" s="176"/>
    </row>
    <row r="969" spans="1:6" s="141" customFormat="1">
      <c r="A969" s="192"/>
      <c r="B969" s="104"/>
      <c r="C969" s="175"/>
      <c r="D969" s="136"/>
      <c r="E969" s="138"/>
      <c r="F969" s="176"/>
    </row>
    <row r="970" spans="1:6" s="141" customFormat="1">
      <c r="A970" s="192"/>
      <c r="B970" s="104"/>
      <c r="C970" s="175"/>
      <c r="D970" s="136"/>
      <c r="E970" s="138"/>
      <c r="F970" s="176"/>
    </row>
    <row r="971" spans="1:6" s="141" customFormat="1">
      <c r="A971" s="192"/>
      <c r="B971" s="104"/>
      <c r="C971" s="175"/>
      <c r="D971" s="136"/>
      <c r="E971" s="138"/>
      <c r="F971" s="176"/>
    </row>
    <row r="972" spans="1:6" s="141" customFormat="1">
      <c r="A972" s="192"/>
      <c r="B972" s="104"/>
      <c r="C972" s="175"/>
      <c r="D972" s="136"/>
      <c r="E972" s="138"/>
      <c r="F972" s="176"/>
    </row>
    <row r="973" spans="1:6" s="141" customFormat="1">
      <c r="A973" s="192"/>
      <c r="B973" s="104"/>
      <c r="C973" s="175"/>
      <c r="D973" s="136"/>
      <c r="E973" s="138"/>
      <c r="F973" s="176"/>
    </row>
    <row r="974" spans="1:6" s="141" customFormat="1">
      <c r="A974" s="192"/>
      <c r="B974" s="104"/>
      <c r="C974" s="175"/>
      <c r="D974" s="136"/>
      <c r="E974" s="138"/>
      <c r="F974" s="176"/>
    </row>
    <row r="975" spans="1:6" s="141" customFormat="1">
      <c r="A975" s="192"/>
      <c r="B975" s="104"/>
      <c r="C975" s="175"/>
      <c r="D975" s="136"/>
      <c r="E975" s="138"/>
      <c r="F975" s="176"/>
    </row>
    <row r="976" spans="1:6" s="141" customFormat="1">
      <c r="A976" s="192"/>
      <c r="B976" s="104"/>
      <c r="C976" s="175"/>
      <c r="D976" s="136"/>
      <c r="E976" s="138"/>
      <c r="F976" s="176"/>
    </row>
    <row r="977" spans="1:6" s="141" customFormat="1">
      <c r="A977" s="192"/>
      <c r="B977" s="104"/>
      <c r="C977" s="175"/>
      <c r="D977" s="136"/>
      <c r="E977" s="138"/>
      <c r="F977" s="176"/>
    </row>
    <row r="978" spans="1:6" s="141" customFormat="1">
      <c r="A978" s="192"/>
      <c r="B978" s="104"/>
      <c r="C978" s="175"/>
      <c r="D978" s="136"/>
      <c r="E978" s="138"/>
      <c r="F978" s="176"/>
    </row>
    <row r="979" spans="1:6" s="141" customFormat="1">
      <c r="A979" s="192"/>
      <c r="B979" s="104"/>
      <c r="C979" s="175"/>
      <c r="D979" s="136"/>
      <c r="E979" s="138"/>
      <c r="F979" s="176"/>
    </row>
    <row r="980" spans="1:6" s="141" customFormat="1">
      <c r="A980" s="192"/>
      <c r="B980" s="104"/>
      <c r="C980" s="175"/>
      <c r="D980" s="136"/>
      <c r="E980" s="138"/>
      <c r="F980" s="176"/>
    </row>
    <row r="981" spans="1:6" s="141" customFormat="1">
      <c r="A981" s="192"/>
      <c r="B981" s="104"/>
      <c r="C981" s="175"/>
      <c r="D981" s="136"/>
      <c r="E981" s="138"/>
      <c r="F981" s="176"/>
    </row>
    <row r="982" spans="1:6" s="141" customFormat="1">
      <c r="A982" s="192"/>
      <c r="B982" s="104"/>
      <c r="C982" s="175"/>
      <c r="D982" s="136"/>
      <c r="E982" s="138"/>
      <c r="F982" s="176"/>
    </row>
    <row r="983" spans="1:6" s="141" customFormat="1">
      <c r="A983" s="192"/>
      <c r="B983" s="104"/>
      <c r="C983" s="175"/>
      <c r="D983" s="136"/>
      <c r="E983" s="138"/>
      <c r="F983" s="176"/>
    </row>
    <row r="984" spans="1:6" s="141" customFormat="1">
      <c r="A984" s="192"/>
      <c r="B984" s="104"/>
      <c r="C984" s="175"/>
      <c r="D984" s="136"/>
      <c r="E984" s="138"/>
      <c r="F984" s="176"/>
    </row>
    <row r="985" spans="1:6" s="141" customFormat="1">
      <c r="A985" s="192"/>
      <c r="B985" s="104"/>
      <c r="C985" s="175"/>
      <c r="D985" s="136"/>
      <c r="E985" s="138"/>
      <c r="F985" s="176"/>
    </row>
    <row r="986" spans="1:6" s="141" customFormat="1">
      <c r="A986" s="192"/>
      <c r="B986" s="104"/>
      <c r="C986" s="175"/>
      <c r="D986" s="136"/>
      <c r="E986" s="138"/>
      <c r="F986" s="176"/>
    </row>
    <row r="987" spans="1:6" s="141" customFormat="1">
      <c r="A987" s="192"/>
      <c r="B987" s="104"/>
      <c r="C987" s="175"/>
      <c r="D987" s="136"/>
      <c r="E987" s="138"/>
      <c r="F987" s="176"/>
    </row>
    <row r="988" spans="1:6" s="141" customFormat="1">
      <c r="A988" s="192"/>
      <c r="B988" s="104"/>
      <c r="C988" s="175"/>
      <c r="D988" s="136"/>
      <c r="E988" s="138"/>
      <c r="F988" s="176"/>
    </row>
    <row r="989" spans="1:6" s="141" customFormat="1">
      <c r="A989" s="192"/>
      <c r="B989" s="104"/>
      <c r="C989" s="175"/>
      <c r="D989" s="136"/>
      <c r="E989" s="138"/>
      <c r="F989" s="176"/>
    </row>
    <row r="990" spans="1:6" s="141" customFormat="1">
      <c r="A990" s="192"/>
      <c r="B990" s="104"/>
      <c r="C990" s="175"/>
      <c r="D990" s="136"/>
      <c r="E990" s="138"/>
      <c r="F990" s="176"/>
    </row>
    <row r="991" spans="1:6" s="141" customFormat="1">
      <c r="A991" s="192"/>
      <c r="B991" s="104"/>
      <c r="C991" s="175"/>
      <c r="D991" s="136"/>
      <c r="E991" s="138"/>
      <c r="F991" s="176"/>
    </row>
    <row r="992" spans="1:6" s="141" customFormat="1">
      <c r="A992" s="192"/>
      <c r="B992" s="104"/>
      <c r="C992" s="175"/>
      <c r="D992" s="136"/>
      <c r="E992" s="138"/>
      <c r="F992" s="176"/>
    </row>
    <row r="993" spans="1:6" s="141" customFormat="1">
      <c r="A993" s="192"/>
      <c r="B993" s="104"/>
      <c r="C993" s="175"/>
      <c r="D993" s="136"/>
      <c r="E993" s="138"/>
      <c r="F993" s="176"/>
    </row>
    <row r="994" spans="1:6" s="141" customFormat="1">
      <c r="A994" s="192"/>
      <c r="B994" s="104"/>
      <c r="C994" s="175"/>
      <c r="D994" s="136"/>
      <c r="E994" s="138"/>
      <c r="F994" s="176"/>
    </row>
    <row r="995" spans="1:6" s="141" customFormat="1">
      <c r="A995" s="192"/>
      <c r="B995" s="104"/>
      <c r="C995" s="175"/>
      <c r="D995" s="136"/>
      <c r="E995" s="138"/>
      <c r="F995" s="176"/>
    </row>
    <row r="996" spans="1:6" s="141" customFormat="1">
      <c r="A996" s="192"/>
      <c r="B996" s="104"/>
      <c r="C996" s="175"/>
      <c r="D996" s="136"/>
      <c r="E996" s="138"/>
      <c r="F996" s="176"/>
    </row>
    <row r="997" spans="1:6" s="141" customFormat="1">
      <c r="A997" s="192"/>
      <c r="B997" s="104"/>
      <c r="C997" s="175"/>
      <c r="D997" s="136"/>
      <c r="E997" s="138"/>
      <c r="F997" s="176"/>
    </row>
    <row r="998" spans="1:6" s="141" customFormat="1">
      <c r="A998" s="192"/>
      <c r="B998" s="104"/>
      <c r="C998" s="175"/>
      <c r="D998" s="136"/>
      <c r="E998" s="138"/>
      <c r="F998" s="176"/>
    </row>
    <row r="999" spans="1:6" s="141" customFormat="1">
      <c r="A999" s="192"/>
      <c r="B999" s="104"/>
      <c r="C999" s="175"/>
      <c r="D999" s="136"/>
      <c r="E999" s="138"/>
      <c r="F999" s="176"/>
    </row>
    <row r="1000" spans="1:6" s="141" customFormat="1">
      <c r="A1000" s="192"/>
      <c r="B1000" s="104"/>
      <c r="C1000" s="175"/>
      <c r="D1000" s="136"/>
      <c r="E1000" s="138"/>
      <c r="F1000" s="176"/>
    </row>
    <row r="1001" spans="1:6" s="141" customFormat="1">
      <c r="A1001" s="192"/>
      <c r="B1001" s="104"/>
      <c r="C1001" s="175"/>
      <c r="D1001" s="136"/>
      <c r="E1001" s="138"/>
      <c r="F1001" s="176"/>
    </row>
    <row r="1002" spans="1:6" s="141" customFormat="1">
      <c r="A1002" s="192"/>
      <c r="B1002" s="104"/>
      <c r="C1002" s="175"/>
      <c r="D1002" s="136"/>
      <c r="E1002" s="138"/>
      <c r="F1002" s="176"/>
    </row>
    <row r="1003" spans="1:6" s="141" customFormat="1">
      <c r="A1003" s="192"/>
      <c r="B1003" s="104"/>
      <c r="C1003" s="175"/>
      <c r="D1003" s="136"/>
      <c r="E1003" s="138"/>
      <c r="F1003" s="176"/>
    </row>
    <row r="1004" spans="1:6" s="141" customFormat="1">
      <c r="A1004" s="192"/>
      <c r="B1004" s="104"/>
      <c r="C1004" s="175"/>
      <c r="D1004" s="136"/>
      <c r="E1004" s="138"/>
      <c r="F1004" s="176"/>
    </row>
    <row r="1005" spans="1:6" s="141" customFormat="1">
      <c r="A1005" s="192"/>
      <c r="B1005" s="104"/>
      <c r="C1005" s="175"/>
      <c r="D1005" s="136"/>
      <c r="E1005" s="138"/>
      <c r="F1005" s="176"/>
    </row>
    <row r="1006" spans="1:6" s="141" customFormat="1">
      <c r="A1006" s="192"/>
      <c r="B1006" s="104"/>
      <c r="C1006" s="175"/>
      <c r="D1006" s="136"/>
      <c r="E1006" s="138"/>
      <c r="F1006" s="176"/>
    </row>
    <row r="1007" spans="1:6" s="141" customFormat="1">
      <c r="A1007" s="192"/>
      <c r="B1007" s="104"/>
      <c r="C1007" s="175"/>
      <c r="D1007" s="136"/>
      <c r="E1007" s="138"/>
      <c r="F1007" s="176"/>
    </row>
    <row r="1008" spans="1:6" s="141" customFormat="1">
      <c r="A1008" s="192"/>
      <c r="B1008" s="104"/>
      <c r="C1008" s="175"/>
      <c r="D1008" s="136"/>
      <c r="E1008" s="138"/>
      <c r="F1008" s="176"/>
    </row>
    <row r="1009" spans="1:6" s="141" customFormat="1">
      <c r="A1009" s="192"/>
      <c r="B1009" s="104"/>
      <c r="C1009" s="175"/>
      <c r="D1009" s="136"/>
      <c r="E1009" s="138"/>
      <c r="F1009" s="176"/>
    </row>
    <row r="1010" spans="1:6" s="141" customFormat="1">
      <c r="A1010" s="192"/>
      <c r="B1010" s="104"/>
      <c r="C1010" s="175"/>
      <c r="D1010" s="136"/>
      <c r="E1010" s="138"/>
      <c r="F1010" s="176"/>
    </row>
    <row r="1011" spans="1:6" s="141" customFormat="1">
      <c r="A1011" s="192"/>
      <c r="B1011" s="104"/>
      <c r="C1011" s="175"/>
      <c r="D1011" s="136"/>
      <c r="E1011" s="138"/>
      <c r="F1011" s="176"/>
    </row>
    <row r="1012" spans="1:6" s="141" customFormat="1">
      <c r="A1012" s="192"/>
      <c r="B1012" s="104"/>
      <c r="C1012" s="175"/>
      <c r="D1012" s="136"/>
      <c r="E1012" s="138"/>
      <c r="F1012" s="176"/>
    </row>
    <row r="1013" spans="1:6" s="141" customFormat="1">
      <c r="A1013" s="192"/>
      <c r="B1013" s="104"/>
      <c r="C1013" s="175"/>
      <c r="D1013" s="136"/>
      <c r="E1013" s="138"/>
      <c r="F1013" s="176"/>
    </row>
    <row r="1014" spans="1:6" s="141" customFormat="1">
      <c r="A1014" s="192"/>
      <c r="B1014" s="104"/>
      <c r="C1014" s="175"/>
      <c r="D1014" s="136"/>
      <c r="E1014" s="138"/>
      <c r="F1014" s="176"/>
    </row>
    <row r="1015" spans="1:6" s="141" customFormat="1">
      <c r="A1015" s="192"/>
      <c r="B1015" s="104"/>
      <c r="C1015" s="175"/>
      <c r="D1015" s="136"/>
      <c r="E1015" s="138"/>
      <c r="F1015" s="176"/>
    </row>
    <row r="1016" spans="1:6" s="141" customFormat="1">
      <c r="A1016" s="192"/>
      <c r="B1016" s="104"/>
      <c r="C1016" s="175"/>
      <c r="D1016" s="136"/>
      <c r="E1016" s="138"/>
      <c r="F1016" s="176"/>
    </row>
    <row r="1017" spans="1:6" s="141" customFormat="1">
      <c r="A1017" s="192"/>
      <c r="B1017" s="104"/>
      <c r="C1017" s="175"/>
      <c r="D1017" s="136"/>
      <c r="E1017" s="138"/>
      <c r="F1017" s="176"/>
    </row>
    <row r="1018" spans="1:6" s="141" customFormat="1">
      <c r="A1018" s="192"/>
      <c r="B1018" s="104"/>
      <c r="C1018" s="175"/>
      <c r="D1018" s="136"/>
      <c r="E1018" s="138"/>
      <c r="F1018" s="176"/>
    </row>
    <row r="1019" spans="1:6" s="141" customFormat="1">
      <c r="A1019" s="192"/>
      <c r="B1019" s="104"/>
      <c r="C1019" s="175"/>
      <c r="D1019" s="136"/>
      <c r="E1019" s="138"/>
      <c r="F1019" s="176"/>
    </row>
    <row r="1020" spans="1:6" s="141" customFormat="1">
      <c r="A1020" s="192"/>
      <c r="B1020" s="104"/>
      <c r="C1020" s="175"/>
      <c r="D1020" s="136"/>
      <c r="E1020" s="138"/>
      <c r="F1020" s="176"/>
    </row>
    <row r="1021" spans="1:6" s="141" customFormat="1">
      <c r="A1021" s="192"/>
      <c r="B1021" s="104"/>
      <c r="C1021" s="175"/>
      <c r="D1021" s="136"/>
      <c r="E1021" s="138"/>
      <c r="F1021" s="176"/>
    </row>
    <row r="1022" spans="1:6" s="141" customFormat="1">
      <c r="A1022" s="192"/>
      <c r="B1022" s="104"/>
      <c r="C1022" s="175"/>
      <c r="D1022" s="136"/>
      <c r="E1022" s="138"/>
      <c r="F1022" s="176"/>
    </row>
    <row r="1023" spans="1:6" s="141" customFormat="1">
      <c r="A1023" s="192"/>
      <c r="B1023" s="104"/>
      <c r="C1023" s="175"/>
      <c r="D1023" s="136"/>
      <c r="E1023" s="138"/>
      <c r="F1023" s="176"/>
    </row>
    <row r="1024" spans="1:6" s="141" customFormat="1">
      <c r="A1024" s="192"/>
      <c r="B1024" s="104"/>
      <c r="C1024" s="175"/>
      <c r="D1024" s="136"/>
      <c r="E1024" s="138"/>
      <c r="F1024" s="176"/>
    </row>
    <row r="1025" spans="1:6" s="141" customFormat="1">
      <c r="A1025" s="192"/>
      <c r="B1025" s="104"/>
      <c r="C1025" s="175"/>
      <c r="D1025" s="136"/>
      <c r="E1025" s="138"/>
      <c r="F1025" s="176"/>
    </row>
    <row r="1028" spans="1:6" s="109" customFormat="1">
      <c r="A1028" s="192"/>
      <c r="B1028" s="104"/>
      <c r="C1028" s="175"/>
      <c r="D1028" s="136"/>
      <c r="E1028" s="138"/>
      <c r="F1028" s="176"/>
    </row>
  </sheetData>
  <mergeCells count="6">
    <mergeCell ref="A1:A2"/>
    <mergeCell ref="E1:E2"/>
    <mergeCell ref="F1:F2"/>
    <mergeCell ref="C1:C2"/>
    <mergeCell ref="D1:D2"/>
    <mergeCell ref="B1:B2"/>
  </mergeCells>
  <phoneticPr fontId="63" type="noConversion"/>
  <pageMargins left="0.78740157480314965" right="0.70866141732283472" top="2.1653543307086616" bottom="0.94488188976377963" header="0.62992125984251968" footer="0.51181102362204722"/>
  <pageSetup paperSize="9" scale="72" firstPageNumber="22" fitToHeight="0" orientation="portrait" useFirstPageNumber="1" r:id="rId1"/>
  <headerFooter scaleWithDoc="0" alignWithMargins="0">
    <oddHeader>&amp;L&amp;G&amp;C&amp;"Helvetica,Regular"&amp;8
SVEUČILIŠTE U ZAGREBU
&amp;"Helvetica,Bold"ZGRADA SVEUČILIŠTA U 
ZAGREBU I PRAVNOG FAKULTETA
GRAĐEVINSKI I OBRTNIČKI RADOVI&amp;R
&amp;"Helvetica,Regular"&amp;8lokacija: k.č. 2142 k.o. Centar; Grad Zagreb
datum: srpanj 2023.</oddHeader>
    <oddFooter>&amp;L&amp;"Helvetica,Regular"&amp;8             mapa: 08                         zop: 55/2023-UI &amp;C&amp;"Helvetica,Regular"&amp;8                                       bp: 55/2023-ARH                        rev:04 &amp;R&amp;"Helvetica,Regular"&amp;8list:&amp;P</oddFooter>
  </headerFooter>
  <rowBreaks count="8" manualBreakCount="8">
    <brk id="15" max="5" man="1"/>
    <brk id="27" max="5" man="1"/>
    <brk id="41" max="5" man="1"/>
    <brk id="63" max="5" man="1"/>
    <brk id="72" max="5" man="1"/>
    <brk id="84" max="5" man="1"/>
    <brk id="91" max="5" man="1"/>
    <brk id="110" max="5" man="1"/>
  </row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NASLOVNICA </vt:lpstr>
      <vt:lpstr>I. OPĆI GO</vt:lpstr>
      <vt:lpstr>I. GO</vt:lpstr>
      <vt:lpstr>'I. GO'!Print_Area</vt:lpstr>
      <vt:lpstr>'I. OPĆI GO'!Print_Area</vt:lpstr>
      <vt:lpstr>'NASLOVNICA '!Print_Area</vt:lpstr>
      <vt:lpstr>'I. GO'!Print_Titles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Andrija Stipić</dc:creator>
  <cp:lastModifiedBy>Ivan Cakaric</cp:lastModifiedBy>
  <cp:lastPrinted>2023-07-26T11:42:49Z</cp:lastPrinted>
  <dcterms:created xsi:type="dcterms:W3CDTF">2001-07-09T14:28:26Z</dcterms:created>
  <dcterms:modified xsi:type="dcterms:W3CDTF">2024-08-26T15:39:09Z</dcterms:modified>
</cp:coreProperties>
</file>