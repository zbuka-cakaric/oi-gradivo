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324"/>
  <workbookPr defaultThemeVersion="124226"/>
  <mc:AlternateContent xmlns:mc="http://schemas.openxmlformats.org/markup-compatibility/2006">
    <mc:Choice Requires="x15">
      <x15ac:absPath xmlns:x15ac="http://schemas.microsoft.com/office/spreadsheetml/2010/11/ac" url="T:\stambeni zg\palinovecka\"/>
    </mc:Choice>
  </mc:AlternateContent>
  <xr:revisionPtr revIDLastSave="0" documentId="13_ncr:1_{6DCAD032-E3B7-45BC-AD00-C08195CC709D}" xr6:coauthVersionLast="47" xr6:coauthVersionMax="47" xr10:uidLastSave="{00000000-0000-0000-0000-000000000000}"/>
  <bookViews>
    <workbookView xWindow="33165" yWindow="900" windowWidth="17910" windowHeight="19695" xr2:uid="{00000000-000D-0000-FFFF-FFFF00000000}"/>
  </bookViews>
  <sheets>
    <sheet name="Troškovnik radova" sheetId="2" r:id="rId1"/>
  </sheets>
  <definedNames>
    <definedName name="__xlnm.Print_Area_1">#REF!</definedName>
    <definedName name="__xlnm.Print_Area_2">#REF!</definedName>
    <definedName name="__xlnm.Print_Area_3">#REF!</definedName>
    <definedName name="__xlnm.Print_Area_4">#REF!</definedName>
    <definedName name="__xlnm.Print_Titles_1">#REF!</definedName>
    <definedName name="__xlnm.Print_Titles_2">#REF!</definedName>
    <definedName name="__xlnm.Print_Titles_3">#REF!</definedName>
    <definedName name="__xlnm.Print_Titles_4">#REF!</definedName>
    <definedName name="Ja">#REF!</definedName>
    <definedName name="_xlnm.Print_Area" localSheetId="0">'Troškovnik radova'!$B$1:$I$242</definedName>
    <definedName name="_xlnm.Print_Titles" localSheetId="0">'Troškovnik radova'!$2:$7</definedName>
  </definedNames>
  <calcPr calcId="191029"/>
</workbook>
</file>

<file path=xl/calcChain.xml><?xml version="1.0" encoding="utf-8"?>
<calcChain xmlns="http://schemas.openxmlformats.org/spreadsheetml/2006/main">
  <c r="H183" i="2" l="1"/>
  <c r="H189" i="2"/>
  <c r="H191" i="2" s="1"/>
  <c r="H181" i="2"/>
  <c r="H172" i="2" l="1"/>
  <c r="H168" i="2"/>
  <c r="H165" i="2"/>
  <c r="H162" i="2"/>
  <c r="H153" i="2"/>
  <c r="H111" i="2"/>
  <c r="H100" i="2"/>
  <c r="H97" i="2"/>
  <c r="H94" i="2"/>
  <c r="H103" i="2" l="1"/>
  <c r="H84" i="2" l="1"/>
  <c r="H81" i="2"/>
  <c r="H78" i="2"/>
  <c r="H68" i="2"/>
  <c r="H65" i="2"/>
  <c r="H57" i="2"/>
  <c r="H48" i="2"/>
  <c r="H45" i="2"/>
  <c r="H42" i="2"/>
  <c r="H33" i="2"/>
  <c r="H31" i="2"/>
  <c r="H117" i="2"/>
  <c r="H114" i="2"/>
  <c r="H119" i="2" l="1"/>
  <c r="H213" i="2" s="1"/>
  <c r="H87" i="2"/>
  <c r="H211" i="2" s="1"/>
  <c r="H50" i="2"/>
  <c r="H208" i="2" s="1"/>
  <c r="H59" i="2"/>
  <c r="H209" i="2" s="1"/>
  <c r="H216" i="2"/>
  <c r="H174" i="2"/>
  <c r="H194" i="2"/>
  <c r="H71" i="2"/>
  <c r="H210" i="2" s="1"/>
  <c r="H217" i="2"/>
  <c r="H212" i="2"/>
  <c r="H29" i="2"/>
  <c r="H148" i="2"/>
  <c r="H198" i="2"/>
  <c r="H197" i="2"/>
  <c r="H150" i="2"/>
  <c r="H146" i="2"/>
  <c r="H141" i="2"/>
  <c r="H215" i="2" l="1"/>
  <c r="H200" i="2"/>
  <c r="H218" i="2" s="1"/>
  <c r="H27" i="2"/>
  <c r="H35" i="2" s="1"/>
  <c r="H207" i="2" s="1"/>
  <c r="H142" i="2"/>
  <c r="H155" i="2" s="1"/>
  <c r="H214" i="2" s="1"/>
  <c r="H203" i="2" l="1"/>
  <c r="H219" i="2" s="1"/>
  <c r="H221"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ante</author>
  </authors>
  <commentList>
    <comment ref="D94" authorId="0" shapeId="0" xr:uid="{00000000-0006-0000-0000-000003000000}">
      <text>
        <r>
          <rPr>
            <b/>
            <sz val="9"/>
            <color indexed="81"/>
            <rFont val="Tahoma"/>
            <family val="2"/>
            <charset val="238"/>
          </rPr>
          <t>ante:</t>
        </r>
        <r>
          <rPr>
            <sz val="9"/>
            <color indexed="81"/>
            <rFont val="Tahoma"/>
            <family val="2"/>
            <charset val="238"/>
          </rPr>
          <t xml:space="preserve">
</t>
        </r>
        <r>
          <rPr>
            <sz val="9"/>
            <color indexed="53"/>
            <rFont val="Tahoma"/>
            <family val="2"/>
            <charset val="238"/>
          </rPr>
          <t>Podebljati xps na 10 cm i dodati izrezivanje stare eps izolacije</t>
        </r>
      </text>
    </comment>
  </commentList>
</comments>
</file>

<file path=xl/sharedStrings.xml><?xml version="1.0" encoding="utf-8"?>
<sst xmlns="http://schemas.openxmlformats.org/spreadsheetml/2006/main" count="258" uniqueCount="163">
  <si>
    <t>Količina</t>
  </si>
  <si>
    <t>1.1.</t>
  </si>
  <si>
    <t>2.1.</t>
  </si>
  <si>
    <t>kom</t>
  </si>
  <si>
    <t>1.2.</t>
  </si>
  <si>
    <t>1.3.</t>
  </si>
  <si>
    <t>3.1.</t>
  </si>
  <si>
    <t>1.4.</t>
  </si>
  <si>
    <t>4.1.</t>
  </si>
  <si>
    <t>5.1.</t>
  </si>
  <si>
    <t>HIDROIZOLATERSKI RADOVI</t>
  </si>
  <si>
    <t>m1</t>
  </si>
  <si>
    <t>m2</t>
  </si>
  <si>
    <t>SVEUKUPNA REKAPITULACIJA</t>
  </si>
  <si>
    <t xml:space="preserve">OPĆI UVJETI: </t>
  </si>
  <si>
    <t>Ukupna cijena</t>
  </si>
  <si>
    <t>Jed. cijena</t>
  </si>
  <si>
    <t>Jed. mjere</t>
  </si>
  <si>
    <t>Opis radova</t>
  </si>
  <si>
    <t>Rb.</t>
  </si>
  <si>
    <t>Prilikom odlaganja materijala i formiranja deponije gradilišta treba konzultirati nadzor, te deponiju formirati na propisan način i na za to predviđenom mjestu.</t>
  </si>
  <si>
    <t>Izvoditelj se obvezuje ugovorne radove izvesti stručno i solidno, isporučiti kvalitetan materijal u skladu s tehničkim propisima, normativima i standardima, te isporučiti sve potrebite pismene dokaze o kvaliteti sukladno važećim hrvatskim propisima i standardima. Uskladištenje materijala na gradilištu mora biti stručno kako bi se isključila bilo kakva mogućnost oštećenja, odnosno propadanja.</t>
  </si>
  <si>
    <t>PRIPREMNI RADOVI</t>
  </si>
  <si>
    <t>BETONSKI RADOVI</t>
  </si>
  <si>
    <t xml:space="preserve">Općenito:
Svi radovi moraju se izvesti kvalitetno i stručno držeći se projektne dokumentacije i svih propisa koji diktiraju takvu vrstu radova.
Radovi se moraju izvesti u svemu prema uzancama struke, uvjetima i opisima iz troškovnika, te uputama proizvođača. </t>
  </si>
  <si>
    <t xml:space="preserve">Obaveza je izvođača proučiti projekt te u jedinične cijene stavki uračunati sve radove, potrebne materijale, njihove količine i/ili sl. (eventualno ne specificirane posebno u samom troškovniku), a koji su (prema uzancama struke, pravilima struke i sl.) potrebni za potpuno dovršenje radova, tj. dovođenje u stanje "potpuno spremno za uporabu". Svi takovi radovi i materijali moraju biti  uračunati u jedinične cijene, tj. neće se posebno priznati niti plaćati vantroškovnički radovi, materijali, količine i sl.  Radove treba izvoditi u skladu i dogovoru s  nadzorom gradilišta. Prilikom odlaganja materijala i formiranja deponije gradilišta treba konzultirati naručitelja, te deponiju formirati na propisan način i na za to predviđenom mjestu.
</t>
  </si>
  <si>
    <t>5.2.</t>
  </si>
  <si>
    <t>5.3.</t>
  </si>
  <si>
    <t>RADOVI SVEUKUPNO BEZ PDV-a:</t>
  </si>
  <si>
    <t>'Izvođač je dužan gradilište držati čistim. Sav materijal i opremu koju koristi treba svakodnevno slagati i svoj radni prostor držati urednim. Stubište i evakuacijske puteve potrebno je jednom tjedno detaljno očistiti.</t>
  </si>
  <si>
    <t>Izvoditelj je dužan osigurati i zaštititi sve dijelove građevine na kojima se ne izvode radovi, radi sprečavanja oštećenja tijekom izvedbe.</t>
  </si>
  <si>
    <t>U slučaju da opis pojedine stavke nije dovoljno jasan, mjerodavna je samo uputa i tumačenje projektanta/nadzora. O tome se izvođač treba informirati već prilikom sastavljanja jedinične cijene.</t>
  </si>
  <si>
    <t>Cijene pojedinih radova moraju sadržavati sve elemente koji određuju cijenu gotovog proizvoda, a u skladu s odredbama troškovnika. Ako izvođač sumnja u valjanost ili kvalitetu nekog propisanog materijala i drži da za takvu izvedbu ne bi mogao preuzeti odgovornost, dužan je o tome obavijestiti projektanta s obrazloženjem i dokumentacijom. Konačnu odluku donosi projektant u suglasnosti s nadzornim inženjerom, nakon proučenog prijedloga izvođača.</t>
  </si>
  <si>
    <t xml:space="preserve">Dozvoljeno je nuđenje jednakovrijednih materijala, ali uz ponudbeni troškovnik obavezno priložiti detaljan opis nuđene stavke za alternativnim materijalima, razradu i analizu cijena te nuditi jediničnu cijenu stavke iz troškovnika. </t>
  </si>
  <si>
    <t>Podizanje materijala i gotovih sklopova na visinu ukalkulirati u jediničnu cijenu jer se naknadni zahtjevi za korištenjem strojne operative neće priznavati.</t>
  </si>
  <si>
    <t>Izvođač je obvezan pridržavati se uputa projektanta/nadzora u svim pitanjima koja se odnose na izbor i obradu materijala i način izvedbe pojedinih detalja, ako to nije već detaljno opisano troškovnikom, a naročito u slučajevima kada se zahtjeva izvedba van propisanih standarda.</t>
  </si>
  <si>
    <t>NEPREDVIĐENI RADOVI 10%</t>
  </si>
  <si>
    <t>Izrada projekta skele je obveza izvođača fasaderskih radova ukoliko Izvođač koristi tip skele za koju postoji zakonska obveza izrade projekta skele. Ukoliko Izvođač koristi tipsku H skelu za koju prema zakonskim propisima nije potreban projekt skele, Izvođač je u obvezi na gradilište dostavite ateste za skelu i upute proizvođača skele za montažu i demontažu skele.</t>
  </si>
  <si>
    <t>OBRAČUN FASADERSKIH RADOVA:</t>
  </si>
  <si>
    <t xml:space="preserve">Obračun se vrši razvijanjem svih istaka, tako da se dobije stvarno uređena površina. </t>
  </si>
  <si>
    <t>Pravila kod obračuna radova:</t>
  </si>
  <si>
    <t>Otvori (npr. prozori) oko kojih postoje uložine (špalete) do 20 cm širine, odbijaju se na slijedeće načine:</t>
  </si>
  <si>
    <t>Otvori veličine do 3,0 m2 ne odbijaju se i njihove se uložine ne obračunavaju.</t>
  </si>
  <si>
    <t>Kod otvora veličine 3,0 - 5,0 m2 odbija se površina preko 3,0 m2, a uložine se ne obračunavaju posebno.</t>
  </si>
  <si>
    <t>Kod otvora veličine preko 5,0 m2 odbija se površina preko 3,0 m2, a uložine se obračunavaju posebno.</t>
  </si>
  <si>
    <t>Ako su uložine šire od 20 cm onda se višak preko 20 cm obračunava posebno po m2.</t>
  </si>
  <si>
    <t>Obračun fasadne skele</t>
  </si>
  <si>
    <t>Vertikalno – računa se od kote terena do zadnje platforme plus 1 m', do visine zadnjeg gelendera (zaštitne ograde)</t>
  </si>
  <si>
    <t>Kod fasada koje imaju razne istake (npr. balkoni) osnovnoj dužini objekta dodaju se bočne stranice balkona.</t>
  </si>
  <si>
    <t>Horizontalno – na obije dužine zgrade (duža strana objekta) dodaje se po 1,20 m' na oba kraja za povezivanje sa bočnim stranama skele, dok se za bočne strane (kraće strane objekta) uzima čisti razmak između unutrašnjih vertikalnih stupova skele postavljene na uzdužnim stranama.</t>
  </si>
  <si>
    <t>U cijenu uključiti postavu svih pripadajućih profila i to okapnog profila, brtvenog profila na sudaru fasade sa stolarskim stavkama, kutnog profila s integriranom finom tkaninom od staklenih vlakana, limenog priključnog profila na prijelazu na limenim pojačanjima (ravni krov, terasa i sl.), profila za izvedbu dilatacija, profil na spoju sa okapnim limom, početnog profila, te razdjelnih profila za izradu čistih spojeva na žbuci. Dilatacije na pročeljima izvesti uz korištenje elestične brtvene mase uz prethodni prednamaz, a sve po uputama davatelja sustava Fasadnog sustava. U detalju ugradnje prozorskih klupčica neophodana je izvedba premaza polimercementnom izolacijom uz primjenu mrežice.</t>
  </si>
  <si>
    <t>FASADERSKI RADOVI  - UKUPNO</t>
  </si>
  <si>
    <t>a</t>
  </si>
  <si>
    <t>b</t>
  </si>
  <si>
    <t>Nanošenje završnog sloja fasade žbuke granulacije 1,5 mm na bazi silikona otporne na sve vremenske uvjete. Na pripremljenu podlogu premazanu impregnacijom nanijeti gladilicom završni sloj gotove organske žbuke zaribane strukture u tonu i nijansi prema odabiru projektanta.</t>
  </si>
  <si>
    <t xml:space="preserve">Zaštita sve postojeće vanjske stolarije postavom PE folije preko iste i lijepljenjem, s kasnijim uklanjanjem po završetku radova i čišćenjem iste. </t>
  </si>
  <si>
    <t>pauš</t>
  </si>
  <si>
    <t>Sanacija oštećenih dijelova fasade</t>
  </si>
  <si>
    <t>Postava novih prozorskih klupica. Postava na prethodno izvedenu podlogu od polimercemenetne hidroizolaicje.</t>
  </si>
  <si>
    <t>opcija a</t>
  </si>
  <si>
    <t>opcija b</t>
  </si>
  <si>
    <t>1.9.</t>
  </si>
  <si>
    <t>Temeljito pranje svih površina fasade miniwashem, te uklanjanje prašine, trošnih dijelova, masnoća i svih nečistoća sa ploha predviđenih za bojanje. 
Po završenom pranju podloga se treba biti čista bez tvari koje razdvajaju. Nakon čišćenja ostaviti dovoljno vremena da se plohe osuše.</t>
  </si>
  <si>
    <t>Impregnacija - grundiranje svih površina prije nanošenja novog sloja cementnog ljepila. Impregnacija se nanosi u jednom sloju (1x). sve prema uputama proizvođača boje. Impregnacija se izvodi u tonu novog sloja fasadne žbuke.</t>
  </si>
  <si>
    <t>DEMONTAŽE I UKLANJANJA</t>
  </si>
  <si>
    <t>DEMONTAŽA POKROVA SA NADSTREŠNICE IZNAD ULAZA U GARAŽU</t>
  </si>
  <si>
    <t xml:space="preserve">Demontaža pokrova od polikarbonatnih ploča sa nadstrešnice iznad ulaza u garažu, uključivo spojni i obrubni profili, odnosno kompletan pokrov nadstrešnice. U cijeni svi potrebni radovi na demontaži, odvoz na deponij, te naknada za deponiju. Obračun po m2 pokrova. </t>
  </si>
  <si>
    <t>UKLANJANJE KERAMIČKIH PLOČICA, ESTRIHA, TERMOIZOLACIJA I HIDROIZOLACIJA SA TERASA</t>
  </si>
  <si>
    <t xml:space="preserve">Uklanjanje postojećih keramičkih pločica, estriha, termoizolacije i hidroizolacije, odnosno svih slojeva do podne konstrukcije na terasama, uključivo i bočne slivnike - rigalice. U cijeni su svi potrebni radovi na uklanjanju, odvoz na deponij, te naknada za deponiju. Obračun po m2 poda terasa. </t>
  </si>
  <si>
    <t>Alternativno:</t>
  </si>
  <si>
    <t xml:space="preserve">Uklanjanje postojećih kamenih prozorskih klupčica. U cijeni su svi potrebni radovi na uklanjanju, odvoz na deponij, te naknada za deponiju. Obračun po m1 klupčice. </t>
  </si>
  <si>
    <t>DEMONTAŽE I UKLANJANJE UKUPNO</t>
  </si>
  <si>
    <t>Demontaža i urezivanje bočnih poprečnih okapnica na gornjoj strani postojećih vanjskih kamenih prozorskih klupčica i klupčica na balkonima te ponovna montaža.
Obračun po komadu klupčice</t>
  </si>
  <si>
    <t>KAMENARSKI RADOVI</t>
  </si>
  <si>
    <t>BETONSKI RADOVI UKUPNO</t>
  </si>
  <si>
    <t>CEMENTNI ESTRIH NA TERASAMA</t>
  </si>
  <si>
    <t>Izvedba armiranih cementnih estriha u padu debljine 4-8 cm na terasama.</t>
  </si>
  <si>
    <t>CEMENTNI ESTRIH NA TERASAMA POTKROVLJA</t>
  </si>
  <si>
    <t>HIDROIZOLATERSKI RADOVI UKUPNO</t>
  </si>
  <si>
    <t>TERMOIZOLACIJA NA TERASAMA</t>
  </si>
  <si>
    <t>TOPLINSKA IZOLACIJA TERASA POTKROVLJA (XPS)</t>
  </si>
  <si>
    <t>TERMOIZOLACIJA NA TERASAMA UKUPNO</t>
  </si>
  <si>
    <t>KERAMIČARSKI RADOVI</t>
  </si>
  <si>
    <t>UKUPNO  KERAMIČARSKI  RADOVI :</t>
  </si>
  <si>
    <t>PODNE KERAMIČKE PLOČICE - VANJSKE TERASE</t>
  </si>
  <si>
    <t>FASADERSKI ARDOVI</t>
  </si>
  <si>
    <t>KAMENRASKI RADOVI UKUPNO</t>
  </si>
  <si>
    <t>LIMARSKI RADOVI UKUPNO</t>
  </si>
  <si>
    <t>HORIZONTALNI ŽLJEBOVI ODVODNJE NA JUŽNIM TERASAMA</t>
  </si>
  <si>
    <t>Dobava materijala, izrada i montaža horizontalnog visećeg žljeba izrađenog od pocinčanog i obojanog lima d=0,70 mm, razvijene širine lima 36 cm, kvadratnog presjeka. Obračun po m1 kompletno postavljenog žljeba sa kukama i svim ostalim montažnim i pričvrsnim materijalom, čeonim završecima i kutnim spojevima, te izradom spoja na vertikalni žljeb. Boja lima sukladno boji fasade.
Obračun po m1 postavljenog žljeba</t>
  </si>
  <si>
    <t>POKROV NADSTREŠNICE</t>
  </si>
  <si>
    <t>POKROV NADSTREŠNICE OD POLIKARBONATNIH PLOČA S KOMORAMA, DEBLJINE 16 MM</t>
  </si>
  <si>
    <t>POKROV NADSTREŠNICE UKUPNO</t>
  </si>
  <si>
    <t>LIČILAČKI RADOVI</t>
  </si>
  <si>
    <t>LIČENJE POSTOJEĆIH ELEMENATA KONSTRUKCIJE NADSTREŠNICE IZNAD ULAZA U GARAŽU</t>
  </si>
  <si>
    <t>Ličenje svih postojećih čeličnih elemenata konstrukcije nadstrešnice lak bojom u tonu kao postojeća boja konstrukcije.
Obračun po m2 razvijene površine profila.</t>
  </si>
  <si>
    <t>LIČILAČKI RADOVI UKUPNO</t>
  </si>
  <si>
    <r>
      <t>m</t>
    </r>
    <r>
      <rPr>
        <sz val="11"/>
        <rFont val="Arial"/>
        <family val="2"/>
        <charset val="238"/>
      </rPr>
      <t>2</t>
    </r>
  </si>
  <si>
    <t>PRIPREMNI RADOVI UKUPNO</t>
  </si>
  <si>
    <t>Keramičarske pločice terasa</t>
  </si>
  <si>
    <r>
      <t xml:space="preserve">Uklanjanje struganjem dotrajale završne plemenite žbuke i polimercementnog morta sa mrežicom. Uklanjaju se svi dotrajali slojevi </t>
    </r>
    <r>
      <rPr>
        <b/>
        <sz val="11"/>
        <rFont val="Arial"/>
        <family val="2"/>
        <charset val="238"/>
      </rPr>
      <t>do postojeće fasadne termoizolacije.</t>
    </r>
    <r>
      <rPr>
        <sz val="11"/>
        <rFont val="Arial"/>
        <family val="2"/>
      </rPr>
      <t xml:space="preserve"> Ovim troškovnikom je pretpostavljeno da je dotrajalo oko </t>
    </r>
    <r>
      <rPr>
        <b/>
        <sz val="11"/>
        <rFont val="Arial"/>
        <family val="2"/>
        <charset val="238"/>
      </rPr>
      <t>30%</t>
    </r>
    <r>
      <rPr>
        <sz val="11"/>
        <rFont val="Arial"/>
        <family val="2"/>
      </rPr>
      <t xml:space="preserve"> od ukupne površine fasade, uključivo podglede terasa, ulaza u zgradu i stropa rampe za vozila. U cijeni stavke je uključen i odvoz i zbrinjavanje naterijala na deponij.</t>
    </r>
  </si>
  <si>
    <t>UREZIVANJE OKAPA NA KAMENIM KLUPIČICAMA</t>
  </si>
  <si>
    <t>Ugradnja bočnih slivnika - rigalica od hidroizolacijskog materijala (BITUMENSKA), na terasama, odvoz kondenzata s parne brane.
Obračun po komadu postavljenog slivnika.</t>
  </si>
  <si>
    <t>Izrada pokrova nadstrešnice od polikarbonatnih ploča s komorama, debljine 16 mm, mliječne boje, s nanesenim UV zaštitnim filmom. Stavka troškovnika uključuje i sve potrebne ALU profile za spajanje polikarbonatnih ploča, odnosno spojne profile između ploča, rubne profile ploča, U profile za zatvaranje rubova ploča s otvorenim komorama,  profile za spajanje ravnih ploča na zid.
Također, stavka troškovnika uključuje sve potrebne gumene brtve uz ALU profile, brtvljenja trajnoelastičnim kitovima, te zatvaranja otvorenih komora na pločama protuprašnim, paropropusnim trakama, kao i sav potreban spojni pribor. Svi vijci su od nehrđajučeg čelika.</t>
  </si>
  <si>
    <t>ALU KLUPČICE</t>
  </si>
  <si>
    <t>ALU KLUPČICE UKUPNO</t>
  </si>
  <si>
    <t>Altrenativno:</t>
  </si>
  <si>
    <t>2.2.</t>
  </si>
  <si>
    <t>2.3.</t>
  </si>
  <si>
    <t>4.2.</t>
  </si>
  <si>
    <t>HORIZONTALNA HIDROIZOLACIJA TERASA</t>
  </si>
  <si>
    <t>HORIZONTALNA HIDROIZOLACIJA TERASA POTKROVLJA</t>
  </si>
  <si>
    <t>HIDROIZOLACIJSKI PREMAZ NA TERASAMA</t>
  </si>
  <si>
    <t>Polimerni hidroizolacijski premaz. Dolazi na terasama na podlogu na koju se lijepe keramičke pločice.
Obračun po m2 izvedene horizontalne hidroizolacije.</t>
  </si>
  <si>
    <t>7.1.</t>
  </si>
  <si>
    <t>8.1.</t>
  </si>
  <si>
    <t>BOČNI SLIVNICI - RIGALICE ODVODNJE NA TERASAMA</t>
  </si>
  <si>
    <t>9.1.</t>
  </si>
  <si>
    <t>9.2.</t>
  </si>
  <si>
    <t>9.3.</t>
  </si>
  <si>
    <t>10.1.</t>
  </si>
  <si>
    <t>DEMONTAŽA I UKLANJANJA</t>
  </si>
  <si>
    <t>HIDROIZOLACIJA</t>
  </si>
  <si>
    <t>FASADERSKI RADOVI</t>
  </si>
  <si>
    <t>LIMARSKI RADOVI</t>
  </si>
  <si>
    <t>UGRADNJA TRAKA ZA ZAŠTITU OD VREMENSKIH PRILIKA NA PROZORIMA (TRAKA ZA RAL MONTAŽU)</t>
  </si>
  <si>
    <t xml:space="preserve">Gletanje kompletne površina  cementnim ljepilom CAPAROL CAPATECT 186 M weiss, te utapanje alkalno otporne mrežice za armiranje 160 g
-fino gletanje površina polimer cementnim ljepilom CAPAROL CAPATECT 186 M weiss </t>
  </si>
  <si>
    <t>8.2.</t>
  </si>
  <si>
    <t>POLIMERCEMENTNI MORT I ZAVRŠNBI SLOJ FASADE - FASADNA ŽBUKA</t>
  </si>
  <si>
    <t>Izvedba slojeva fasade na vanjskim zidovima i podgledima stropova u sastavu :</t>
  </si>
  <si>
    <t>8.2.1</t>
  </si>
  <si>
    <t>8.2.2</t>
  </si>
  <si>
    <t>8.2.3.</t>
  </si>
  <si>
    <t>8.3.</t>
  </si>
  <si>
    <t>Kamene klupčice</t>
  </si>
  <si>
    <t>Aluminijske klupčice</t>
  </si>
  <si>
    <r>
      <rPr>
        <b/>
        <sz val="11"/>
        <rFont val="Arial"/>
        <family val="2"/>
      </rPr>
      <t>OSIGURANJE PRISTUPA ZGRADI</t>
    </r>
    <r>
      <rPr>
        <sz val="11"/>
        <rFont val="Arial"/>
        <family val="2"/>
      </rPr>
      <t xml:space="preserve">
Dobava svog potrebnog materijala te izrada privremenog osiguranja pristupa zgradi, odnosno ulazu u zgradu. Pristup izvesti od konstrukcije cijevne ili druge skele, natkriti čvrstim materijalom (mosnice) koje su pričvršćene na konstrukciju pristupa. Iznad mosnica postaviti foliju ili geotekstil radi spriječavanja prodora prašine u prolaz. Konstrukcija mora biti izvan ravnine fasadne skele barem 1,0 m. Svi stršeći dijelovi moraju biti izvedeni u skladu s Zakonom o zaštiti na radu (zaštićeni mekim materijalom kako bi se spriječila ozljeda i sl.) Pristup mora biti osvijetljen tokom cijele noći.</t>
    </r>
  </si>
  <si>
    <r>
      <t>Izvedba armiranih plivajućih cementnih estriha debljine 5</t>
    </r>
    <r>
      <rPr>
        <sz val="11"/>
        <rFont val="Arial"/>
        <family val="2"/>
        <charset val="238"/>
      </rPr>
      <t xml:space="preserve"> cm</t>
    </r>
    <r>
      <rPr>
        <sz val="11"/>
        <rFont val="Arial"/>
        <family val="2"/>
      </rPr>
      <t xml:space="preserve"> na terasama potkrovlja. Uključivo PE folija kao podloga estrihu.</t>
    </r>
  </si>
  <si>
    <t>TOPLINSKA IZOLACIJA TERASA  (XPS)</t>
  </si>
  <si>
    <r>
      <t xml:space="preserve">Izvedba toplinske izolacije terasa potkrovlja u sastavu :
ekstrudirani polistiren XPS STYROFOAM-ROOFMATE SL debljine 5 cm ili kao postojeći.
</t>
    </r>
    <r>
      <rPr>
        <sz val="11"/>
        <rFont val="Arial"/>
        <family val="2"/>
        <charset val="238"/>
      </rPr>
      <t>PE folija kao zaštita toplinske izolacije</t>
    </r>
    <r>
      <rPr>
        <sz val="11"/>
        <rFont val="Arial"/>
        <family val="2"/>
      </rPr>
      <t xml:space="preserve">
Obračun po m2 izvedene toplinske izolacije.</t>
    </r>
  </si>
  <si>
    <r>
      <t xml:space="preserve">Izvedba toplinske izolacije terasa potkrovlja u sastavu :
ekstrudirani polistiren XPS STYROFOAM-ROOFMATE SL debljine 12 cm ili kao postojeći.
</t>
    </r>
    <r>
      <rPr>
        <sz val="11"/>
        <rFont val="Arial"/>
        <family val="2"/>
        <charset val="238"/>
      </rPr>
      <t>PE folija kao zaštita toplinske izolacije</t>
    </r>
    <r>
      <rPr>
        <sz val="11"/>
        <rFont val="Arial"/>
        <family val="2"/>
      </rPr>
      <t xml:space="preserve">
Obračun po m2 izvedene toplinske izolacije.</t>
    </r>
  </si>
  <si>
    <t>TOPLINSKA IZOLACIJA SOKLA TERASA  (XPS)</t>
  </si>
  <si>
    <t>Izrada sokla na lođama i terasama s rezanim podnim pločicama lijepljenim na zid. Visina podnožja je 15-20 cm (prije početka postave definirati s projektantom). Ispod sokla se izvodi polimer-cementna hidroizolacija u visini 20 cm koja je predmet stavke br.4: opločenje lođa i terasa. Fuga širine 5 mm izvodi se vodoodbojnom fug masom FM 60 Premium.</t>
  </si>
  <si>
    <t>m'</t>
  </si>
  <si>
    <t>7.2.</t>
  </si>
  <si>
    <t>7.3.</t>
  </si>
  <si>
    <t>SILIKONIRANJE SPOJA PODA I SOKLA</t>
  </si>
  <si>
    <t>Izvedba ljpila brtvila na spojevima sudaranja horizontalbne i vertikalne keramike umjesto fuge radi sprečavanj prodora vode u slojeve ispod keramike</t>
  </si>
  <si>
    <t xml:space="preserve">IZRADA SOKLA NA  TERASAMA   </t>
  </si>
  <si>
    <t>Popravci završnog dijela  fasade i priprema za nanošenje novog sloja cementnog ljepila. Skidanje sloja fasade, na mjestima gdje se sloj fasade odlijepio od izolacije ili su značajnija oštećenja podloge te ponovno nanošenje izravnavajućeg sloja ljepila.
Predviđeno cca 30% ukupene površine fasade</t>
  </si>
  <si>
    <t>Ugradnja paropropusnih, a vodonepropusnih i zrakonepropusnih samoljepivih traka na vanjskim spojevima prozora i zidova. Ugradnja traka uključuje sljedeće radove:
uklanjanje svih slojeva fasade sa površine zidova uz okvire prozora, u širini 10 cm, te odvoz i zbrinjavanje naterijala na deponij;
izravnavanje površine zida reparaturnim mortom;
ljepljenje samoljepivih traka na spojevima prozora i zidova;
fasadne EPS ploče ekspandiranog polistirena  debljine 10 cm,
završni sloj fasade sa silikatnom zaštitno-dekorativnom žbukom Caparol , u boji i granulacije po izboru projektanta. Podlogu impregnirati temeljnim premazom za impregnaciju prije nanošenja, te izvoditi prema uputama proizvođača.
Obračun po m1 ugrađene trake i svih potrebnih radova.</t>
  </si>
  <si>
    <t>Dobava materijala, izrada i montaža horizontalnog visećeg žljeba izrađenog od pocinčanog i obojanog lima d=0,70 mm, razvijene širine lima 36 cm, kvadratnog presjeka ili okruglog presjeka ovisno o dogovoru. Obračun po m1 kompletno postavljenog žljeba sa kukama i svim ostalim montažnim i pričvrsnim materijalom, čeonim završecima i kutnim spojevima, te izradom spoja na vertikalni žljeb. Boja lima sukladno boji fasade.
Obračun po m1 postavljenog žljeba</t>
  </si>
  <si>
    <t>VERTIKALNA ODVODNJA S TERASA I KROVA</t>
  </si>
  <si>
    <t>Dobava materijala, izrada i montaža vertikalnih oluka izrađenog od pocinčanog i obojanog lima d=0,70 mm, razvijene širine lima 36 cm, kvadratnog presjeka ili okruglog presjeka ovisno o dogovoru. Obračun po m1 kompletno postavljenog žljeba sa kukama i svim ostalim montažnim i pričvrsnim materijalom, čeonim završecima i kutnim spojevima, te izradom spoja na vertikalni žljeb. Boja lima sukladno boji fasade.
Obračun po m1 postavljenog žljeba</t>
  </si>
  <si>
    <t>HORIZONTALNI ŽLJEBOVI TERASA I KROVA</t>
  </si>
  <si>
    <r>
      <rPr>
        <b/>
        <sz val="11"/>
        <rFont val="Arial"/>
        <family val="2"/>
        <charset val="238"/>
      </rPr>
      <t>SKELA</t>
    </r>
    <r>
      <rPr>
        <sz val="11"/>
        <rFont val="Arial"/>
        <family val="2"/>
        <charset val="238"/>
      </rPr>
      <t xml:space="preserve">
Dobava svog potrebnog materIjala te izrada tipske lake fasadne skele za izvedbu radova na fasadi zgrade. Visina skele za 6 nadzemnih etaža. Skela mora biti izrađena i postavljena u skladu s pravilima struke i Zakona o zaštiti na radu. Ne smiju se kombinirati dva ili više sustava skele na jednoj plohi. Skela s vanjske strane mora biti zatvorena skelskim platnom. Skelu sidriti u zidove te osigurati od udara groma.
U cijenu uključiti sanaciju eventualnih oštećenja zidova nastalih nakon sidrenja skele. Skela se dijelom postavlja na zemljanu podlogu, te je potrebno u cijenu uključiti i adekvatnu podlogu skele. Obračun skele izvršiti po m2 zidne plohe. U cijeni sve potrebno, svi transporti, montaža i demontaža, ćišćenje prostora rada nakon demontaže skele i sl.
</t>
    </r>
    <r>
      <rPr>
        <sz val="11"/>
        <rFont val="Arial"/>
        <family val="2"/>
      </rPr>
      <t>Skela se postavlja na mjestima gdje je montaža moguća radi drveća. Na mjestima gdje nije moguće postaviti skelu uračunati auto dizalicu.</t>
    </r>
  </si>
  <si>
    <r>
      <t xml:space="preserve">Dobava i polaganje protukliznih GRES podnih keramičkih pločica (otporne na atmosferske utjecaje) ljepljenjem fleksibilnim ljepilom na prethodno izvedenu polimercementnu izolaciju.
</t>
    </r>
    <r>
      <rPr>
        <sz val="11"/>
        <rFont val="Arial"/>
        <family val="2"/>
        <charset val="238"/>
      </rPr>
      <t xml:space="preserve">Brtvljenje dilatacijskih spojeva izvesti pomoću silikonske mase za brtvljenje bez otapala na osnovi acetatnog zamreženja, tip kao MUREXIN SIL 60.
Opločenje pločicama u boji, uzorku i veličini po izboru projektanta. </t>
    </r>
    <r>
      <rPr>
        <b/>
        <sz val="11"/>
        <rFont val="Arial"/>
        <family val="2"/>
        <charset val="238"/>
      </rPr>
      <t xml:space="preserve">U jediničnu cijenu uključiti i potreban sokl visine 10 cm.
</t>
    </r>
    <r>
      <rPr>
        <sz val="11"/>
        <rFont val="Arial"/>
        <family val="2"/>
        <charset val="238"/>
      </rPr>
      <t xml:space="preserve">Lijepljenje se izvodi na polimercementnu hidroizolaciju. Lijepljenje se izvodi ljepilom na bazi tras cementa MUREXIN KTF 55 u koje se dodaje MUREXIN S2 emulzija za povećanje fleksibilnosti. Površinu izvesti u padu prema podnom sifonu (izljevnoj rešetki ili okapnom limu). Fuga širine 5 mm izvodi se vodoodbojnom fug masom FM 60 Premium s dodatkom emulzije za fug mase MUREXIN FE 85. Sve dilatacijske fuge izvesti u poljima maksimalne veličine 20 m2, prema shemi odobrenoj od strane projektanta. </t>
    </r>
    <r>
      <rPr>
        <sz val="11"/>
        <rFont val="Arial"/>
        <family val="2"/>
      </rPr>
      <t xml:space="preserve">
Obračun po m2 opločenih podova. </t>
    </r>
  </si>
  <si>
    <t>TROŠKOVNIK FASADERSKIH RADOVA 
I HIDROIZOLACIJE TERASA</t>
  </si>
  <si>
    <t>Izvedba toplinske izolacije sokla terasa 
ekstrudirani polistiren XPS STYROFOAM-ROOFMATE SL debljine 8 cm ili kao postojeći.
Gletanje ljepilom te rabiciranje. Nakon suženja impregniranje prije sloja fasade:
Obračun po m1 izvedene toplinske izolacije.</t>
  </si>
  <si>
    <t>Izvedba horizontalne hidroizolacije poda terasa sa visokofleksibilnim elastomernim trakama za zavarivanje. Hidroizolacija se izvodi na postojeću hidroizolaciju u slijedećim slojevima:
dvije bitumenske trake kao ELASTOBITUFIX GV-4 u dva sloja,
hladni bitumenski prednamaz.
Obračun po m2 izvedene horizontalne hidroizolacije.</t>
  </si>
  <si>
    <t>Ne preporučamo zbog vjerojatnog oštećenja stolarije prilikom frezanja, nudimo nove klupčice r.š do 25cm</t>
  </si>
  <si>
    <t>U Zagrebu, 09.01.2025.</t>
  </si>
  <si>
    <t>Nudimo keramičke pločice do 50€/m2 (MPC cijena) kod Dobavljača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</si>
</sst>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1]"/>
    <numFmt numFmtId="165" formatCode="#,##0.00\ &quot;€&quot;"/>
    <numFmt numFmtId="166" formatCode="#,##0.0"/>
  </numFmts>
  <fonts count="32">
    <font>
      <sz val="11"/>
      <color theme="1"/>
      <name val="Calibri"/>
      <family val="2"/>
      <charset val="238"/>
      <scheme val="minor"/>
    </font>
    <font>
      <sz val="11"/>
      <color theme="1"/>
      <name val="Calibri"/>
      <family val="2"/>
      <scheme val="minor"/>
    </font>
    <font>
      <sz val="10"/>
      <color theme="1"/>
      <name val="Tahoma"/>
      <family val="2"/>
      <charset val="238"/>
    </font>
    <font>
      <sz val="11"/>
      <name val="Arial"/>
      <family val="2"/>
    </font>
    <font>
      <b/>
      <sz val="11"/>
      <name val="Arial"/>
      <family val="2"/>
    </font>
    <font>
      <sz val="10"/>
      <name val="Arial"/>
      <family val="2"/>
      <charset val="238"/>
    </font>
    <font>
      <sz val="11"/>
      <color theme="1"/>
      <name val="Calibri"/>
      <family val="2"/>
      <charset val="238"/>
      <scheme val="minor"/>
    </font>
    <font>
      <sz val="10"/>
      <name val="Arial"/>
      <family val="2"/>
    </font>
    <font>
      <sz val="11"/>
      <name val="Calibri"/>
      <family val="2"/>
      <charset val="238"/>
      <scheme val="minor"/>
    </font>
    <font>
      <b/>
      <sz val="10"/>
      <name val="Arial"/>
      <family val="2"/>
      <charset val="238"/>
    </font>
    <font>
      <sz val="10"/>
      <name val="Aptos"/>
      <family val="2"/>
    </font>
    <font>
      <b/>
      <sz val="10"/>
      <name val="Aptos"/>
      <family val="2"/>
    </font>
    <font>
      <sz val="11"/>
      <name val="Aptos"/>
      <family val="2"/>
    </font>
    <font>
      <b/>
      <sz val="11"/>
      <name val="Aptos"/>
      <family val="2"/>
    </font>
    <font>
      <b/>
      <sz val="12"/>
      <name val="Aptos"/>
      <family val="2"/>
    </font>
    <font>
      <sz val="12"/>
      <name val="Aptos"/>
      <family val="2"/>
    </font>
    <font>
      <b/>
      <sz val="10"/>
      <name val="Optos"/>
      <charset val="238"/>
    </font>
    <font>
      <i/>
      <sz val="11"/>
      <color indexed="23"/>
      <name val="Calibri"/>
      <family val="2"/>
      <charset val="238"/>
    </font>
    <font>
      <sz val="10"/>
      <name val="Calibri"/>
      <family val="2"/>
      <charset val="238"/>
      <scheme val="minor"/>
    </font>
    <font>
      <b/>
      <sz val="22"/>
      <name val="Aptos"/>
      <family val="2"/>
    </font>
    <font>
      <b/>
      <sz val="18"/>
      <name val="Aptos"/>
      <family val="2"/>
    </font>
    <font>
      <b/>
      <sz val="8"/>
      <name val="Arial"/>
      <family val="2"/>
    </font>
    <font>
      <b/>
      <sz val="10"/>
      <name val="Arial"/>
      <family val="2"/>
    </font>
    <font>
      <b/>
      <sz val="11"/>
      <name val="Calibri"/>
      <family val="2"/>
      <charset val="238"/>
      <scheme val="minor"/>
    </font>
    <font>
      <b/>
      <sz val="11"/>
      <name val="Arial"/>
      <family val="2"/>
      <charset val="238"/>
    </font>
    <font>
      <sz val="11"/>
      <name val="Arial"/>
      <family val="2"/>
      <charset val="238"/>
    </font>
    <font>
      <b/>
      <sz val="9"/>
      <color indexed="81"/>
      <name val="Tahoma"/>
      <family val="2"/>
      <charset val="238"/>
    </font>
    <font>
      <b/>
      <sz val="9"/>
      <name val="Arial"/>
      <family val="2"/>
      <charset val="238"/>
    </font>
    <font>
      <sz val="9"/>
      <color indexed="81"/>
      <name val="Tahoma"/>
      <family val="2"/>
      <charset val="238"/>
    </font>
    <font>
      <sz val="9"/>
      <color indexed="53"/>
      <name val="Tahoma"/>
      <family val="2"/>
      <charset val="238"/>
    </font>
    <font>
      <sz val="11"/>
      <color rgb="FFFF0000"/>
      <name val="Calibri"/>
      <family val="2"/>
      <charset val="238"/>
      <scheme val="minor"/>
    </font>
    <font>
      <sz val="11"/>
      <color rgb="FFFF0000"/>
      <name val="Arial"/>
      <family val="2"/>
    </font>
  </fonts>
  <fills count="3">
    <fill>
      <patternFill patternType="none"/>
    </fill>
    <fill>
      <patternFill patternType="gray125"/>
    </fill>
    <fill>
      <patternFill patternType="solid">
        <fgColor theme="3"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right/>
      <top/>
      <bottom style="thick">
        <color rgb="FF3D3DFF"/>
      </bottom>
      <diagonal/>
    </border>
    <border>
      <left/>
      <right/>
      <top style="thick">
        <color rgb="FF3D3DFF"/>
      </top>
      <bottom/>
      <diagonal/>
    </border>
  </borders>
  <cellStyleXfs count="11">
    <xf numFmtId="0" fontId="0" fillId="0" borderId="0"/>
    <xf numFmtId="0" fontId="1" fillId="0" borderId="0"/>
    <xf numFmtId="0" fontId="2" fillId="0" borderId="0"/>
    <xf numFmtId="0" fontId="2" fillId="0" borderId="0"/>
    <xf numFmtId="0" fontId="2" fillId="0" borderId="0"/>
    <xf numFmtId="0" fontId="5" fillId="0" borderId="0"/>
    <xf numFmtId="0" fontId="6" fillId="0" borderId="1">
      <alignment horizontal="center" vertical="center" wrapText="1"/>
    </xf>
    <xf numFmtId="0" fontId="7" fillId="0" borderId="0"/>
    <xf numFmtId="0" fontId="6" fillId="0" borderId="0"/>
    <xf numFmtId="0" fontId="17" fillId="0" borderId="0" applyNumberFormat="0" applyFill="0" applyBorder="0" applyAlignment="0" applyProtection="0"/>
    <xf numFmtId="0" fontId="7" fillId="0" borderId="0"/>
  </cellStyleXfs>
  <cellXfs count="169">
    <xf numFmtId="0" fontId="0" fillId="0" borderId="0" xfId="0"/>
    <xf numFmtId="0" fontId="7" fillId="0" borderId="0" xfId="7"/>
    <xf numFmtId="0" fontId="8" fillId="0" borderId="0" xfId="8" applyFont="1"/>
    <xf numFmtId="0" fontId="5" fillId="0" borderId="0" xfId="8" applyFont="1"/>
    <xf numFmtId="0" fontId="10" fillId="0" borderId="0" xfId="8" applyFont="1"/>
    <xf numFmtId="0" fontId="12" fillId="0" borderId="0" xfId="8" applyFont="1"/>
    <xf numFmtId="0" fontId="10" fillId="0" borderId="0" xfId="7" applyFont="1"/>
    <xf numFmtId="0" fontId="8" fillId="0" borderId="0" xfId="7" applyFont="1"/>
    <xf numFmtId="0" fontId="18" fillId="0" borderId="0" xfId="7" applyFont="1"/>
    <xf numFmtId="0" fontId="8" fillId="0" borderId="0" xfId="0" applyFont="1"/>
    <xf numFmtId="0" fontId="5" fillId="0" borderId="0" xfId="0" applyFont="1"/>
    <xf numFmtId="0" fontId="18" fillId="0" borderId="0" xfId="0" applyFont="1"/>
    <xf numFmtId="0" fontId="7" fillId="0" borderId="6" xfId="7" applyBorder="1"/>
    <xf numFmtId="166" fontId="7" fillId="0" borderId="6" xfId="7" applyNumberFormat="1" applyBorder="1" applyAlignment="1">
      <alignment horizontal="center"/>
    </xf>
    <xf numFmtId="165" fontId="7" fillId="0" borderId="6" xfId="7" applyNumberFormat="1" applyBorder="1"/>
    <xf numFmtId="0" fontId="7" fillId="0" borderId="7" xfId="7" applyBorder="1"/>
    <xf numFmtId="166" fontId="7" fillId="0" borderId="7" xfId="7" applyNumberFormat="1" applyBorder="1" applyAlignment="1">
      <alignment horizontal="center"/>
    </xf>
    <xf numFmtId="165" fontId="7" fillId="0" borderId="7" xfId="7" applyNumberFormat="1" applyBorder="1"/>
    <xf numFmtId="4" fontId="20" fillId="0" borderId="0" xfId="8" applyNumberFormat="1" applyFont="1" applyAlignment="1">
      <alignment horizontal="center" vertical="center" wrapText="1"/>
    </xf>
    <xf numFmtId="4" fontId="11" fillId="0" borderId="0" xfId="8" applyNumberFormat="1" applyFont="1" applyAlignment="1">
      <alignment horizontal="centerContinuous" vertical="center" wrapText="1"/>
    </xf>
    <xf numFmtId="4" fontId="11" fillId="0" borderId="0" xfId="8" applyNumberFormat="1" applyFont="1" applyAlignment="1">
      <alignment horizontal="left" vertical="center" wrapText="1"/>
    </xf>
    <xf numFmtId="4" fontId="11" fillId="0" borderId="0" xfId="10" applyNumberFormat="1" applyFont="1" applyAlignment="1" applyProtection="1">
      <alignment vertical="center" wrapText="1"/>
      <protection locked="0"/>
    </xf>
    <xf numFmtId="49" fontId="14" fillId="0" borderId="0" xfId="10" applyNumberFormat="1" applyFont="1" applyAlignment="1" applyProtection="1">
      <alignment horizontal="center" vertical="center" wrapText="1"/>
      <protection locked="0"/>
    </xf>
    <xf numFmtId="4" fontId="14" fillId="0" borderId="0" xfId="10" applyNumberFormat="1" applyFont="1" applyAlignment="1" applyProtection="1">
      <alignment horizontal="center" vertical="center" wrapText="1"/>
      <protection locked="0"/>
    </xf>
    <xf numFmtId="4" fontId="19" fillId="0" borderId="0" xfId="8" applyNumberFormat="1" applyFont="1" applyAlignment="1">
      <alignment horizontal="center" vertical="center" wrapText="1"/>
    </xf>
    <xf numFmtId="166" fontId="19" fillId="0" borderId="0" xfId="8" applyNumberFormat="1" applyFont="1" applyAlignment="1">
      <alignment horizontal="center" vertical="center" wrapText="1"/>
    </xf>
    <xf numFmtId="165" fontId="19" fillId="0" borderId="0" xfId="8" applyNumberFormat="1" applyFont="1" applyAlignment="1">
      <alignment horizontal="right" vertical="center" wrapText="1"/>
    </xf>
    <xf numFmtId="164" fontId="19" fillId="0" borderId="0" xfId="8" applyNumberFormat="1" applyFont="1" applyAlignment="1">
      <alignment horizontal="right" vertical="center" wrapText="1"/>
    </xf>
    <xf numFmtId="0" fontId="21" fillId="0" borderId="1" xfId="8" applyFont="1" applyBorder="1" applyAlignment="1">
      <alignment horizontal="center" vertical="center" wrapText="1"/>
    </xf>
    <xf numFmtId="0" fontId="16" fillId="0" borderId="0" xfId="7" applyFont="1" applyAlignment="1">
      <alignment horizontal="left"/>
    </xf>
    <xf numFmtId="166" fontId="10" fillId="0" borderId="0" xfId="7" applyNumberFormat="1" applyFont="1" applyAlignment="1">
      <alignment horizontal="center"/>
    </xf>
    <xf numFmtId="165" fontId="10" fillId="0" borderId="0" xfId="7" applyNumberFormat="1" applyFont="1"/>
    <xf numFmtId="0" fontId="5" fillId="0" borderId="0" xfId="7" applyFont="1"/>
    <xf numFmtId="0" fontId="9" fillId="0" borderId="0" xfId="7" applyFont="1" applyAlignment="1">
      <alignment horizontal="center" vertical="top" wrapText="1"/>
    </xf>
    <xf numFmtId="0" fontId="9" fillId="0" borderId="0" xfId="7" applyFont="1" applyAlignment="1">
      <alignment horizontal="left" vertical="center" wrapText="1"/>
    </xf>
    <xf numFmtId="0" fontId="9" fillId="0" borderId="0" xfId="7" applyFont="1" applyAlignment="1">
      <alignment horizontal="center" vertical="center" wrapText="1"/>
    </xf>
    <xf numFmtId="4" fontId="9" fillId="0" borderId="0" xfId="7" applyNumberFormat="1" applyFont="1" applyAlignment="1">
      <alignment horizontal="center" vertical="center" wrapText="1"/>
    </xf>
    <xf numFmtId="164" fontId="9" fillId="0" borderId="0" xfId="7" applyNumberFormat="1" applyFont="1" applyAlignment="1">
      <alignment horizontal="center" vertical="center" wrapText="1"/>
    </xf>
    <xf numFmtId="0" fontId="5" fillId="0" borderId="0" xfId="0" applyFont="1" applyAlignment="1" applyProtection="1">
      <alignment horizontal="justify" vertical="top" wrapText="1"/>
      <protection locked="0"/>
    </xf>
    <xf numFmtId="4" fontId="5" fillId="0" borderId="0" xfId="0" applyNumberFormat="1" applyFont="1" applyAlignment="1" applyProtection="1">
      <alignment horizontal="justify" vertical="center" wrapText="1"/>
      <protection locked="0"/>
    </xf>
    <xf numFmtId="0" fontId="5" fillId="0" borderId="0" xfId="8" applyFont="1" applyAlignment="1">
      <alignment horizontal="justify" vertical="top" wrapText="1"/>
    </xf>
    <xf numFmtId="16" fontId="24" fillId="0" borderId="0" xfId="0" applyNumberFormat="1" applyFont="1" applyAlignment="1">
      <alignment horizontal="center" vertical="center"/>
    </xf>
    <xf numFmtId="0" fontId="3" fillId="0" borderId="0" xfId="0" applyFont="1" applyAlignment="1">
      <alignment horizontal="left" vertical="top" wrapText="1"/>
    </xf>
    <xf numFmtId="0" fontId="3" fillId="0" borderId="0" xfId="0" applyFont="1" applyAlignment="1">
      <alignment horizontal="center" vertical="center"/>
    </xf>
    <xf numFmtId="4" fontId="3" fillId="0" borderId="0" xfId="0" applyNumberFormat="1" applyFont="1" applyAlignment="1">
      <alignment horizontal="center" vertical="center"/>
    </xf>
    <xf numFmtId="164" fontId="3" fillId="0" borderId="0" xfId="0" applyNumberFormat="1" applyFont="1" applyAlignment="1">
      <alignment horizontal="center" vertical="center"/>
    </xf>
    <xf numFmtId="0" fontId="3" fillId="0" borderId="0" xfId="0" applyFont="1"/>
    <xf numFmtId="0" fontId="4" fillId="0" borderId="1" xfId="8" applyFont="1" applyBorder="1" applyAlignment="1">
      <alignment horizontal="center" vertical="center" wrapText="1"/>
    </xf>
    <xf numFmtId="0" fontId="4" fillId="0" borderId="4" xfId="8" applyFont="1" applyBorder="1" applyAlignment="1">
      <alignment horizontal="center" vertical="center" wrapText="1"/>
    </xf>
    <xf numFmtId="0" fontId="4" fillId="0" borderId="3" xfId="8" applyFont="1" applyBorder="1" applyAlignment="1">
      <alignment horizontal="center" vertical="center" wrapText="1"/>
    </xf>
    <xf numFmtId="0" fontId="3" fillId="0" borderId="0" xfId="0" applyFont="1" applyAlignment="1">
      <alignment vertical="center" wrapText="1"/>
    </xf>
    <xf numFmtId="16" fontId="25" fillId="0" borderId="1" xfId="0" applyNumberFormat="1" applyFont="1" applyBorder="1" applyAlignment="1">
      <alignment horizontal="center" vertical="center"/>
    </xf>
    <xf numFmtId="0" fontId="25" fillId="0" borderId="1" xfId="0" applyFont="1" applyBorder="1" applyAlignment="1">
      <alignment vertical="top" wrapText="1"/>
    </xf>
    <xf numFmtId="0" fontId="3" fillId="0" borderId="1" xfId="0" applyFont="1" applyBorder="1" applyAlignment="1">
      <alignment horizontal="center" vertical="center"/>
    </xf>
    <xf numFmtId="4" fontId="3" fillId="0" borderId="1" xfId="0" applyNumberFormat="1" applyFont="1" applyBorder="1" applyAlignment="1">
      <alignment horizontal="center" vertical="center"/>
    </xf>
    <xf numFmtId="164" fontId="3" fillId="0" borderId="1" xfId="0" applyNumberFormat="1" applyFont="1" applyBorder="1" applyAlignment="1">
      <alignment horizontal="center" vertical="center"/>
    </xf>
    <xf numFmtId="16" fontId="25" fillId="0" borderId="0" xfId="0" applyNumberFormat="1" applyFont="1" applyAlignment="1">
      <alignment horizontal="center" vertical="center"/>
    </xf>
    <xf numFmtId="0" fontId="3" fillId="0" borderId="0" xfId="0" applyFont="1" applyAlignment="1">
      <alignment vertical="top" wrapText="1"/>
    </xf>
    <xf numFmtId="0" fontId="3" fillId="0" borderId="1" xfId="0" applyFont="1" applyBorder="1" applyAlignment="1">
      <alignment horizontal="left" vertical="top" wrapText="1"/>
    </xf>
    <xf numFmtId="164" fontId="4" fillId="0" borderId="1" xfId="8" applyNumberFormat="1" applyFont="1" applyBorder="1" applyAlignment="1">
      <alignment horizontal="center" vertical="center" wrapText="1"/>
    </xf>
    <xf numFmtId="0" fontId="23" fillId="0" borderId="1" xfId="0" applyFont="1" applyBorder="1" applyAlignment="1">
      <alignment horizontal="left" vertical="top" wrapText="1"/>
    </xf>
    <xf numFmtId="0" fontId="3" fillId="0" borderId="1" xfId="0" applyFont="1" applyBorder="1" applyAlignment="1">
      <alignment vertical="center" wrapText="1"/>
    </xf>
    <xf numFmtId="0" fontId="25" fillId="0" borderId="0" xfId="0" applyFont="1" applyAlignment="1">
      <alignment horizontal="center" vertical="center"/>
    </xf>
    <xf numFmtId="0" fontId="25" fillId="0" borderId="1" xfId="0" applyFont="1" applyBorder="1" applyAlignment="1">
      <alignment horizontal="center" vertical="center"/>
    </xf>
    <xf numFmtId="0" fontId="3" fillId="0" borderId="1" xfId="0" applyFont="1" applyBorder="1" applyAlignment="1">
      <alignment vertical="top" wrapText="1"/>
    </xf>
    <xf numFmtId="0" fontId="23" fillId="0" borderId="1" xfId="0" applyFont="1" applyBorder="1" applyAlignment="1">
      <alignment horizontal="left" wrapText="1"/>
    </xf>
    <xf numFmtId="16" fontId="3" fillId="0" borderId="1" xfId="0" applyNumberFormat="1" applyFont="1" applyBorder="1" applyAlignment="1">
      <alignment horizontal="center" vertical="center"/>
    </xf>
    <xf numFmtId="0" fontId="3" fillId="0" borderId="1" xfId="0" applyFont="1" applyBorder="1" applyAlignment="1">
      <alignment horizontal="center"/>
    </xf>
    <xf numFmtId="4" fontId="3" fillId="0" borderId="1" xfId="0" applyNumberFormat="1" applyFont="1" applyBorder="1" applyAlignment="1">
      <alignment horizontal="center"/>
    </xf>
    <xf numFmtId="164" fontId="3" fillId="0" borderId="1" xfId="0" applyNumberFormat="1" applyFont="1" applyBorder="1" applyAlignment="1">
      <alignment horizontal="center"/>
    </xf>
    <xf numFmtId="0" fontId="23" fillId="0" borderId="0" xfId="0" applyFont="1" applyAlignment="1">
      <alignment horizontal="left" vertical="top" wrapText="1"/>
    </xf>
    <xf numFmtId="0" fontId="23" fillId="0" borderId="0" xfId="0" applyFont="1" applyAlignment="1">
      <alignment horizontal="justify" vertical="top"/>
    </xf>
    <xf numFmtId="0" fontId="23" fillId="0" borderId="1" xfId="0" applyFont="1" applyBorder="1" applyAlignment="1">
      <alignment horizontal="left" vertical="top"/>
    </xf>
    <xf numFmtId="0" fontId="23" fillId="0" borderId="1" xfId="0" applyFont="1" applyBorder="1" applyAlignment="1">
      <alignment horizontal="justify" vertical="top"/>
    </xf>
    <xf numFmtId="16" fontId="3" fillId="0" borderId="0" xfId="0" applyNumberFormat="1" applyFont="1" applyAlignment="1">
      <alignment horizontal="center" vertical="center"/>
    </xf>
    <xf numFmtId="0" fontId="3" fillId="0" borderId="0" xfId="0" applyFont="1" applyAlignment="1">
      <alignment horizontal="center"/>
    </xf>
    <xf numFmtId="4" fontId="3" fillId="0" borderId="0" xfId="0" applyNumberFormat="1" applyFont="1" applyAlignment="1">
      <alignment horizontal="center"/>
    </xf>
    <xf numFmtId="164" fontId="3" fillId="0" borderId="0" xfId="0" applyNumberFormat="1" applyFont="1" applyAlignment="1">
      <alignment horizontal="center"/>
    </xf>
    <xf numFmtId="0" fontId="5" fillId="0" borderId="1" xfId="0" applyFont="1" applyBorder="1" applyAlignment="1">
      <alignment horizontal="right"/>
    </xf>
    <xf numFmtId="2" fontId="5" fillId="0" borderId="1" xfId="0" applyNumberFormat="1" applyFont="1" applyBorder="1" applyAlignment="1">
      <alignment horizontal="right"/>
    </xf>
    <xf numFmtId="165" fontId="5" fillId="0" borderId="1" xfId="0" applyNumberFormat="1" applyFont="1" applyBorder="1" applyAlignment="1">
      <alignment horizontal="right"/>
    </xf>
    <xf numFmtId="0" fontId="5" fillId="0" borderId="0" xfId="0" applyFont="1" applyAlignment="1">
      <alignment horizontal="right"/>
    </xf>
    <xf numFmtId="2" fontId="5" fillId="0" borderId="0" xfId="0" applyNumberFormat="1" applyFont="1" applyAlignment="1">
      <alignment horizontal="right"/>
    </xf>
    <xf numFmtId="165" fontId="5" fillId="0" borderId="0" xfId="0" applyNumberFormat="1" applyFont="1" applyAlignment="1">
      <alignment horizontal="right"/>
    </xf>
    <xf numFmtId="49" fontId="5" fillId="0" borderId="0" xfId="0" applyNumberFormat="1" applyFont="1" applyAlignment="1">
      <alignment horizontal="left" vertical="top"/>
    </xf>
    <xf numFmtId="0" fontId="5" fillId="0" borderId="0" xfId="0" applyFont="1" applyAlignment="1">
      <alignment horizontal="left" vertical="top" wrapText="1"/>
    </xf>
    <xf numFmtId="49" fontId="25" fillId="0" borderId="1" xfId="0" applyNumberFormat="1" applyFont="1" applyBorder="1" applyAlignment="1">
      <alignment horizontal="center" vertical="center"/>
    </xf>
    <xf numFmtId="0" fontId="23" fillId="0" borderId="1" xfId="0" applyFont="1" applyBorder="1" applyAlignment="1">
      <alignment vertical="center" wrapText="1"/>
    </xf>
    <xf numFmtId="0" fontId="24" fillId="0" borderId="1" xfId="0" applyFont="1" applyBorder="1" applyAlignment="1">
      <alignment horizontal="center" vertical="center"/>
    </xf>
    <xf numFmtId="4" fontId="24" fillId="0" borderId="1" xfId="0" applyNumberFormat="1" applyFont="1" applyBorder="1" applyAlignment="1">
      <alignment horizontal="center" vertical="center"/>
    </xf>
    <xf numFmtId="164" fontId="24" fillId="0" borderId="1" xfId="0" applyNumberFormat="1" applyFont="1" applyBorder="1" applyAlignment="1">
      <alignment horizontal="center" vertical="center"/>
    </xf>
    <xf numFmtId="49" fontId="25" fillId="0" borderId="1" xfId="0" applyNumberFormat="1" applyFont="1" applyBorder="1" applyAlignment="1">
      <alignment horizontal="right" vertical="center"/>
    </xf>
    <xf numFmtId="49" fontId="24" fillId="0" borderId="0" xfId="0" applyNumberFormat="1" applyFont="1" applyAlignment="1">
      <alignment horizontal="right" vertical="center"/>
    </xf>
    <xf numFmtId="0" fontId="25" fillId="0" borderId="0" xfId="0" applyFont="1" applyAlignment="1">
      <alignment horizontal="right" vertical="center"/>
    </xf>
    <xf numFmtId="0" fontId="8" fillId="0" borderId="1" xfId="0" applyFont="1" applyBorder="1" applyAlignment="1">
      <alignment horizontal="justify" vertical="top" wrapText="1"/>
    </xf>
    <xf numFmtId="0" fontId="7" fillId="0" borderId="1" xfId="7" applyBorder="1" applyAlignment="1">
      <alignment horizontal="center"/>
    </xf>
    <xf numFmtId="0" fontId="27" fillId="0" borderId="1" xfId="7" applyFont="1" applyBorder="1"/>
    <xf numFmtId="0" fontId="7" fillId="0" borderId="1" xfId="7" applyBorder="1"/>
    <xf numFmtId="166" fontId="7" fillId="0" borderId="1" xfId="7" applyNumberFormat="1" applyBorder="1" applyAlignment="1">
      <alignment horizontal="center"/>
    </xf>
    <xf numFmtId="165" fontId="7" fillId="0" borderId="1" xfId="7" applyNumberFormat="1" applyBorder="1"/>
    <xf numFmtId="49" fontId="5" fillId="0" borderId="0" xfId="7" applyNumberFormat="1" applyFont="1" applyAlignment="1">
      <alignment horizontal="center" vertical="top"/>
    </xf>
    <xf numFmtId="0" fontId="5" fillId="0" borderId="0" xfId="7" applyFont="1" applyAlignment="1">
      <alignment horizontal="left" wrapText="1"/>
    </xf>
    <xf numFmtId="0" fontId="5" fillId="0" borderId="0" xfId="7" applyFont="1" applyAlignment="1">
      <alignment horizontal="center"/>
    </xf>
    <xf numFmtId="4" fontId="5" fillId="0" borderId="0" xfId="7" applyNumberFormat="1" applyFont="1" applyAlignment="1">
      <alignment horizontal="right"/>
    </xf>
    <xf numFmtId="164" fontId="5" fillId="0" borderId="0" xfId="7" applyNumberFormat="1" applyFont="1" applyAlignment="1">
      <alignment horizontal="right"/>
    </xf>
    <xf numFmtId="3" fontId="5" fillId="0" borderId="0" xfId="7" applyNumberFormat="1" applyFont="1" applyAlignment="1">
      <alignment horizontal="right"/>
    </xf>
    <xf numFmtId="16" fontId="24" fillId="0" borderId="1" xfId="0" applyNumberFormat="1" applyFont="1" applyBorder="1" applyAlignment="1">
      <alignment horizontal="center" vertical="center"/>
    </xf>
    <xf numFmtId="0" fontId="15" fillId="0" borderId="0" xfId="8" applyFont="1" applyAlignment="1">
      <alignment horizontal="center" vertical="top"/>
    </xf>
    <xf numFmtId="0" fontId="14" fillId="0" borderId="0" xfId="8" applyFont="1" applyAlignment="1">
      <alignment horizontal="left" vertical="top"/>
    </xf>
    <xf numFmtId="0" fontId="14" fillId="0" borderId="0" xfId="8" applyFont="1" applyAlignment="1">
      <alignment horizontal="right"/>
    </xf>
    <xf numFmtId="166" fontId="14" fillId="0" borderId="0" xfId="8" applyNumberFormat="1" applyFont="1" applyAlignment="1">
      <alignment horizontal="center"/>
    </xf>
    <xf numFmtId="165" fontId="14" fillId="0" borderId="0" xfId="8" applyNumberFormat="1" applyFont="1" applyAlignment="1">
      <alignment horizontal="right"/>
    </xf>
    <xf numFmtId="164" fontId="14" fillId="0" borderId="0" xfId="8" applyNumberFormat="1" applyFont="1" applyAlignment="1">
      <alignment horizontal="right"/>
    </xf>
    <xf numFmtId="0" fontId="4" fillId="0" borderId="2" xfId="8" applyFont="1" applyBorder="1" applyAlignment="1">
      <alignment horizontal="left" vertical="center" wrapText="1"/>
    </xf>
    <xf numFmtId="0" fontId="14" fillId="0" borderId="5" xfId="8" applyFont="1" applyBorder="1" applyAlignment="1">
      <alignment horizontal="center" vertical="top"/>
    </xf>
    <xf numFmtId="0" fontId="14" fillId="0" borderId="5" xfId="8" applyFont="1" applyBorder="1" applyAlignment="1">
      <alignment horizontal="left"/>
    </xf>
    <xf numFmtId="0" fontId="14" fillId="0" borderId="5" xfId="8" applyFont="1" applyBorder="1" applyAlignment="1">
      <alignment horizontal="right"/>
    </xf>
    <xf numFmtId="166" fontId="14" fillId="0" borderId="5" xfId="8" applyNumberFormat="1" applyFont="1" applyBorder="1" applyAlignment="1">
      <alignment horizontal="center"/>
    </xf>
    <xf numFmtId="165" fontId="14" fillId="0" borderId="5" xfId="8" applyNumberFormat="1" applyFont="1" applyBorder="1" applyAlignment="1">
      <alignment horizontal="right"/>
    </xf>
    <xf numFmtId="164" fontId="13" fillId="0" borderId="5" xfId="8" applyNumberFormat="1" applyFont="1" applyBorder="1" applyAlignment="1">
      <alignment horizontal="right"/>
    </xf>
    <xf numFmtId="0" fontId="14" fillId="0" borderId="0" xfId="8" applyFont="1" applyAlignment="1">
      <alignment horizontal="centerContinuous"/>
    </xf>
    <xf numFmtId="164" fontId="13" fillId="0" borderId="0" xfId="8" applyNumberFormat="1" applyFont="1" applyAlignment="1">
      <alignment horizontal="right"/>
    </xf>
    <xf numFmtId="0" fontId="13" fillId="0" borderId="0" xfId="8" quotePrefix="1" applyFont="1" applyAlignment="1">
      <alignment horizontal="left"/>
    </xf>
    <xf numFmtId="0" fontId="10" fillId="0" borderId="0" xfId="8" applyFont="1" applyAlignment="1">
      <alignment horizontal="center"/>
    </xf>
    <xf numFmtId="166" fontId="10" fillId="0" borderId="0" xfId="8" applyNumberFormat="1" applyFont="1" applyAlignment="1">
      <alignment horizontal="center"/>
    </xf>
    <xf numFmtId="165" fontId="10" fillId="0" borderId="0" xfId="8" applyNumberFormat="1" applyFont="1" applyAlignment="1">
      <alignment horizontal="right"/>
    </xf>
    <xf numFmtId="164" fontId="10" fillId="0" borderId="0" xfId="8" applyNumberFormat="1" applyFont="1" applyAlignment="1">
      <alignment horizontal="right"/>
    </xf>
    <xf numFmtId="49" fontId="11" fillId="0" borderId="0" xfId="8" applyNumberFormat="1" applyFont="1" applyAlignment="1">
      <alignment horizontal="center"/>
    </xf>
    <xf numFmtId="49" fontId="9" fillId="0" borderId="0" xfId="8" applyNumberFormat="1" applyFont="1" applyAlignment="1">
      <alignment horizontal="center"/>
    </xf>
    <xf numFmtId="0" fontId="5" fillId="0" borderId="0" xfId="8" applyFont="1" applyAlignment="1">
      <alignment horizontal="center"/>
    </xf>
    <xf numFmtId="166" fontId="5" fillId="0" borderId="0" xfId="8" applyNumberFormat="1" applyFont="1" applyAlignment="1">
      <alignment horizontal="center"/>
    </xf>
    <xf numFmtId="165" fontId="5" fillId="0" borderId="0" xfId="8" applyNumberFormat="1" applyFont="1" applyAlignment="1">
      <alignment horizontal="right"/>
    </xf>
    <xf numFmtId="164" fontId="5" fillId="0" borderId="0" xfId="8" applyNumberFormat="1" applyFont="1" applyAlignment="1">
      <alignment horizontal="right"/>
    </xf>
    <xf numFmtId="166" fontId="7" fillId="0" borderId="0" xfId="7" applyNumberFormat="1" applyAlignment="1">
      <alignment horizontal="center"/>
    </xf>
    <xf numFmtId="165" fontId="7" fillId="0" borderId="0" xfId="7" applyNumberFormat="1"/>
    <xf numFmtId="0" fontId="4" fillId="2" borderId="1" xfId="8" applyFont="1" applyFill="1" applyBorder="1" applyAlignment="1">
      <alignment horizontal="center" vertical="center" wrapText="1"/>
    </xf>
    <xf numFmtId="0" fontId="21" fillId="2" borderId="1" xfId="8" applyFont="1" applyFill="1" applyBorder="1" applyAlignment="1">
      <alignment horizontal="center" vertical="center" wrapText="1"/>
    </xf>
    <xf numFmtId="164" fontId="4" fillId="2" borderId="1" xfId="8" applyNumberFormat="1" applyFont="1" applyFill="1" applyBorder="1" applyAlignment="1">
      <alignment horizontal="center" vertical="center" wrapText="1"/>
    </xf>
    <xf numFmtId="16" fontId="31" fillId="0" borderId="1" xfId="0" applyNumberFormat="1" applyFont="1" applyBorder="1" applyAlignment="1">
      <alignment horizontal="center" vertical="center"/>
    </xf>
    <xf numFmtId="0" fontId="31" fillId="0" borderId="1" xfId="0" applyFont="1" applyBorder="1" applyAlignment="1">
      <alignment vertical="top" wrapText="1"/>
    </xf>
    <xf numFmtId="0" fontId="31" fillId="0" borderId="1" xfId="0" applyFont="1" applyBorder="1" applyAlignment="1">
      <alignment horizontal="center"/>
    </xf>
    <xf numFmtId="4" fontId="31" fillId="0" borderId="1" xfId="0" applyNumberFormat="1" applyFont="1" applyBorder="1" applyAlignment="1">
      <alignment horizontal="center"/>
    </xf>
    <xf numFmtId="0" fontId="30" fillId="0" borderId="0" xfId="0" applyFont="1"/>
    <xf numFmtId="16" fontId="25" fillId="2" borderId="1" xfId="0" applyNumberFormat="1" applyFont="1" applyFill="1" applyBorder="1" applyAlignment="1">
      <alignment horizontal="center" vertical="center"/>
    </xf>
    <xf numFmtId="0" fontId="24" fillId="2" borderId="1" xfId="0" applyFont="1" applyFill="1" applyBorder="1" applyAlignment="1">
      <alignment vertical="center" wrapText="1"/>
    </xf>
    <xf numFmtId="0" fontId="3" fillId="2" borderId="1" xfId="0" applyFont="1" applyFill="1" applyBorder="1" applyAlignment="1">
      <alignment horizontal="center" vertical="center"/>
    </xf>
    <xf numFmtId="4" fontId="3" fillId="2" borderId="1" xfId="0" applyNumberFormat="1" applyFont="1" applyFill="1" applyBorder="1" applyAlignment="1">
      <alignment horizontal="center" vertical="center"/>
    </xf>
    <xf numFmtId="164" fontId="3" fillId="2" borderId="1" xfId="0" applyNumberFormat="1" applyFont="1" applyFill="1" applyBorder="1" applyAlignment="1">
      <alignment horizontal="center" vertical="center"/>
    </xf>
    <xf numFmtId="0" fontId="31" fillId="0" borderId="0" xfId="0" applyFont="1" applyAlignment="1">
      <alignment vertical="center" wrapText="1"/>
    </xf>
    <xf numFmtId="0" fontId="31" fillId="0" borderId="0" xfId="0" applyFont="1" applyAlignment="1">
      <alignment horizontal="left" vertical="center" wrapText="1"/>
    </xf>
    <xf numFmtId="0" fontId="5" fillId="0" borderId="0" xfId="0" applyFont="1" applyAlignment="1">
      <alignment horizontal="left" vertical="top" wrapText="1"/>
    </xf>
    <xf numFmtId="4" fontId="20" fillId="0" borderId="0" xfId="8" applyNumberFormat="1" applyFont="1" applyAlignment="1">
      <alignment horizontal="center" vertical="center" wrapText="1"/>
    </xf>
    <xf numFmtId="4" fontId="11" fillId="0" borderId="0" xfId="10" applyNumberFormat="1" applyFont="1" applyAlignment="1" applyProtection="1">
      <alignment horizontal="center" vertical="center" wrapText="1"/>
      <protection locked="0"/>
    </xf>
    <xf numFmtId="0" fontId="5" fillId="0" borderId="0" xfId="0" applyFont="1" applyAlignment="1" applyProtection="1">
      <alignment horizontal="justify" vertical="top" wrapText="1"/>
      <protection locked="0"/>
    </xf>
    <xf numFmtId="49" fontId="5" fillId="0" borderId="0" xfId="7" applyNumberFormat="1" applyFont="1" applyAlignment="1">
      <alignment horizontal="left" vertical="top" wrapText="1"/>
    </xf>
    <xf numFmtId="4" fontId="5" fillId="0" borderId="0" xfId="0" applyNumberFormat="1" applyFont="1" applyAlignment="1" applyProtection="1">
      <alignment horizontal="left" vertical="top" wrapText="1"/>
      <protection locked="0"/>
    </xf>
    <xf numFmtId="4" fontId="5" fillId="0" borderId="0" xfId="0" applyNumberFormat="1" applyFont="1" applyAlignment="1" applyProtection="1">
      <alignment horizontal="justify" vertical="center" wrapText="1"/>
      <protection locked="0"/>
    </xf>
    <xf numFmtId="0" fontId="5" fillId="0" borderId="0" xfId="8" applyFont="1" applyAlignment="1">
      <alignment horizontal="justify" vertical="top" wrapText="1"/>
    </xf>
    <xf numFmtId="0" fontId="22" fillId="0" borderId="0" xfId="0" applyFont="1" applyAlignment="1">
      <alignment horizontal="left" vertical="top" wrapText="1"/>
    </xf>
    <xf numFmtId="0" fontId="4" fillId="2" borderId="2" xfId="8" applyFont="1" applyFill="1" applyBorder="1" applyAlignment="1">
      <alignment horizontal="center" vertical="center" wrapText="1"/>
    </xf>
    <xf numFmtId="0" fontId="4" fillId="2" borderId="4" xfId="8" applyFont="1" applyFill="1" applyBorder="1" applyAlignment="1">
      <alignment horizontal="center" vertical="center" wrapText="1"/>
    </xf>
    <xf numFmtId="0" fontId="4" fillId="2" borderId="3" xfId="8" applyFont="1" applyFill="1" applyBorder="1" applyAlignment="1">
      <alignment horizontal="center" vertical="center" wrapText="1"/>
    </xf>
    <xf numFmtId="0" fontId="4" fillId="0" borderId="2" xfId="8" applyFont="1" applyBorder="1" applyAlignment="1">
      <alignment horizontal="center" vertical="center" wrapText="1"/>
    </xf>
    <xf numFmtId="0" fontId="4" fillId="0" borderId="4" xfId="8" applyFont="1" applyBorder="1" applyAlignment="1">
      <alignment horizontal="center" vertical="center" wrapText="1"/>
    </xf>
    <xf numFmtId="0" fontId="4" fillId="0" borderId="3" xfId="8" applyFont="1" applyBorder="1" applyAlignment="1">
      <alignment horizontal="center" vertical="center" wrapText="1"/>
    </xf>
    <xf numFmtId="0" fontId="4" fillId="0" borderId="2" xfId="8" applyFont="1" applyBorder="1" applyAlignment="1">
      <alignment horizontal="left" vertical="center" wrapText="1"/>
    </xf>
    <xf numFmtId="0" fontId="4" fillId="0" borderId="4" xfId="8" applyFont="1" applyBorder="1" applyAlignment="1">
      <alignment horizontal="left" vertical="center" wrapText="1"/>
    </xf>
    <xf numFmtId="0" fontId="4" fillId="0" borderId="3" xfId="8" applyFont="1" applyBorder="1" applyAlignment="1">
      <alignment horizontal="left" vertical="center" wrapText="1"/>
    </xf>
    <xf numFmtId="0" fontId="9" fillId="0" borderId="0" xfId="0" applyFont="1" applyAlignment="1">
      <alignment horizontal="left" vertical="top" wrapText="1"/>
    </xf>
  </cellXfs>
  <cellStyles count="11">
    <cellStyle name="Explanatory Text 2" xfId="9" xr:uid="{00000000-0005-0000-0000-000000000000}"/>
    <cellStyle name="Normal" xfId="0" builtinId="0"/>
    <cellStyle name="Normal 2" xfId="7" xr:uid="{00000000-0005-0000-0000-000001000000}"/>
    <cellStyle name="Normal 2 5" xfId="5" xr:uid="{00000000-0005-0000-0000-000002000000}"/>
    <cellStyle name="Normal 3" xfId="1" xr:uid="{00000000-0005-0000-0000-000003000000}"/>
    <cellStyle name="Normal 3 2" xfId="4" xr:uid="{00000000-0005-0000-0000-000004000000}"/>
    <cellStyle name="Normal 3 2 2" xfId="8" xr:uid="{00000000-0005-0000-0000-000005000000}"/>
    <cellStyle name="Normal 3 3" xfId="2" xr:uid="{00000000-0005-0000-0000-000006000000}"/>
    <cellStyle name="Normal 3 9" xfId="3" xr:uid="{00000000-0005-0000-0000-000007000000}"/>
    <cellStyle name="Normal 6" xfId="10" xr:uid="{00000000-0005-0000-0000-000008000000}"/>
    <cellStyle name="Style 2" xfId="6" xr:uid="{00000000-0005-0000-0000-00000A000000}"/>
  </cellStyles>
  <dxfs count="0"/>
  <tableStyles count="0" defaultTableStyle="TableStyleMedium2" defaultPivotStyle="PivotStyleLight16"/>
  <colors>
    <mruColors>
      <color rgb="FF99FFCC"/>
      <color rgb="FFCCFF99"/>
      <color rgb="FFFFCC66"/>
      <color rgb="FFFFCC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105335</xdr:colOff>
      <xdr:row>231</xdr:row>
      <xdr:rowOff>129817</xdr:rowOff>
    </xdr:from>
    <xdr:to>
      <xdr:col>3</xdr:col>
      <xdr:colOff>1796863</xdr:colOff>
      <xdr:row>231</xdr:row>
      <xdr:rowOff>129817</xdr:rowOff>
    </xdr:to>
    <xdr:cxnSp macro="">
      <xdr:nvCxnSpPr>
        <xdr:cNvPr id="2" name="Straight Connector 1">
          <a:extLst>
            <a:ext uri="{FF2B5EF4-FFF2-40B4-BE49-F238E27FC236}">
              <a16:creationId xmlns:a16="http://schemas.microsoft.com/office/drawing/2014/main" id="{5691C784-572D-41A1-A036-0A2297743200}"/>
            </a:ext>
          </a:extLst>
        </xdr:cNvPr>
        <xdr:cNvCxnSpPr/>
      </xdr:nvCxnSpPr>
      <xdr:spPr>
        <a:xfrm>
          <a:off x="1324535" y="16160392"/>
          <a:ext cx="500903" cy="0"/>
        </a:xfrm>
        <a:prstGeom prst="line">
          <a:avLst/>
        </a:prstGeom>
        <a:noFill/>
        <a:ln w="9525" cap="flat" cmpd="sng" algn="ctr">
          <a:solidFill>
            <a:sysClr val="windowText" lastClr="000000"/>
          </a:solidFill>
          <a:prstDash val="sysDash"/>
          <a:headEnd type="none" w="med" len="med"/>
          <a:tailEnd type="none" w="med" len="med"/>
        </a:ln>
        <a:effectLst/>
      </xdr:spPr>
    </xdr:cxnSp>
    <xdr:clientData/>
  </xdr:twoCellAnchor>
  <xdr:twoCellAnchor>
    <xdr:from>
      <xdr:col>4</xdr:col>
      <xdr:colOff>503552</xdr:colOff>
      <xdr:row>231</xdr:row>
      <xdr:rowOff>139188</xdr:rowOff>
    </xdr:from>
    <xdr:to>
      <xdr:col>7</xdr:col>
      <xdr:colOff>711829</xdr:colOff>
      <xdr:row>231</xdr:row>
      <xdr:rowOff>139188</xdr:rowOff>
    </xdr:to>
    <xdr:cxnSp macro="">
      <xdr:nvCxnSpPr>
        <xdr:cNvPr id="3" name="Straight Connector 2">
          <a:extLst>
            <a:ext uri="{FF2B5EF4-FFF2-40B4-BE49-F238E27FC236}">
              <a16:creationId xmlns:a16="http://schemas.microsoft.com/office/drawing/2014/main" id="{E16530C1-80A3-4218-A9FB-DD93783E2020}"/>
            </a:ext>
          </a:extLst>
        </xdr:cNvPr>
        <xdr:cNvCxnSpPr/>
      </xdr:nvCxnSpPr>
      <xdr:spPr>
        <a:xfrm>
          <a:off x="2332352" y="16169763"/>
          <a:ext cx="1932302" cy="0"/>
        </a:xfrm>
        <a:prstGeom prst="line">
          <a:avLst/>
        </a:prstGeom>
        <a:noFill/>
        <a:ln w="9525" cap="flat" cmpd="sng" algn="ctr">
          <a:solidFill>
            <a:sysClr val="windowText" lastClr="000000"/>
          </a:solidFill>
          <a:prstDash val="sysDash"/>
          <a:headEnd type="none" w="med" len="med"/>
          <a:tailEnd type="none" w="med" len="med"/>
        </a:ln>
        <a:effectLst/>
      </xdr:spPr>
    </xdr:cxnSp>
    <xdr:clientData/>
  </xdr:twoCellAnchor>
  <xdr:twoCellAnchor>
    <xdr:from>
      <xdr:col>1</xdr:col>
      <xdr:colOff>257176</xdr:colOff>
      <xdr:row>5</xdr:row>
      <xdr:rowOff>9525</xdr:rowOff>
    </xdr:from>
    <xdr:to>
      <xdr:col>3</xdr:col>
      <xdr:colOff>1238250</xdr:colOff>
      <xdr:row>5</xdr:row>
      <xdr:rowOff>161925</xdr:rowOff>
    </xdr:to>
    <xdr:sp macro="" textlink="">
      <xdr:nvSpPr>
        <xdr:cNvPr id="4" name="TextBox 3">
          <a:extLst>
            <a:ext uri="{FF2B5EF4-FFF2-40B4-BE49-F238E27FC236}">
              <a16:creationId xmlns:a16="http://schemas.microsoft.com/office/drawing/2014/main" id="{ED5362DD-6662-48F2-AE50-A2C282535B8C}"/>
            </a:ext>
          </a:extLst>
        </xdr:cNvPr>
        <xdr:cNvSpPr txBox="1"/>
      </xdr:nvSpPr>
      <xdr:spPr>
        <a:xfrm>
          <a:off x="257176" y="495300"/>
          <a:ext cx="1571624" cy="152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hr-HR" sz="900" b="1">
              <a:latin typeface="Aptos" panose="020B0004020202020204" pitchFamily="34" charset="0"/>
            </a:rPr>
            <a:t>Oznaka</a:t>
          </a:r>
          <a:r>
            <a:rPr lang="hr-HR" sz="900" b="1" baseline="0">
              <a:latin typeface="Aptos" panose="020B0004020202020204" pitchFamily="34" charset="0"/>
            </a:rPr>
            <a:t> ugovora:</a:t>
          </a:r>
          <a:endParaRPr lang="en-US" sz="900" b="1">
            <a:latin typeface="Aptos" panose="020B0004020202020204" pitchFamily="34" charset="0"/>
          </a:endParaRPr>
        </a:p>
      </xdr:txBody>
    </xdr:sp>
    <xdr:clientData/>
  </xdr:twoCellAnchor>
  <xdr:oneCellAnchor>
    <xdr:from>
      <xdr:col>4</xdr:col>
      <xdr:colOff>353545</xdr:colOff>
      <xdr:row>227</xdr:row>
      <xdr:rowOff>33056</xdr:rowOff>
    </xdr:from>
    <xdr:ext cx="2381250" cy="781050"/>
    <xdr:sp macro="" textlink="">
      <xdr:nvSpPr>
        <xdr:cNvPr id="5" name="TextBox 4">
          <a:extLst>
            <a:ext uri="{FF2B5EF4-FFF2-40B4-BE49-F238E27FC236}">
              <a16:creationId xmlns:a16="http://schemas.microsoft.com/office/drawing/2014/main" id="{D6E1F32E-EDED-4CF5-B831-F14F5CA1DABD}"/>
            </a:ext>
          </a:extLst>
        </xdr:cNvPr>
        <xdr:cNvSpPr txBox="1"/>
      </xdr:nvSpPr>
      <xdr:spPr>
        <a:xfrm>
          <a:off x="2182345" y="15415931"/>
          <a:ext cx="2381250" cy="7810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hr-HR" sz="1300" b="0">
              <a:latin typeface="Aptos" panose="020B0004020202020204" pitchFamily="34" charset="0"/>
              <a:cs typeface="Arial" pitchFamily="34" charset="0"/>
            </a:rPr>
            <a:t>Za</a:t>
          </a:r>
          <a:r>
            <a:rPr lang="hr-HR" sz="1300" b="0" baseline="0">
              <a:latin typeface="Aptos" panose="020B0004020202020204" pitchFamily="34" charset="0"/>
              <a:cs typeface="Arial" pitchFamily="34" charset="0"/>
            </a:rPr>
            <a:t> naručitelja:</a:t>
          </a:r>
          <a:endParaRPr lang="hr-HR" sz="1300" b="0">
            <a:latin typeface="Aptos" panose="020B0004020202020204" pitchFamily="34" charset="0"/>
            <a:cs typeface="Arial" pitchFamily="34" charset="0"/>
          </a:endParaRPr>
        </a:p>
        <a:p>
          <a:pPr algn="ctr"/>
          <a:endParaRPr lang="hr-HR" sz="1100">
            <a:latin typeface="Arial" pitchFamily="34" charset="0"/>
            <a:cs typeface="Arial" pitchFamily="34" charset="0"/>
          </a:endParaRPr>
        </a:p>
        <a:p>
          <a:pPr algn="ctr"/>
          <a:endParaRPr lang="hr-HR" sz="1100">
            <a:latin typeface="Arial" pitchFamily="34" charset="0"/>
            <a:cs typeface="Arial" pitchFamily="34" charset="0"/>
          </a:endParaRPr>
        </a:p>
      </xdr:txBody>
    </xdr:sp>
    <xdr:clientData/>
  </xdr:oneCellAnchor>
  <xdr:oneCellAnchor>
    <xdr:from>
      <xdr:col>2</xdr:col>
      <xdr:colOff>457200</xdr:colOff>
      <xdr:row>227</xdr:row>
      <xdr:rowOff>19050</xdr:rowOff>
    </xdr:from>
    <xdr:ext cx="2628900" cy="790575"/>
    <xdr:sp macro="" textlink="">
      <xdr:nvSpPr>
        <xdr:cNvPr id="6" name="TextBox 5">
          <a:extLst>
            <a:ext uri="{FF2B5EF4-FFF2-40B4-BE49-F238E27FC236}">
              <a16:creationId xmlns:a16="http://schemas.microsoft.com/office/drawing/2014/main" id="{9FC5E142-AB6E-40B8-9AB8-B41626E8A1F6}"/>
            </a:ext>
          </a:extLst>
        </xdr:cNvPr>
        <xdr:cNvSpPr txBox="1"/>
      </xdr:nvSpPr>
      <xdr:spPr>
        <a:xfrm>
          <a:off x="723900" y="48863250"/>
          <a:ext cx="2628900" cy="7905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hr-HR" sz="1300" b="0" i="0" u="none" strike="noStrike" kern="0" cap="none" spc="0" normalizeH="0" baseline="0" noProof="0">
              <a:ln>
                <a:noFill/>
              </a:ln>
              <a:solidFill>
                <a:prstClr val="black"/>
              </a:solidFill>
              <a:effectLst/>
              <a:uLnTx/>
              <a:uFillTx/>
              <a:latin typeface="Aptos" panose="020B0004020202020204" pitchFamily="34" charset="0"/>
              <a:ea typeface="+mn-ea"/>
              <a:cs typeface="Arial" pitchFamily="34" charset="0"/>
            </a:rPr>
            <a:t>Za izvoditelja:</a:t>
          </a:r>
        </a:p>
        <a:p>
          <a:pPr algn="ctr"/>
          <a:endParaRPr lang="hr-HR" sz="1100">
            <a:latin typeface="Arial" pitchFamily="34" charset="0"/>
            <a:cs typeface="Arial" pitchFamily="34" charset="0"/>
          </a:endParaRPr>
        </a:p>
        <a:p>
          <a:pPr algn="ctr"/>
          <a:endParaRPr lang="hr-HR" sz="1100">
            <a:latin typeface="Arial" pitchFamily="34" charset="0"/>
            <a:cs typeface="Arial" pitchFamily="34" charset="0"/>
          </a:endParaRPr>
        </a:p>
      </xdr:txBody>
    </xdr:sp>
    <xdr:clientData/>
  </xdr:oneCellAnchor>
  <xdr:twoCellAnchor>
    <xdr:from>
      <xdr:col>4</xdr:col>
      <xdr:colOff>521482</xdr:colOff>
      <xdr:row>239</xdr:row>
      <xdr:rowOff>58507</xdr:rowOff>
    </xdr:from>
    <xdr:to>
      <xdr:col>7</xdr:col>
      <xdr:colOff>729759</xdr:colOff>
      <xdr:row>239</xdr:row>
      <xdr:rowOff>58507</xdr:rowOff>
    </xdr:to>
    <xdr:cxnSp macro="">
      <xdr:nvCxnSpPr>
        <xdr:cNvPr id="7" name="Straight Connector 6">
          <a:extLst>
            <a:ext uri="{FF2B5EF4-FFF2-40B4-BE49-F238E27FC236}">
              <a16:creationId xmlns:a16="http://schemas.microsoft.com/office/drawing/2014/main" id="{FFAA5496-A1E7-4EA8-997B-1F2EE831EF0B}"/>
            </a:ext>
          </a:extLst>
        </xdr:cNvPr>
        <xdr:cNvCxnSpPr/>
      </xdr:nvCxnSpPr>
      <xdr:spPr>
        <a:xfrm>
          <a:off x="2350282" y="17384482"/>
          <a:ext cx="1913252" cy="0"/>
        </a:xfrm>
        <a:prstGeom prst="line">
          <a:avLst/>
        </a:prstGeom>
        <a:noFill/>
        <a:ln w="9525" cap="flat" cmpd="sng" algn="ctr">
          <a:solidFill>
            <a:sysClr val="windowText" lastClr="000000"/>
          </a:solidFill>
          <a:prstDash val="sysDash"/>
          <a:headEnd type="none" w="med" len="med"/>
          <a:tailEnd type="none" w="med" len="med"/>
        </a:ln>
        <a:effectLst/>
      </xdr:spPr>
    </xdr:cxnSp>
    <xdr:clientData/>
  </xdr:twoCellAnchor>
  <xdr:oneCellAnchor>
    <xdr:from>
      <xdr:col>4</xdr:col>
      <xdr:colOff>371475</xdr:colOff>
      <xdr:row>234</xdr:row>
      <xdr:rowOff>0</xdr:rowOff>
    </xdr:from>
    <xdr:ext cx="2381250" cy="781050"/>
    <xdr:sp macro="" textlink="">
      <xdr:nvSpPr>
        <xdr:cNvPr id="8" name="TextBox 7">
          <a:extLst>
            <a:ext uri="{FF2B5EF4-FFF2-40B4-BE49-F238E27FC236}">
              <a16:creationId xmlns:a16="http://schemas.microsoft.com/office/drawing/2014/main" id="{161C7A69-E90E-49E8-863E-080DFAC52A60}"/>
            </a:ext>
          </a:extLst>
        </xdr:cNvPr>
        <xdr:cNvSpPr txBox="1"/>
      </xdr:nvSpPr>
      <xdr:spPr>
        <a:xfrm>
          <a:off x="2200275" y="16516350"/>
          <a:ext cx="2381250" cy="7810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hr-HR" sz="1300" b="0">
              <a:latin typeface="Aptos" panose="020B0004020202020204" pitchFamily="34" charset="0"/>
              <a:cs typeface="Arial" pitchFamily="34" charset="0"/>
            </a:rPr>
            <a:t>Za</a:t>
          </a:r>
          <a:r>
            <a:rPr lang="hr-HR" sz="1300" b="0" baseline="0">
              <a:latin typeface="Aptos" panose="020B0004020202020204" pitchFamily="34" charset="0"/>
              <a:cs typeface="Arial" pitchFamily="34" charset="0"/>
            </a:rPr>
            <a:t> naručitelja-upravitelja:</a:t>
          </a:r>
          <a:endParaRPr lang="hr-HR" sz="1300" b="0">
            <a:latin typeface="Aptos" panose="020B0004020202020204" pitchFamily="34" charset="0"/>
            <a:cs typeface="Arial" pitchFamily="34" charset="0"/>
          </a:endParaRPr>
        </a:p>
        <a:p>
          <a:pPr algn="ctr"/>
          <a:endParaRPr lang="hr-HR" sz="1100">
            <a:latin typeface="Arial" pitchFamily="34" charset="0"/>
            <a:cs typeface="Arial" pitchFamily="34" charset="0"/>
          </a:endParaRPr>
        </a:p>
        <a:p>
          <a:pPr algn="ctr"/>
          <a:endParaRPr lang="hr-HR" sz="1100">
            <a:latin typeface="Arial" pitchFamily="34" charset="0"/>
            <a:cs typeface="Arial" pitchFamily="34" charset="0"/>
          </a:endParaRPr>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33"/>
  <sheetViews>
    <sheetView tabSelected="1" view="pageBreakPreview" topLeftCell="A192" zoomScaleNormal="100" zoomScaleSheetLayoutView="100" workbookViewId="0">
      <selection activeCell="G181" sqref="G181"/>
    </sheetView>
  </sheetViews>
  <sheetFormatPr defaultRowHeight="12.75"/>
  <cols>
    <col min="1" max="1" width="9.140625" style="1"/>
    <col min="2" max="2" width="4" style="1" customWidth="1"/>
    <col min="3" max="3" width="11.7109375" style="1" customWidth="1"/>
    <col min="4" max="4" width="46" style="1" customWidth="1"/>
    <col min="5" max="5" width="7.85546875" style="1" customWidth="1"/>
    <col min="6" max="6" width="9.140625" style="133"/>
    <col min="7" max="7" width="9.28515625" style="134" customWidth="1"/>
    <col min="8" max="8" width="12.85546875" style="1" bestFit="1" customWidth="1"/>
    <col min="9" max="9" width="3.85546875" style="1" customWidth="1"/>
    <col min="10" max="16384" width="9.140625" style="1"/>
  </cols>
  <sheetData>
    <row r="1" spans="2:10" ht="7.5" customHeight="1" thickBot="1">
      <c r="B1" s="12"/>
      <c r="C1" s="12"/>
      <c r="D1" s="12"/>
      <c r="E1" s="12"/>
      <c r="F1" s="13"/>
      <c r="G1" s="14"/>
      <c r="H1" s="12"/>
      <c r="I1" s="12"/>
    </row>
    <row r="2" spans="2:10" ht="5.25" customHeight="1" thickTop="1">
      <c r="B2" s="15"/>
      <c r="C2" s="15"/>
      <c r="D2" s="15"/>
      <c r="E2" s="15"/>
      <c r="F2" s="16"/>
      <c r="G2" s="17"/>
      <c r="H2" s="15"/>
      <c r="I2" s="15"/>
    </row>
    <row r="3" spans="2:10" ht="18" customHeight="1"/>
    <row r="4" spans="2:10" s="2" customFormat="1" ht="44.25" customHeight="1">
      <c r="C4" s="151" t="s">
        <v>157</v>
      </c>
      <c r="D4" s="151"/>
      <c r="E4" s="151"/>
      <c r="F4" s="151"/>
      <c r="G4" s="151"/>
      <c r="H4" s="151"/>
      <c r="I4" s="5"/>
      <c r="J4" s="5"/>
    </row>
    <row r="5" spans="2:10" s="2" customFormat="1" ht="21" customHeight="1">
      <c r="C5" s="18"/>
      <c r="D5" s="18"/>
      <c r="E5" s="18"/>
      <c r="F5" s="18"/>
      <c r="G5" s="18"/>
      <c r="H5" s="18"/>
      <c r="I5" s="5"/>
      <c r="J5" s="5"/>
    </row>
    <row r="6" spans="2:10" s="3" customFormat="1" ht="15" customHeight="1">
      <c r="C6" s="19"/>
      <c r="D6" s="20"/>
      <c r="E6" s="21"/>
      <c r="F6" s="152"/>
      <c r="G6" s="152"/>
      <c r="H6" s="22"/>
      <c r="I6" s="23"/>
      <c r="J6" s="4"/>
    </row>
    <row r="7" spans="2:10" s="3" customFormat="1" ht="16.5" customHeight="1">
      <c r="C7" s="24"/>
      <c r="D7" s="24"/>
      <c r="E7" s="24"/>
      <c r="F7" s="25"/>
      <c r="G7" s="26"/>
      <c r="H7" s="27"/>
      <c r="I7" s="4"/>
      <c r="J7" s="4"/>
    </row>
    <row r="8" spans="2:10" s="2" customFormat="1" ht="22.5">
      <c r="C8" s="28" t="s">
        <v>19</v>
      </c>
      <c r="D8" s="28" t="s">
        <v>18</v>
      </c>
      <c r="E8" s="28" t="s">
        <v>17</v>
      </c>
      <c r="F8" s="28" t="s">
        <v>0</v>
      </c>
      <c r="G8" s="28" t="s">
        <v>16</v>
      </c>
      <c r="H8" s="28" t="s">
        <v>15</v>
      </c>
      <c r="I8" s="5"/>
      <c r="J8" s="5"/>
    </row>
    <row r="9" spans="2:10" ht="13.5">
      <c r="C9" s="6"/>
      <c r="D9" s="29"/>
      <c r="E9" s="6"/>
      <c r="F9" s="30"/>
      <c r="G9" s="31"/>
      <c r="H9" s="6"/>
      <c r="I9" s="6"/>
      <c r="J9" s="6"/>
    </row>
    <row r="10" spans="2:10" s="8" customFormat="1">
      <c r="B10" s="32"/>
      <c r="C10" s="33"/>
      <c r="D10" s="34" t="s">
        <v>14</v>
      </c>
      <c r="E10" s="35"/>
      <c r="F10" s="36"/>
      <c r="G10" s="37"/>
      <c r="H10" s="37"/>
      <c r="I10" s="32"/>
    </row>
    <row r="11" spans="2:10" s="8" customFormat="1">
      <c r="B11" s="32"/>
      <c r="C11" s="153" t="s">
        <v>24</v>
      </c>
      <c r="D11" s="153"/>
      <c r="E11" s="153"/>
      <c r="F11" s="153"/>
      <c r="G11" s="153"/>
      <c r="H11" s="153"/>
      <c r="I11" s="32"/>
    </row>
    <row r="12" spans="2:10" s="10" customFormat="1" ht="57.75" customHeight="1">
      <c r="B12" s="9"/>
      <c r="C12" s="156" t="s">
        <v>21</v>
      </c>
      <c r="D12" s="156"/>
      <c r="E12" s="156"/>
      <c r="F12" s="156"/>
      <c r="G12" s="156"/>
      <c r="H12" s="156"/>
      <c r="I12" s="39"/>
    </row>
    <row r="13" spans="2:10" s="10" customFormat="1" ht="40.5" customHeight="1">
      <c r="B13" s="9"/>
      <c r="C13" s="155" t="s">
        <v>35</v>
      </c>
      <c r="D13" s="155"/>
      <c r="E13" s="155"/>
      <c r="F13" s="155"/>
      <c r="G13" s="155"/>
      <c r="H13" s="155"/>
      <c r="I13" s="39"/>
    </row>
    <row r="14" spans="2:10" s="10" customFormat="1" ht="30" customHeight="1">
      <c r="B14" s="9"/>
      <c r="C14" s="155" t="s">
        <v>31</v>
      </c>
      <c r="D14" s="155"/>
      <c r="E14" s="155"/>
      <c r="F14" s="155"/>
      <c r="G14" s="155"/>
      <c r="H14" s="155"/>
      <c r="I14" s="39"/>
    </row>
    <row r="15" spans="2:10" s="10" customFormat="1" ht="72.75" customHeight="1">
      <c r="B15" s="9"/>
      <c r="C15" s="155" t="s">
        <v>32</v>
      </c>
      <c r="D15" s="155"/>
      <c r="E15" s="155"/>
      <c r="F15" s="155"/>
      <c r="G15" s="155"/>
      <c r="H15" s="155"/>
      <c r="I15" s="39"/>
    </row>
    <row r="16" spans="2:10" s="10" customFormat="1" ht="31.5" customHeight="1">
      <c r="B16" s="9"/>
      <c r="C16" s="155" t="s">
        <v>34</v>
      </c>
      <c r="D16" s="155"/>
      <c r="E16" s="155"/>
      <c r="F16" s="155"/>
      <c r="G16" s="155"/>
      <c r="H16" s="155"/>
      <c r="I16" s="39"/>
    </row>
    <row r="17" spans="1:10" s="10" customFormat="1" ht="29.25" customHeight="1">
      <c r="B17" s="9"/>
      <c r="C17" s="155" t="s">
        <v>33</v>
      </c>
      <c r="D17" s="155"/>
      <c r="E17" s="155"/>
      <c r="F17" s="155"/>
      <c r="G17" s="155"/>
      <c r="H17" s="155"/>
      <c r="I17" s="39"/>
    </row>
    <row r="18" spans="1:10" s="3" customFormat="1" ht="25.5" customHeight="1">
      <c r="C18" s="157" t="s">
        <v>20</v>
      </c>
      <c r="D18" s="157"/>
      <c r="E18" s="157"/>
      <c r="F18" s="157"/>
      <c r="G18" s="157"/>
      <c r="H18" s="157"/>
      <c r="I18" s="40"/>
    </row>
    <row r="19" spans="1:10" s="10" customFormat="1" ht="93" customHeight="1">
      <c r="B19" s="9"/>
      <c r="C19" s="153" t="s">
        <v>25</v>
      </c>
      <c r="D19" s="153"/>
      <c r="E19" s="153"/>
      <c r="F19" s="153"/>
      <c r="G19" s="153"/>
      <c r="H19" s="153"/>
      <c r="I19" s="38"/>
    </row>
    <row r="20" spans="1:10" s="8" customFormat="1" ht="31.5" customHeight="1">
      <c r="B20" s="32"/>
      <c r="C20" s="154" t="s">
        <v>29</v>
      </c>
      <c r="D20" s="154"/>
      <c r="E20" s="154"/>
      <c r="F20" s="154"/>
      <c r="G20" s="154"/>
      <c r="H20" s="154"/>
      <c r="I20" s="32"/>
    </row>
    <row r="21" spans="1:10" s="8" customFormat="1" ht="31.5" customHeight="1">
      <c r="B21" s="32"/>
      <c r="C21" s="154" t="s">
        <v>30</v>
      </c>
      <c r="D21" s="154"/>
      <c r="E21" s="154"/>
      <c r="F21" s="154"/>
      <c r="G21" s="154"/>
      <c r="H21" s="154"/>
      <c r="I21" s="32"/>
    </row>
    <row r="22" spans="1:10" s="8" customFormat="1" ht="62.25" customHeight="1">
      <c r="B22" s="32"/>
      <c r="C22" s="154" t="s">
        <v>37</v>
      </c>
      <c r="D22" s="154"/>
      <c r="E22" s="154"/>
      <c r="F22" s="154"/>
      <c r="G22" s="154"/>
      <c r="H22" s="154"/>
      <c r="I22" s="32"/>
    </row>
    <row r="23" spans="1:10" customFormat="1" ht="15">
      <c r="A23" s="9"/>
      <c r="B23" s="9"/>
      <c r="C23" s="41"/>
      <c r="D23" s="42"/>
      <c r="E23" s="43"/>
      <c r="F23" s="44"/>
      <c r="G23" s="44"/>
      <c r="H23" s="45"/>
      <c r="I23" s="9"/>
      <c r="J23" s="9"/>
    </row>
    <row r="24" spans="1:10" customFormat="1" ht="14.25" customHeight="1">
      <c r="A24" s="9"/>
      <c r="B24" s="46"/>
      <c r="C24" s="135">
        <v>1</v>
      </c>
      <c r="D24" s="159" t="s">
        <v>22</v>
      </c>
      <c r="E24" s="160"/>
      <c r="F24" s="160"/>
      <c r="G24" s="160"/>
      <c r="H24" s="161"/>
      <c r="I24" s="9"/>
      <c r="J24" s="9"/>
    </row>
    <row r="25" spans="1:10" customFormat="1" ht="14.25" customHeight="1">
      <c r="A25" s="9"/>
      <c r="B25" s="9"/>
      <c r="C25" s="43"/>
      <c r="D25" s="50"/>
      <c r="E25" s="43"/>
      <c r="F25" s="44"/>
      <c r="G25" s="44"/>
      <c r="H25" s="45"/>
      <c r="I25" s="9"/>
      <c r="J25" s="9"/>
    </row>
    <row r="26" spans="1:10" s="2" customFormat="1" ht="22.5">
      <c r="C26" s="136" t="s">
        <v>19</v>
      </c>
      <c r="D26" s="136" t="s">
        <v>18</v>
      </c>
      <c r="E26" s="136" t="s">
        <v>17</v>
      </c>
      <c r="F26" s="136" t="s">
        <v>0</v>
      </c>
      <c r="G26" s="136" t="s">
        <v>16</v>
      </c>
      <c r="H26" s="136" t="s">
        <v>15</v>
      </c>
      <c r="I26" s="5"/>
      <c r="J26" s="5"/>
    </row>
    <row r="27" spans="1:10" customFormat="1" ht="305.25" customHeight="1">
      <c r="A27" s="9"/>
      <c r="B27" s="9"/>
      <c r="C27" s="51" t="s">
        <v>1</v>
      </c>
      <c r="D27" s="52" t="s">
        <v>155</v>
      </c>
      <c r="E27" s="53" t="s">
        <v>12</v>
      </c>
      <c r="F27" s="54">
        <v>1850</v>
      </c>
      <c r="G27" s="54">
        <v>11</v>
      </c>
      <c r="H27" s="55">
        <f>F27*G27</f>
        <v>20350</v>
      </c>
      <c r="I27" s="9"/>
      <c r="J27" s="9"/>
    </row>
    <row r="28" spans="1:10" customFormat="1" ht="15">
      <c r="A28" s="9"/>
      <c r="B28" s="9"/>
      <c r="C28" s="56"/>
      <c r="D28" s="57"/>
      <c r="E28" s="43"/>
      <c r="F28" s="44"/>
      <c r="G28" s="44"/>
      <c r="H28" s="45"/>
      <c r="I28" s="9"/>
      <c r="J28" s="9"/>
    </row>
    <row r="29" spans="1:10" customFormat="1" ht="214.5">
      <c r="A29" s="9"/>
      <c r="B29" s="9"/>
      <c r="C29" s="51" t="s">
        <v>4</v>
      </c>
      <c r="D29" s="58" t="s">
        <v>136</v>
      </c>
      <c r="E29" s="53" t="s">
        <v>3</v>
      </c>
      <c r="F29" s="54">
        <v>2</v>
      </c>
      <c r="G29" s="54">
        <v>400</v>
      </c>
      <c r="H29" s="55">
        <f>F29*G29</f>
        <v>800</v>
      </c>
      <c r="I29" s="9"/>
      <c r="J29" s="9"/>
    </row>
    <row r="30" spans="1:10" customFormat="1" ht="15">
      <c r="A30" s="9"/>
      <c r="B30" s="9"/>
      <c r="C30" s="56"/>
      <c r="D30" s="57"/>
      <c r="E30" s="43"/>
      <c r="F30" s="44"/>
      <c r="G30" s="44"/>
      <c r="H30" s="45"/>
      <c r="I30" s="9"/>
      <c r="J30" s="9"/>
    </row>
    <row r="31" spans="1:10" customFormat="1" ht="64.5" customHeight="1">
      <c r="A31" s="9"/>
      <c r="B31" s="9"/>
      <c r="C31" s="51" t="s">
        <v>5</v>
      </c>
      <c r="D31" s="58" t="s">
        <v>55</v>
      </c>
      <c r="E31" s="53" t="s">
        <v>56</v>
      </c>
      <c r="F31" s="54">
        <v>1</v>
      </c>
      <c r="G31" s="54">
        <v>900</v>
      </c>
      <c r="H31" s="55">
        <f>F31*G31</f>
        <v>900</v>
      </c>
      <c r="I31" s="9"/>
      <c r="J31" s="9"/>
    </row>
    <row r="32" spans="1:10" customFormat="1" ht="15">
      <c r="A32" s="9"/>
      <c r="B32" s="9"/>
      <c r="C32" s="56"/>
      <c r="D32" s="42"/>
      <c r="E32" s="43"/>
      <c r="F32" s="44"/>
      <c r="G32" s="44"/>
      <c r="H32" s="45"/>
      <c r="I32" s="9"/>
      <c r="J32" s="9"/>
    </row>
    <row r="33" spans="1:10" customFormat="1" ht="99.75">
      <c r="A33" s="9"/>
      <c r="B33" s="9"/>
      <c r="C33" s="51" t="s">
        <v>7</v>
      </c>
      <c r="D33" s="58" t="s">
        <v>62</v>
      </c>
      <c r="E33" s="53" t="s">
        <v>12</v>
      </c>
      <c r="F33" s="54">
        <v>2100</v>
      </c>
      <c r="G33" s="54">
        <v>3.9</v>
      </c>
      <c r="H33" s="55">
        <f>F33*G33</f>
        <v>8190</v>
      </c>
      <c r="I33" s="9"/>
      <c r="J33" s="9"/>
    </row>
    <row r="34" spans="1:10" customFormat="1" ht="15">
      <c r="A34" s="9"/>
      <c r="B34" s="9"/>
      <c r="C34" s="41"/>
      <c r="D34" s="42"/>
      <c r="E34" s="43"/>
      <c r="F34" s="44"/>
      <c r="G34" s="44"/>
      <c r="H34" s="45"/>
      <c r="I34" s="9"/>
      <c r="J34" s="9"/>
    </row>
    <row r="35" spans="1:10" customFormat="1" ht="17.25" customHeight="1">
      <c r="A35" s="9"/>
      <c r="B35" s="9"/>
      <c r="C35" s="47">
        <v>1</v>
      </c>
      <c r="D35" s="162" t="s">
        <v>98</v>
      </c>
      <c r="E35" s="163"/>
      <c r="F35" s="163"/>
      <c r="G35" s="164"/>
      <c r="H35" s="59">
        <f>SUM(H27:H33)</f>
        <v>30240</v>
      </c>
      <c r="I35" s="9"/>
      <c r="J35" s="9"/>
    </row>
    <row r="36" spans="1:10" customFormat="1" ht="15">
      <c r="A36" s="9"/>
      <c r="B36" s="9"/>
      <c r="C36" s="41"/>
      <c r="D36" s="42"/>
      <c r="E36" s="43"/>
      <c r="F36" s="44"/>
      <c r="G36" s="44"/>
      <c r="H36" s="45"/>
      <c r="I36" s="9"/>
      <c r="J36" s="9"/>
    </row>
    <row r="37" spans="1:10" customFormat="1" ht="15">
      <c r="A37" s="9"/>
      <c r="B37" s="9"/>
      <c r="C37" s="41"/>
      <c r="D37" s="42"/>
      <c r="E37" s="43"/>
      <c r="F37" s="44"/>
      <c r="G37" s="44"/>
      <c r="H37" s="45"/>
      <c r="I37" s="9"/>
      <c r="J37" s="9"/>
    </row>
    <row r="38" spans="1:10" customFormat="1" ht="14.25" customHeight="1">
      <c r="A38" s="9"/>
      <c r="B38" s="46"/>
      <c r="C38" s="135">
        <v>2</v>
      </c>
      <c r="D38" s="159" t="s">
        <v>64</v>
      </c>
      <c r="E38" s="160"/>
      <c r="F38" s="160"/>
      <c r="G38" s="160"/>
      <c r="H38" s="161"/>
      <c r="I38" s="9"/>
      <c r="J38" s="9"/>
    </row>
    <row r="39" spans="1:10" s="2" customFormat="1" ht="22.5">
      <c r="C39" s="136" t="s">
        <v>19</v>
      </c>
      <c r="D39" s="136" t="s">
        <v>18</v>
      </c>
      <c r="E39" s="136" t="s">
        <v>17</v>
      </c>
      <c r="F39" s="136" t="s">
        <v>0</v>
      </c>
      <c r="G39" s="136" t="s">
        <v>16</v>
      </c>
      <c r="H39" s="136" t="s">
        <v>15</v>
      </c>
      <c r="I39" s="5"/>
      <c r="J39" s="5"/>
    </row>
    <row r="40" spans="1:10" customFormat="1" ht="14.25" customHeight="1">
      <c r="A40" s="9"/>
      <c r="B40" s="9"/>
      <c r="C40" s="43"/>
      <c r="D40" s="50"/>
      <c r="E40" s="43"/>
      <c r="F40" s="44"/>
      <c r="G40" s="44"/>
      <c r="H40" s="45"/>
      <c r="I40" s="9"/>
      <c r="J40" s="9"/>
    </row>
    <row r="41" spans="1:10" customFormat="1" ht="30">
      <c r="A41" s="9"/>
      <c r="B41" s="9"/>
      <c r="C41" s="51" t="s">
        <v>2</v>
      </c>
      <c r="D41" s="60" t="s">
        <v>65</v>
      </c>
      <c r="E41" s="53"/>
      <c r="F41" s="54"/>
      <c r="G41" s="54"/>
      <c r="H41" s="55"/>
      <c r="I41" s="9"/>
      <c r="J41" s="9"/>
    </row>
    <row r="42" spans="1:10" customFormat="1" ht="99.75">
      <c r="A42" s="9"/>
      <c r="B42" s="9"/>
      <c r="C42" s="51"/>
      <c r="D42" s="61" t="s">
        <v>66</v>
      </c>
      <c r="E42" s="53" t="s">
        <v>12</v>
      </c>
      <c r="F42" s="54">
        <v>17.5</v>
      </c>
      <c r="G42" s="54">
        <v>12</v>
      </c>
      <c r="H42" s="55">
        <f>F42*G42</f>
        <v>210</v>
      </c>
      <c r="I42" s="9"/>
      <c r="J42" s="9"/>
    </row>
    <row r="43" spans="1:10" customFormat="1" ht="14.25" customHeight="1">
      <c r="A43" s="9"/>
      <c r="B43" s="9"/>
      <c r="C43" s="62"/>
      <c r="D43" s="50"/>
      <c r="E43" s="43"/>
      <c r="F43" s="44"/>
      <c r="G43" s="44"/>
      <c r="H43" s="45"/>
      <c r="I43" s="9"/>
      <c r="J43" s="9"/>
    </row>
    <row r="44" spans="1:10" customFormat="1" ht="30">
      <c r="A44" s="9"/>
      <c r="B44" s="9"/>
      <c r="C44" s="51" t="s">
        <v>107</v>
      </c>
      <c r="D44" s="60" t="s">
        <v>67</v>
      </c>
      <c r="E44" s="53"/>
      <c r="F44" s="54"/>
      <c r="G44" s="54"/>
      <c r="H44" s="55"/>
      <c r="I44" s="9"/>
      <c r="J44" s="9"/>
    </row>
    <row r="45" spans="1:10" customFormat="1" ht="99.75">
      <c r="A45" s="9"/>
      <c r="B45" s="9"/>
      <c r="C45" s="63"/>
      <c r="D45" s="64" t="s">
        <v>68</v>
      </c>
      <c r="E45" s="53" t="s">
        <v>12</v>
      </c>
      <c r="F45" s="54">
        <v>375</v>
      </c>
      <c r="G45" s="54">
        <v>34</v>
      </c>
      <c r="H45" s="55">
        <f>F45*G45</f>
        <v>12750</v>
      </c>
      <c r="I45" s="9"/>
      <c r="J45" s="9"/>
    </row>
    <row r="46" spans="1:10" customFormat="1" ht="14.25" customHeight="1">
      <c r="A46" s="9"/>
      <c r="B46" s="9"/>
      <c r="C46" s="62"/>
      <c r="D46" s="50"/>
      <c r="E46" s="43"/>
      <c r="F46" s="44"/>
      <c r="G46" s="44"/>
      <c r="H46" s="45"/>
      <c r="I46" s="9"/>
      <c r="J46" s="9"/>
    </row>
    <row r="47" spans="1:10" customFormat="1" ht="14.25" customHeight="1">
      <c r="A47" s="9"/>
      <c r="B47" s="9"/>
      <c r="C47" s="51" t="s">
        <v>108</v>
      </c>
      <c r="D47" s="65" t="s">
        <v>69</v>
      </c>
      <c r="E47" s="53"/>
      <c r="F47" s="54"/>
      <c r="G47" s="54"/>
      <c r="H47" s="55"/>
      <c r="I47" s="9"/>
      <c r="J47" s="9"/>
    </row>
    <row r="48" spans="1:10" customFormat="1" ht="57">
      <c r="A48" s="9"/>
      <c r="B48" s="9"/>
      <c r="C48" s="63"/>
      <c r="D48" s="61" t="s">
        <v>70</v>
      </c>
      <c r="E48" s="53" t="s">
        <v>11</v>
      </c>
      <c r="F48" s="54">
        <v>147.9</v>
      </c>
      <c r="G48" s="54">
        <v>13</v>
      </c>
      <c r="H48" s="55">
        <f>F48*G48</f>
        <v>1922.7</v>
      </c>
      <c r="I48" s="9"/>
      <c r="J48" s="9"/>
    </row>
    <row r="49" spans="1:10" customFormat="1" ht="14.25" customHeight="1">
      <c r="A49" s="9"/>
      <c r="B49" s="9"/>
      <c r="C49" s="43"/>
      <c r="D49" s="50"/>
      <c r="E49" s="43"/>
      <c r="F49" s="44"/>
      <c r="G49" s="44"/>
      <c r="H49" s="45"/>
      <c r="I49" s="9"/>
      <c r="J49" s="9"/>
    </row>
    <row r="50" spans="1:10" customFormat="1" ht="17.25" customHeight="1">
      <c r="A50" s="9"/>
      <c r="B50" s="9"/>
      <c r="C50" s="135">
        <v>2</v>
      </c>
      <c r="D50" s="159" t="s">
        <v>71</v>
      </c>
      <c r="E50" s="160"/>
      <c r="F50" s="160"/>
      <c r="G50" s="161"/>
      <c r="H50" s="137">
        <f>SUM(H41:H48)</f>
        <v>14882.7</v>
      </c>
      <c r="I50" s="9"/>
      <c r="J50" s="9"/>
    </row>
    <row r="51" spans="1:10" customFormat="1" ht="15">
      <c r="A51" s="9"/>
      <c r="B51" s="9"/>
      <c r="C51" s="41"/>
      <c r="D51" s="42"/>
      <c r="E51" s="43"/>
      <c r="F51" s="44"/>
      <c r="G51" s="44"/>
      <c r="H51" s="45"/>
      <c r="I51" s="9"/>
      <c r="J51" s="9"/>
    </row>
    <row r="52" spans="1:10" customFormat="1" ht="15">
      <c r="A52" s="9"/>
      <c r="B52" s="9"/>
      <c r="C52" s="41"/>
      <c r="D52" s="42"/>
      <c r="E52" s="43"/>
      <c r="F52" s="44"/>
      <c r="G52" s="44"/>
      <c r="H52" s="45"/>
      <c r="I52" s="9"/>
      <c r="J52" s="9"/>
    </row>
    <row r="53" spans="1:10" customFormat="1" ht="14.25" customHeight="1">
      <c r="A53" s="9"/>
      <c r="B53" s="46"/>
      <c r="C53" s="135">
        <v>3</v>
      </c>
      <c r="D53" s="159" t="s">
        <v>73</v>
      </c>
      <c r="E53" s="160"/>
      <c r="F53" s="160"/>
      <c r="G53" s="160"/>
      <c r="H53" s="161"/>
      <c r="I53" s="9"/>
      <c r="J53" s="9"/>
    </row>
    <row r="54" spans="1:10" s="2" customFormat="1" ht="22.5">
      <c r="C54" s="136" t="s">
        <v>19</v>
      </c>
      <c r="D54" s="136" t="s">
        <v>18</v>
      </c>
      <c r="E54" s="136" t="s">
        <v>17</v>
      </c>
      <c r="F54" s="136" t="s">
        <v>0</v>
      </c>
      <c r="G54" s="136" t="s">
        <v>16</v>
      </c>
      <c r="H54" s="136" t="s">
        <v>15</v>
      </c>
      <c r="I54" s="5"/>
      <c r="J54" s="5"/>
    </row>
    <row r="55" spans="1:10" customFormat="1" ht="14.25" customHeight="1">
      <c r="A55" s="9"/>
      <c r="B55" s="9"/>
      <c r="C55" s="43"/>
      <c r="D55" s="50"/>
      <c r="E55" s="43"/>
      <c r="F55" s="44"/>
      <c r="G55" s="44"/>
      <c r="H55" s="45"/>
      <c r="I55" s="9"/>
      <c r="J55" s="9"/>
    </row>
    <row r="56" spans="1:10" customFormat="1" ht="14.25" customHeight="1">
      <c r="A56" s="9"/>
      <c r="B56" s="9"/>
      <c r="C56" s="53" t="s">
        <v>6</v>
      </c>
      <c r="D56" s="60" t="s">
        <v>101</v>
      </c>
      <c r="E56" s="53"/>
      <c r="F56" s="54"/>
      <c r="G56" s="54"/>
      <c r="H56" s="55"/>
      <c r="I56" s="9"/>
      <c r="J56" s="9"/>
    </row>
    <row r="57" spans="1:10" customFormat="1" ht="71.25">
      <c r="A57" s="9"/>
      <c r="B57" s="9"/>
      <c r="C57" s="66"/>
      <c r="D57" s="61" t="s">
        <v>72</v>
      </c>
      <c r="E57" s="67" t="s">
        <v>3</v>
      </c>
      <c r="F57" s="68">
        <v>118</v>
      </c>
      <c r="G57" s="68">
        <v>100</v>
      </c>
      <c r="H57" s="69">
        <f>F57*G57</f>
        <v>11800</v>
      </c>
      <c r="I57" s="9"/>
      <c r="J57" s="9"/>
    </row>
    <row r="58" spans="1:10" customFormat="1" ht="49.5" customHeight="1">
      <c r="A58" s="9"/>
      <c r="B58" s="9"/>
      <c r="C58" s="43"/>
      <c r="D58" s="149" t="s">
        <v>160</v>
      </c>
      <c r="E58" s="43"/>
      <c r="F58" s="44"/>
      <c r="G58" s="44"/>
      <c r="H58" s="45"/>
      <c r="I58" s="9"/>
      <c r="J58" s="9"/>
    </row>
    <row r="59" spans="1:10" customFormat="1" ht="17.25" customHeight="1">
      <c r="A59" s="9"/>
      <c r="B59" s="9"/>
      <c r="C59" s="135">
        <v>3</v>
      </c>
      <c r="D59" s="159" t="s">
        <v>86</v>
      </c>
      <c r="E59" s="160"/>
      <c r="F59" s="160"/>
      <c r="G59" s="161"/>
      <c r="H59" s="137">
        <f>SUM(H56:H57)</f>
        <v>11800</v>
      </c>
      <c r="I59" s="9"/>
      <c r="J59" s="9"/>
    </row>
    <row r="60" spans="1:10" customFormat="1" ht="15">
      <c r="A60" s="9"/>
      <c r="B60" s="9"/>
      <c r="C60" s="41"/>
      <c r="D60" s="42"/>
      <c r="E60" s="43"/>
      <c r="F60" s="44"/>
      <c r="G60" s="44"/>
      <c r="H60" s="45"/>
      <c r="I60" s="9"/>
      <c r="J60" s="9"/>
    </row>
    <row r="61" spans="1:10" customFormat="1" ht="15">
      <c r="A61" s="9"/>
      <c r="B61" s="9"/>
      <c r="C61" s="41"/>
      <c r="D61" s="42"/>
      <c r="E61" s="43"/>
      <c r="F61" s="44"/>
      <c r="G61" s="44"/>
      <c r="H61" s="45"/>
      <c r="I61" s="9"/>
      <c r="J61" s="9"/>
    </row>
    <row r="62" spans="1:10" customFormat="1" ht="14.25" customHeight="1">
      <c r="A62" s="9"/>
      <c r="B62" s="46"/>
      <c r="C62" s="135">
        <v>4</v>
      </c>
      <c r="D62" s="159" t="s">
        <v>23</v>
      </c>
      <c r="E62" s="160"/>
      <c r="F62" s="160"/>
      <c r="G62" s="160"/>
      <c r="H62" s="161"/>
      <c r="I62" s="9"/>
      <c r="J62" s="9"/>
    </row>
    <row r="63" spans="1:10" s="2" customFormat="1" ht="22.5">
      <c r="C63" s="136" t="s">
        <v>19</v>
      </c>
      <c r="D63" s="136" t="s">
        <v>18</v>
      </c>
      <c r="E63" s="136" t="s">
        <v>17</v>
      </c>
      <c r="F63" s="136" t="s">
        <v>0</v>
      </c>
      <c r="G63" s="136" t="s">
        <v>16</v>
      </c>
      <c r="H63" s="136" t="s">
        <v>15</v>
      </c>
      <c r="I63" s="5"/>
      <c r="J63" s="5"/>
    </row>
    <row r="64" spans="1:10" customFormat="1" ht="14.25" customHeight="1">
      <c r="A64" s="9"/>
      <c r="B64" s="9"/>
      <c r="C64" s="43"/>
      <c r="D64" s="70" t="s">
        <v>75</v>
      </c>
      <c r="E64" s="43"/>
      <c r="F64" s="44"/>
      <c r="G64" s="44"/>
      <c r="H64" s="45"/>
      <c r="I64" s="9"/>
      <c r="J64" s="9"/>
    </row>
    <row r="65" spans="1:10" customFormat="1" ht="28.5">
      <c r="A65" s="9"/>
      <c r="B65" s="9"/>
      <c r="C65" s="66" t="s">
        <v>8</v>
      </c>
      <c r="D65" s="61" t="s">
        <v>76</v>
      </c>
      <c r="E65" s="53" t="s">
        <v>12</v>
      </c>
      <c r="F65" s="54">
        <v>225</v>
      </c>
      <c r="G65" s="54">
        <v>45</v>
      </c>
      <c r="H65" s="55">
        <f>F65*G65</f>
        <v>10125</v>
      </c>
      <c r="I65" s="9"/>
      <c r="J65" s="9"/>
    </row>
    <row r="66" spans="1:10" customFormat="1" ht="14.25" customHeight="1">
      <c r="A66" s="9"/>
      <c r="B66" s="9"/>
      <c r="C66" s="43"/>
      <c r="D66" s="50"/>
      <c r="E66" s="43"/>
      <c r="F66" s="44"/>
      <c r="G66" s="44"/>
      <c r="H66" s="45"/>
      <c r="I66" s="9"/>
      <c r="J66" s="9"/>
    </row>
    <row r="67" spans="1:10" customFormat="1" ht="14.25" customHeight="1">
      <c r="A67" s="9"/>
      <c r="B67" s="9"/>
      <c r="C67" s="43"/>
      <c r="D67" s="71" t="s">
        <v>77</v>
      </c>
      <c r="E67" s="43"/>
      <c r="F67" s="44"/>
      <c r="G67" s="44"/>
      <c r="H67" s="45"/>
      <c r="I67" s="9"/>
      <c r="J67" s="9"/>
    </row>
    <row r="68" spans="1:10" customFormat="1" ht="42.75">
      <c r="A68" s="9"/>
      <c r="B68" s="9"/>
      <c r="C68" s="66" t="s">
        <v>109</v>
      </c>
      <c r="D68" s="61" t="s">
        <v>137</v>
      </c>
      <c r="E68" s="53" t="s">
        <v>12</v>
      </c>
      <c r="F68" s="54">
        <v>150</v>
      </c>
      <c r="G68" s="54">
        <v>35</v>
      </c>
      <c r="H68" s="55">
        <f>F68*G68</f>
        <v>5250</v>
      </c>
      <c r="I68" s="9"/>
      <c r="J68" s="9"/>
    </row>
    <row r="69" spans="1:10" customFormat="1" ht="14.25" customHeight="1">
      <c r="A69" s="9"/>
      <c r="B69" s="9"/>
      <c r="C69" s="43"/>
      <c r="D69" s="50"/>
      <c r="E69" s="43"/>
      <c r="F69" s="44"/>
      <c r="G69" s="44"/>
      <c r="H69" s="45"/>
      <c r="I69" s="9"/>
      <c r="J69" s="9"/>
    </row>
    <row r="70" spans="1:10" customFormat="1" ht="14.25" customHeight="1">
      <c r="A70" s="9"/>
      <c r="B70" s="9"/>
      <c r="C70" s="43"/>
      <c r="D70" s="50"/>
      <c r="E70" s="43"/>
      <c r="F70" s="44"/>
      <c r="G70" s="44"/>
      <c r="H70" s="45"/>
      <c r="I70" s="9"/>
      <c r="J70" s="9"/>
    </row>
    <row r="71" spans="1:10" customFormat="1" ht="17.25" customHeight="1">
      <c r="A71" s="9"/>
      <c r="B71" s="9"/>
      <c r="C71" s="135">
        <v>4</v>
      </c>
      <c r="D71" s="159" t="s">
        <v>74</v>
      </c>
      <c r="E71" s="160"/>
      <c r="F71" s="160"/>
      <c r="G71" s="161"/>
      <c r="H71" s="137">
        <f>SUM(H65:H68)</f>
        <v>15375</v>
      </c>
      <c r="I71" s="9"/>
      <c r="J71" s="9"/>
    </row>
    <row r="72" spans="1:10" customFormat="1" ht="15">
      <c r="A72" s="9"/>
      <c r="B72" s="9"/>
      <c r="C72" s="41"/>
      <c r="D72" s="42"/>
      <c r="E72" s="43"/>
      <c r="F72" s="44"/>
      <c r="G72" s="44"/>
      <c r="H72" s="45"/>
      <c r="I72" s="9"/>
      <c r="J72" s="9"/>
    </row>
    <row r="73" spans="1:10" customFormat="1" ht="15">
      <c r="A73" s="9"/>
      <c r="B73" s="9"/>
      <c r="C73" s="41"/>
      <c r="D73" s="42"/>
      <c r="E73" s="43"/>
      <c r="F73" s="44"/>
      <c r="G73" s="44"/>
      <c r="H73" s="45"/>
      <c r="I73" s="9"/>
      <c r="J73" s="9"/>
    </row>
    <row r="74" spans="1:10" customFormat="1" ht="14.25" customHeight="1">
      <c r="A74" s="9"/>
      <c r="B74" s="46"/>
      <c r="C74" s="135">
        <v>5</v>
      </c>
      <c r="D74" s="159" t="s">
        <v>10</v>
      </c>
      <c r="E74" s="160"/>
      <c r="F74" s="160"/>
      <c r="G74" s="160"/>
      <c r="H74" s="161"/>
      <c r="I74" s="9"/>
      <c r="J74" s="9"/>
    </row>
    <row r="75" spans="1:10" s="2" customFormat="1" ht="22.5">
      <c r="C75" s="28" t="s">
        <v>19</v>
      </c>
      <c r="D75" s="28" t="s">
        <v>18</v>
      </c>
      <c r="E75" s="28" t="s">
        <v>17</v>
      </c>
      <c r="F75" s="28" t="s">
        <v>0</v>
      </c>
      <c r="G75" s="28" t="s">
        <v>16</v>
      </c>
      <c r="H75" s="28" t="s">
        <v>15</v>
      </c>
      <c r="I75" s="5"/>
      <c r="J75" s="5"/>
    </row>
    <row r="76" spans="1:10" customFormat="1" ht="14.25" customHeight="1">
      <c r="A76" s="9"/>
      <c r="B76" s="9"/>
      <c r="C76" s="43"/>
      <c r="D76" s="50"/>
      <c r="E76" s="43"/>
      <c r="F76" s="44"/>
      <c r="G76" s="44"/>
      <c r="H76" s="45"/>
      <c r="I76" s="9"/>
      <c r="J76" s="9"/>
    </row>
    <row r="77" spans="1:10" customFormat="1" ht="14.25" customHeight="1">
      <c r="A77" s="9"/>
      <c r="B77" s="9"/>
      <c r="C77" s="53" t="s">
        <v>9</v>
      </c>
      <c r="D77" s="60" t="s">
        <v>110</v>
      </c>
      <c r="E77" s="53"/>
      <c r="F77" s="54"/>
      <c r="G77" s="54"/>
      <c r="H77" s="55"/>
      <c r="I77" s="9"/>
      <c r="J77" s="9"/>
    </row>
    <row r="78" spans="1:10" customFormat="1" ht="171">
      <c r="A78" s="9"/>
      <c r="B78" s="9"/>
      <c r="C78" s="66"/>
      <c r="D78" s="61" t="s">
        <v>159</v>
      </c>
      <c r="E78" s="67" t="s">
        <v>12</v>
      </c>
      <c r="F78" s="68">
        <v>225</v>
      </c>
      <c r="G78" s="68">
        <v>45</v>
      </c>
      <c r="H78" s="69">
        <f>F78*G78</f>
        <v>10125</v>
      </c>
      <c r="I78" s="9"/>
      <c r="J78" s="9"/>
    </row>
    <row r="79" spans="1:10" customFormat="1" ht="14.25" customHeight="1">
      <c r="A79" s="9"/>
      <c r="B79" s="9"/>
      <c r="C79" s="43"/>
      <c r="D79" s="50"/>
      <c r="E79" s="43"/>
      <c r="F79" s="44"/>
      <c r="G79" s="44"/>
      <c r="H79" s="45"/>
      <c r="I79" s="9"/>
      <c r="J79" s="9"/>
    </row>
    <row r="80" spans="1:10" customFormat="1" ht="15">
      <c r="A80" s="9"/>
      <c r="B80" s="9"/>
      <c r="C80" s="66" t="s">
        <v>26</v>
      </c>
      <c r="D80" s="72" t="s">
        <v>111</v>
      </c>
      <c r="E80" s="53"/>
      <c r="F80" s="54"/>
      <c r="G80" s="54"/>
      <c r="H80" s="55"/>
      <c r="I80" s="9"/>
      <c r="J80" s="9"/>
    </row>
    <row r="81" spans="1:10" customFormat="1" ht="171">
      <c r="A81" s="9"/>
      <c r="B81" s="9"/>
      <c r="C81" s="66"/>
      <c r="D81" s="61" t="s">
        <v>159</v>
      </c>
      <c r="E81" s="67" t="s">
        <v>12</v>
      </c>
      <c r="F81" s="68">
        <v>150</v>
      </c>
      <c r="G81" s="68">
        <v>45</v>
      </c>
      <c r="H81" s="69">
        <f>F81*G81</f>
        <v>6750</v>
      </c>
      <c r="I81" s="9"/>
      <c r="J81" s="9"/>
    </row>
    <row r="82" spans="1:10" customFormat="1" ht="14.25" customHeight="1">
      <c r="A82" s="9"/>
      <c r="B82" s="9"/>
      <c r="C82" s="43"/>
      <c r="D82" s="50"/>
      <c r="E82" s="43"/>
      <c r="F82" s="44"/>
      <c r="G82" s="44"/>
      <c r="H82" s="45"/>
      <c r="I82" s="9"/>
      <c r="J82" s="9"/>
    </row>
    <row r="83" spans="1:10" customFormat="1" ht="15">
      <c r="A83" s="9"/>
      <c r="B83" s="9"/>
      <c r="C83" s="53" t="s">
        <v>27</v>
      </c>
      <c r="D83" s="72" t="s">
        <v>112</v>
      </c>
      <c r="E83" s="53"/>
      <c r="F83" s="54"/>
      <c r="G83" s="54"/>
      <c r="H83" s="55"/>
      <c r="I83" s="9"/>
      <c r="J83" s="9"/>
    </row>
    <row r="84" spans="1:10" customFormat="1" ht="71.25">
      <c r="A84" s="9"/>
      <c r="B84" s="9"/>
      <c r="C84" s="66"/>
      <c r="D84" s="61" t="s">
        <v>113</v>
      </c>
      <c r="E84" s="67" t="s">
        <v>12</v>
      </c>
      <c r="F84" s="68">
        <v>375</v>
      </c>
      <c r="G84" s="68">
        <v>33</v>
      </c>
      <c r="H84" s="69">
        <f>F84*G84</f>
        <v>12375</v>
      </c>
      <c r="I84" s="9"/>
      <c r="J84" s="9"/>
    </row>
    <row r="85" spans="1:10" customFormat="1" ht="14.25" customHeight="1">
      <c r="A85" s="9"/>
      <c r="B85" s="9"/>
      <c r="C85" s="43"/>
      <c r="D85" s="50"/>
      <c r="E85" s="43"/>
      <c r="F85" s="44"/>
      <c r="G85" s="44"/>
      <c r="H85" s="45"/>
      <c r="I85" s="9"/>
      <c r="J85" s="9"/>
    </row>
    <row r="86" spans="1:10" customFormat="1" ht="14.25" customHeight="1">
      <c r="A86" s="9"/>
      <c r="B86" s="9"/>
      <c r="C86" s="43"/>
      <c r="D86" s="50"/>
      <c r="E86" s="43"/>
      <c r="F86" s="44"/>
      <c r="G86" s="44"/>
      <c r="H86" s="45"/>
      <c r="I86" s="9"/>
      <c r="J86" s="9"/>
    </row>
    <row r="87" spans="1:10" customFormat="1" ht="17.25" customHeight="1">
      <c r="A87" s="9"/>
      <c r="B87" s="9"/>
      <c r="C87" s="135">
        <v>5</v>
      </c>
      <c r="D87" s="159" t="s">
        <v>78</v>
      </c>
      <c r="E87" s="160"/>
      <c r="F87" s="160"/>
      <c r="G87" s="161"/>
      <c r="H87" s="137">
        <f>SUM(H77:H84)</f>
        <v>29250</v>
      </c>
      <c r="I87" s="9"/>
      <c r="J87" s="9"/>
    </row>
    <row r="88" spans="1:10" customFormat="1" ht="15">
      <c r="A88" s="9"/>
      <c r="B88" s="9"/>
      <c r="C88" s="41"/>
      <c r="D88" s="42"/>
      <c r="E88" s="43"/>
      <c r="F88" s="44"/>
      <c r="G88" s="44"/>
      <c r="H88" s="45"/>
      <c r="I88" s="9"/>
      <c r="J88" s="9"/>
    </row>
    <row r="89" spans="1:10" customFormat="1" ht="15">
      <c r="A89" s="9"/>
      <c r="B89" s="9"/>
      <c r="C89" s="41"/>
      <c r="D89" s="42"/>
      <c r="E89" s="43"/>
      <c r="F89" s="44"/>
      <c r="G89" s="44"/>
      <c r="H89" s="45"/>
      <c r="I89" s="9"/>
      <c r="J89" s="9"/>
    </row>
    <row r="90" spans="1:10" customFormat="1" ht="14.25" customHeight="1">
      <c r="A90" s="9"/>
      <c r="B90" s="46"/>
      <c r="C90" s="135">
        <v>6</v>
      </c>
      <c r="D90" s="159" t="s">
        <v>79</v>
      </c>
      <c r="E90" s="160"/>
      <c r="F90" s="160"/>
      <c r="G90" s="160"/>
      <c r="H90" s="161"/>
      <c r="I90" s="9"/>
      <c r="J90" s="9"/>
    </row>
    <row r="91" spans="1:10" s="2" customFormat="1" ht="22.5">
      <c r="C91" s="136" t="s">
        <v>19</v>
      </c>
      <c r="D91" s="136" t="s">
        <v>18</v>
      </c>
      <c r="E91" s="136" t="s">
        <v>17</v>
      </c>
      <c r="F91" s="136" t="s">
        <v>0</v>
      </c>
      <c r="G91" s="136" t="s">
        <v>16</v>
      </c>
      <c r="H91" s="136" t="s">
        <v>15</v>
      </c>
      <c r="I91" s="5"/>
      <c r="J91" s="5"/>
    </row>
    <row r="92" spans="1:10" customFormat="1" ht="14.25" customHeight="1">
      <c r="A92" s="9"/>
      <c r="B92" s="9"/>
      <c r="C92" s="43"/>
      <c r="D92" s="50"/>
      <c r="E92" s="43"/>
      <c r="F92" s="44"/>
      <c r="G92" s="44"/>
      <c r="H92" s="45"/>
      <c r="I92" s="9"/>
      <c r="J92" s="9"/>
    </row>
    <row r="93" spans="1:10" customFormat="1" ht="14.25" customHeight="1">
      <c r="A93" s="9"/>
      <c r="B93" s="9"/>
      <c r="C93" s="53"/>
      <c r="D93" s="73" t="s">
        <v>141</v>
      </c>
      <c r="E93" s="53"/>
      <c r="F93" s="54"/>
      <c r="G93" s="54"/>
      <c r="H93" s="55"/>
      <c r="I93" s="9"/>
      <c r="J93" s="9"/>
    </row>
    <row r="94" spans="1:10" customFormat="1" ht="86.25" customHeight="1">
      <c r="A94" s="9"/>
      <c r="B94" s="9"/>
      <c r="C94" s="138"/>
      <c r="D94" s="139" t="s">
        <v>158</v>
      </c>
      <c r="E94" s="140" t="s">
        <v>11</v>
      </c>
      <c r="F94" s="141">
        <v>151.80000000000001</v>
      </c>
      <c r="G94" s="141">
        <v>40</v>
      </c>
      <c r="H94" s="69">
        <f>F94*G94</f>
        <v>6072</v>
      </c>
      <c r="I94" s="142"/>
      <c r="J94" s="142"/>
    </row>
    <row r="95" spans="1:10" customFormat="1" ht="15">
      <c r="A95" s="9"/>
      <c r="B95" s="9"/>
      <c r="C95" s="74"/>
      <c r="D95" s="57"/>
      <c r="E95" s="75"/>
      <c r="F95" s="76"/>
      <c r="G95" s="76"/>
      <c r="H95" s="77"/>
      <c r="I95" s="9"/>
      <c r="J95" s="9"/>
    </row>
    <row r="96" spans="1:10" customFormat="1" ht="14.25" customHeight="1">
      <c r="A96" s="9"/>
      <c r="B96" s="9"/>
      <c r="C96" s="53"/>
      <c r="D96" s="73" t="s">
        <v>80</v>
      </c>
      <c r="E96" s="53"/>
      <c r="F96" s="54"/>
      <c r="G96" s="54"/>
      <c r="H96" s="55"/>
      <c r="I96" s="9"/>
      <c r="J96" s="9"/>
    </row>
    <row r="97" spans="1:10" customFormat="1" ht="99.75">
      <c r="A97" s="9"/>
      <c r="B97" s="9"/>
      <c r="C97" s="66"/>
      <c r="D97" s="64" t="s">
        <v>140</v>
      </c>
      <c r="E97" s="67" t="s">
        <v>12</v>
      </c>
      <c r="F97" s="68">
        <v>150</v>
      </c>
      <c r="G97" s="68">
        <v>38</v>
      </c>
      <c r="H97" s="69">
        <f>F97*G97</f>
        <v>5700</v>
      </c>
      <c r="I97" s="9"/>
      <c r="J97" s="9"/>
    </row>
    <row r="98" spans="1:10" customFormat="1" ht="15">
      <c r="A98" s="9"/>
      <c r="B98" s="9"/>
      <c r="C98" s="74"/>
      <c r="D98" s="57"/>
      <c r="E98" s="75"/>
      <c r="F98" s="76"/>
      <c r="G98" s="76"/>
      <c r="H98" s="77"/>
      <c r="I98" s="9"/>
      <c r="J98" s="9"/>
    </row>
    <row r="99" spans="1:10" customFormat="1" ht="14.25" customHeight="1">
      <c r="A99" s="9"/>
      <c r="B99" s="9"/>
      <c r="C99" s="53"/>
      <c r="D99" s="73" t="s">
        <v>138</v>
      </c>
      <c r="E99" s="53"/>
      <c r="F99" s="54"/>
      <c r="G99" s="54"/>
      <c r="H99" s="55"/>
      <c r="I99" s="9"/>
      <c r="J99" s="9"/>
    </row>
    <row r="100" spans="1:10" customFormat="1" ht="85.5">
      <c r="A100" s="9"/>
      <c r="B100" s="9"/>
      <c r="C100" s="66"/>
      <c r="D100" s="64" t="s">
        <v>139</v>
      </c>
      <c r="E100" s="67" t="s">
        <v>12</v>
      </c>
      <c r="F100" s="68">
        <v>225</v>
      </c>
      <c r="G100" s="68">
        <v>30</v>
      </c>
      <c r="H100" s="69">
        <f>F100*G100</f>
        <v>6750</v>
      </c>
      <c r="I100" s="9"/>
      <c r="J100" s="9"/>
    </row>
    <row r="101" spans="1:10" customFormat="1" ht="15">
      <c r="A101" s="9"/>
      <c r="B101" s="9"/>
      <c r="C101" s="74"/>
      <c r="D101" s="57"/>
      <c r="E101" s="75"/>
      <c r="F101" s="76"/>
      <c r="G101" s="76"/>
      <c r="H101" s="77"/>
      <c r="I101" s="9"/>
      <c r="J101" s="9"/>
    </row>
    <row r="102" spans="1:10" customFormat="1" ht="14.25" customHeight="1">
      <c r="A102" s="9"/>
      <c r="B102" s="9"/>
      <c r="C102" s="43"/>
      <c r="D102" s="50"/>
      <c r="E102" s="43"/>
      <c r="F102" s="44"/>
      <c r="G102" s="44"/>
      <c r="H102" s="45"/>
      <c r="I102" s="9"/>
      <c r="J102" s="9"/>
    </row>
    <row r="103" spans="1:10" customFormat="1" ht="17.25" customHeight="1">
      <c r="A103" s="9"/>
      <c r="B103" s="9"/>
      <c r="C103" s="135">
        <v>6</v>
      </c>
      <c r="D103" s="159" t="s">
        <v>81</v>
      </c>
      <c r="E103" s="160"/>
      <c r="F103" s="160"/>
      <c r="G103" s="161"/>
      <c r="H103" s="137">
        <f>SUM(H97:H102)</f>
        <v>12450</v>
      </c>
      <c r="I103" s="9"/>
      <c r="J103" s="9"/>
    </row>
    <row r="104" spans="1:10" customFormat="1" ht="15">
      <c r="A104" s="9"/>
      <c r="B104" s="9"/>
      <c r="C104" s="41"/>
      <c r="D104" s="42"/>
      <c r="E104" s="43"/>
      <c r="F104" s="44"/>
      <c r="G104" s="44"/>
      <c r="H104" s="45"/>
      <c r="I104" s="9"/>
      <c r="J104" s="9"/>
    </row>
    <row r="105" spans="1:10" customFormat="1" ht="15">
      <c r="A105" s="9"/>
      <c r="B105" s="9"/>
      <c r="C105" s="41"/>
      <c r="D105" s="42"/>
      <c r="E105" s="43"/>
      <c r="F105" s="44"/>
      <c r="G105" s="44"/>
      <c r="H105" s="45"/>
      <c r="I105" s="9"/>
      <c r="J105" s="9"/>
    </row>
    <row r="106" spans="1:10" customFormat="1" ht="14.25" customHeight="1">
      <c r="A106" s="9"/>
      <c r="B106" s="46"/>
      <c r="C106" s="135">
        <v>7</v>
      </c>
      <c r="D106" s="159" t="s">
        <v>82</v>
      </c>
      <c r="E106" s="160"/>
      <c r="F106" s="160"/>
      <c r="G106" s="160"/>
      <c r="H106" s="161"/>
      <c r="I106" s="9"/>
      <c r="J106" s="9"/>
    </row>
    <row r="107" spans="1:10" s="2" customFormat="1" ht="22.5">
      <c r="C107" s="136" t="s">
        <v>19</v>
      </c>
      <c r="D107" s="136" t="s">
        <v>18</v>
      </c>
      <c r="E107" s="136" t="s">
        <v>17</v>
      </c>
      <c r="F107" s="136" t="s">
        <v>0</v>
      </c>
      <c r="G107" s="136" t="s">
        <v>16</v>
      </c>
      <c r="H107" s="136" t="s">
        <v>15</v>
      </c>
      <c r="I107" s="5"/>
      <c r="J107" s="5"/>
    </row>
    <row r="108" spans="1:10" customFormat="1" ht="14.25" customHeight="1">
      <c r="A108" s="9"/>
      <c r="B108" s="9"/>
      <c r="C108" s="43"/>
      <c r="D108" s="50"/>
      <c r="E108" s="43"/>
      <c r="F108" s="44"/>
      <c r="G108" s="44"/>
      <c r="H108" s="45"/>
      <c r="I108" s="9"/>
      <c r="J108" s="9"/>
    </row>
    <row r="109" spans="1:10" customFormat="1" ht="14.25" customHeight="1">
      <c r="A109" s="9"/>
      <c r="B109" s="9"/>
      <c r="C109" s="53" t="s">
        <v>114</v>
      </c>
      <c r="D109" s="73" t="s">
        <v>84</v>
      </c>
      <c r="E109" s="53"/>
      <c r="F109" s="54"/>
      <c r="G109" s="54"/>
      <c r="H109" s="55"/>
      <c r="I109" s="9"/>
      <c r="J109" s="9"/>
    </row>
    <row r="110" spans="1:10" customFormat="1" ht="357.75">
      <c r="A110" s="9"/>
      <c r="B110" s="9"/>
      <c r="C110" s="66"/>
      <c r="D110" s="64" t="s">
        <v>156</v>
      </c>
      <c r="E110" s="67"/>
      <c r="F110" s="68"/>
      <c r="G110" s="68"/>
      <c r="H110" s="69"/>
      <c r="I110" s="9"/>
      <c r="J110" s="9"/>
    </row>
    <row r="111" spans="1:10" customFormat="1" ht="15">
      <c r="A111" s="9"/>
      <c r="B111" s="9"/>
      <c r="C111" s="66"/>
      <c r="D111" s="61" t="s">
        <v>99</v>
      </c>
      <c r="E111" s="53" t="s">
        <v>12</v>
      </c>
      <c r="F111" s="54">
        <v>375</v>
      </c>
      <c r="G111" s="68">
        <v>80</v>
      </c>
      <c r="H111" s="69">
        <f>F111*G111</f>
        <v>30000</v>
      </c>
      <c r="I111" s="9"/>
      <c r="J111" s="9"/>
    </row>
    <row r="112" spans="1:10" customFormat="1" ht="28.5">
      <c r="A112" s="9"/>
      <c r="B112" s="9"/>
      <c r="C112" s="43"/>
      <c r="D112" s="148" t="s">
        <v>162</v>
      </c>
      <c r="E112" s="43"/>
      <c r="F112" s="44"/>
      <c r="G112" s="44"/>
      <c r="H112" s="45"/>
      <c r="I112" s="9"/>
      <c r="J112" s="9"/>
    </row>
    <row r="113" spans="1:10" customFormat="1" ht="14.25" customHeight="1">
      <c r="A113" s="9"/>
      <c r="B113" s="9"/>
      <c r="C113" s="53" t="s">
        <v>144</v>
      </c>
      <c r="D113" s="73" t="s">
        <v>148</v>
      </c>
      <c r="E113" s="53"/>
      <c r="F113" s="54"/>
      <c r="G113" s="54"/>
      <c r="H113" s="55"/>
      <c r="I113" s="9"/>
      <c r="J113" s="9"/>
    </row>
    <row r="114" spans="1:10" customFormat="1" ht="114">
      <c r="A114" s="9"/>
      <c r="B114" s="9"/>
      <c r="C114" s="53" t="s">
        <v>144</v>
      </c>
      <c r="D114" s="61" t="s">
        <v>142</v>
      </c>
      <c r="E114" s="78" t="s">
        <v>143</v>
      </c>
      <c r="F114" s="79">
        <v>417</v>
      </c>
      <c r="G114" s="80">
        <v>33</v>
      </c>
      <c r="H114" s="80">
        <f>F114*G114</f>
        <v>13761</v>
      </c>
      <c r="I114" s="9"/>
      <c r="J114" s="9"/>
    </row>
    <row r="115" spans="1:10" customFormat="1" ht="15">
      <c r="A115" s="9"/>
      <c r="B115" s="9"/>
      <c r="C115" s="43"/>
      <c r="D115" s="50"/>
      <c r="E115" s="81"/>
      <c r="F115" s="82"/>
      <c r="G115" s="83"/>
      <c r="H115" s="83"/>
      <c r="I115" s="9"/>
      <c r="J115" s="9"/>
    </row>
    <row r="116" spans="1:10" customFormat="1" ht="14.25" customHeight="1">
      <c r="A116" s="9"/>
      <c r="B116" s="9"/>
      <c r="C116" s="53" t="s">
        <v>145</v>
      </c>
      <c r="D116" s="73" t="s">
        <v>146</v>
      </c>
      <c r="E116" s="53"/>
      <c r="F116" s="54"/>
      <c r="G116" s="54"/>
      <c r="H116" s="55"/>
      <c r="I116" s="9"/>
      <c r="J116" s="9"/>
    </row>
    <row r="117" spans="1:10" customFormat="1" ht="57">
      <c r="A117" s="9"/>
      <c r="B117" s="9"/>
      <c r="C117" s="53"/>
      <c r="D117" s="61" t="s">
        <v>147</v>
      </c>
      <c r="E117" s="78" t="s">
        <v>143</v>
      </c>
      <c r="F117" s="79">
        <v>417</v>
      </c>
      <c r="G117" s="80">
        <v>4</v>
      </c>
      <c r="H117" s="80">
        <f>F117*G117</f>
        <v>1668</v>
      </c>
      <c r="I117" s="9"/>
      <c r="J117" s="9"/>
    </row>
    <row r="118" spans="1:10" customFormat="1" ht="15">
      <c r="A118" s="9"/>
      <c r="B118" s="9"/>
      <c r="C118" s="43"/>
      <c r="D118" s="50"/>
      <c r="E118" s="81"/>
      <c r="F118" s="82"/>
      <c r="G118" s="83"/>
      <c r="H118" s="83"/>
      <c r="I118" s="9"/>
      <c r="J118" s="9"/>
    </row>
    <row r="119" spans="1:10" customFormat="1" ht="17.25" customHeight="1">
      <c r="A119" s="9"/>
      <c r="B119" s="9"/>
      <c r="C119" s="135">
        <v>7</v>
      </c>
      <c r="D119" s="159" t="s">
        <v>83</v>
      </c>
      <c r="E119" s="160"/>
      <c r="F119" s="160"/>
      <c r="G119" s="161"/>
      <c r="H119" s="137">
        <f>SUM(H110:H117)</f>
        <v>45429</v>
      </c>
      <c r="I119" s="9"/>
      <c r="J119" s="9"/>
    </row>
    <row r="120" spans="1:10" customFormat="1" ht="15">
      <c r="A120" s="9"/>
      <c r="B120" s="9"/>
      <c r="C120" s="41"/>
      <c r="D120" s="42"/>
      <c r="E120" s="43"/>
      <c r="F120" s="44"/>
      <c r="G120" s="44"/>
      <c r="H120" s="45"/>
      <c r="I120" s="9"/>
      <c r="J120" s="9"/>
    </row>
    <row r="121" spans="1:10" customFormat="1" ht="15">
      <c r="A121" s="9"/>
      <c r="B121" s="9"/>
      <c r="C121" s="41"/>
      <c r="D121" s="42"/>
      <c r="E121" s="43"/>
      <c r="F121" s="44"/>
      <c r="G121" s="44"/>
      <c r="H121" s="45"/>
      <c r="I121" s="9"/>
      <c r="J121" s="9"/>
    </row>
    <row r="122" spans="1:10" customFormat="1" ht="14.25" customHeight="1">
      <c r="A122" s="9"/>
      <c r="B122" s="46"/>
      <c r="C122" s="135">
        <v>8</v>
      </c>
      <c r="D122" s="159" t="s">
        <v>85</v>
      </c>
      <c r="E122" s="160"/>
      <c r="F122" s="160"/>
      <c r="G122" s="160"/>
      <c r="H122" s="161"/>
      <c r="I122" s="9"/>
      <c r="J122" s="9"/>
    </row>
    <row r="123" spans="1:10" customFormat="1" ht="14.25" customHeight="1">
      <c r="A123" s="9"/>
      <c r="B123" s="9"/>
      <c r="C123" s="43"/>
      <c r="D123" s="50"/>
      <c r="E123" s="43"/>
      <c r="F123" s="44"/>
      <c r="G123" s="44"/>
      <c r="H123" s="45"/>
      <c r="I123" s="9"/>
      <c r="J123" s="9"/>
    </row>
    <row r="124" spans="1:10" s="11" customFormat="1">
      <c r="A124" s="10"/>
      <c r="B124" s="84"/>
      <c r="C124" s="158" t="s">
        <v>38</v>
      </c>
      <c r="D124" s="158"/>
      <c r="E124" s="158"/>
      <c r="F124" s="158"/>
      <c r="G124" s="158"/>
      <c r="H124" s="158"/>
    </row>
    <row r="125" spans="1:10" s="11" customFormat="1">
      <c r="A125" s="10"/>
      <c r="B125" s="84"/>
      <c r="C125" s="150" t="s">
        <v>39</v>
      </c>
      <c r="D125" s="150"/>
      <c r="E125" s="150"/>
      <c r="F125" s="150"/>
      <c r="G125" s="150"/>
      <c r="H125" s="150"/>
    </row>
    <row r="126" spans="1:10" s="11" customFormat="1">
      <c r="A126" s="10"/>
      <c r="B126" s="84"/>
      <c r="C126" s="158" t="s">
        <v>40</v>
      </c>
      <c r="D126" s="158"/>
      <c r="E126" s="158"/>
      <c r="F126" s="158"/>
      <c r="G126" s="158"/>
      <c r="H126" s="158"/>
    </row>
    <row r="127" spans="1:10" s="11" customFormat="1" ht="18" customHeight="1">
      <c r="A127" s="10"/>
      <c r="B127" s="84"/>
      <c r="C127" s="150" t="s">
        <v>41</v>
      </c>
      <c r="D127" s="150"/>
      <c r="E127" s="150"/>
      <c r="F127" s="150"/>
      <c r="G127" s="150"/>
      <c r="H127" s="150"/>
    </row>
    <row r="128" spans="1:10" s="11" customFormat="1" ht="19.5" customHeight="1">
      <c r="A128" s="10"/>
      <c r="B128" s="84"/>
      <c r="C128" s="150" t="s">
        <v>42</v>
      </c>
      <c r="D128" s="150"/>
      <c r="E128" s="150"/>
      <c r="F128" s="150"/>
      <c r="G128" s="150"/>
      <c r="H128" s="150"/>
    </row>
    <row r="129" spans="1:10" s="11" customFormat="1" ht="22.5" customHeight="1">
      <c r="A129" s="10"/>
      <c r="B129" s="84"/>
      <c r="C129" s="150" t="s">
        <v>43</v>
      </c>
      <c r="D129" s="150"/>
      <c r="E129" s="150"/>
      <c r="F129" s="150"/>
      <c r="G129" s="150"/>
      <c r="H129" s="150"/>
    </row>
    <row r="130" spans="1:10" s="11" customFormat="1" ht="19.5" customHeight="1">
      <c r="A130" s="10"/>
      <c r="B130" s="84"/>
      <c r="C130" s="150" t="s">
        <v>44</v>
      </c>
      <c r="D130" s="150"/>
      <c r="E130" s="150"/>
      <c r="F130" s="150"/>
      <c r="G130" s="150"/>
      <c r="H130" s="150"/>
    </row>
    <row r="131" spans="1:10" s="11" customFormat="1" ht="18.75" customHeight="1">
      <c r="A131" s="10"/>
      <c r="B131" s="84"/>
      <c r="C131" s="150" t="s">
        <v>45</v>
      </c>
      <c r="D131" s="150"/>
      <c r="E131" s="150"/>
      <c r="F131" s="150"/>
      <c r="G131" s="150"/>
      <c r="H131" s="150"/>
    </row>
    <row r="132" spans="1:10" s="11" customFormat="1" ht="15.75" customHeight="1">
      <c r="A132" s="10"/>
      <c r="B132" s="84"/>
      <c r="C132" s="168" t="s">
        <v>46</v>
      </c>
      <c r="D132" s="168"/>
      <c r="E132" s="168"/>
      <c r="F132" s="168"/>
      <c r="G132" s="168"/>
      <c r="H132" s="168"/>
    </row>
    <row r="133" spans="1:10" s="11" customFormat="1" ht="47.25" customHeight="1">
      <c r="A133" s="10"/>
      <c r="B133" s="84"/>
      <c r="C133" s="150" t="s">
        <v>49</v>
      </c>
      <c r="D133" s="150"/>
      <c r="E133" s="150"/>
      <c r="F133" s="150"/>
      <c r="G133" s="150"/>
      <c r="H133" s="150"/>
    </row>
    <row r="134" spans="1:10" s="11" customFormat="1" ht="15.75" customHeight="1">
      <c r="A134" s="10"/>
      <c r="B134" s="84"/>
      <c r="C134" s="150" t="s">
        <v>47</v>
      </c>
      <c r="D134" s="150"/>
      <c r="E134" s="150"/>
      <c r="F134" s="150"/>
      <c r="G134" s="150"/>
      <c r="H134" s="150"/>
    </row>
    <row r="135" spans="1:10" s="11" customFormat="1" ht="17.25" customHeight="1">
      <c r="A135" s="10"/>
      <c r="B135" s="84"/>
      <c r="C135" s="150" t="s">
        <v>48</v>
      </c>
      <c r="D135" s="150"/>
      <c r="E135" s="150"/>
      <c r="F135" s="150"/>
      <c r="G135" s="150"/>
      <c r="H135" s="150"/>
    </row>
    <row r="136" spans="1:10" s="11" customFormat="1" ht="17.25" customHeight="1">
      <c r="A136" s="10"/>
      <c r="B136" s="84"/>
      <c r="C136" s="85"/>
      <c r="D136" s="85"/>
      <c r="E136" s="85"/>
      <c r="F136" s="85"/>
      <c r="G136" s="85"/>
      <c r="H136" s="85"/>
    </row>
    <row r="137" spans="1:10" s="11" customFormat="1" ht="87" customHeight="1">
      <c r="A137" s="10"/>
      <c r="B137" s="84"/>
      <c r="C137" s="150" t="s">
        <v>50</v>
      </c>
      <c r="D137" s="150"/>
      <c r="E137" s="150"/>
      <c r="F137" s="150"/>
      <c r="G137" s="150"/>
      <c r="H137" s="150"/>
    </row>
    <row r="138" spans="1:10" s="11" customFormat="1">
      <c r="A138" s="10"/>
      <c r="B138" s="84"/>
      <c r="C138" s="85"/>
      <c r="D138" s="85"/>
      <c r="E138" s="85"/>
      <c r="F138" s="85"/>
      <c r="G138" s="85"/>
      <c r="H138" s="85"/>
    </row>
    <row r="139" spans="1:10" s="2" customFormat="1" ht="22.5">
      <c r="C139" s="136" t="s">
        <v>19</v>
      </c>
      <c r="D139" s="136" t="s">
        <v>18</v>
      </c>
      <c r="E139" s="136" t="s">
        <v>17</v>
      </c>
      <c r="F139" s="136" t="s">
        <v>0</v>
      </c>
      <c r="G139" s="136" t="s">
        <v>16</v>
      </c>
      <c r="H139" s="136" t="s">
        <v>15</v>
      </c>
      <c r="I139" s="5"/>
      <c r="J139" s="5"/>
    </row>
    <row r="140" spans="1:10" customFormat="1" ht="14.25" customHeight="1">
      <c r="A140" s="9"/>
      <c r="B140" s="9"/>
      <c r="C140" s="143" t="s">
        <v>115</v>
      </c>
      <c r="D140" s="144" t="s">
        <v>57</v>
      </c>
      <c r="E140" s="145"/>
      <c r="F140" s="146"/>
      <c r="G140" s="146"/>
      <c r="H140" s="147"/>
      <c r="I140" s="9"/>
      <c r="J140" s="9"/>
    </row>
    <row r="141" spans="1:10" customFormat="1" ht="134.25" customHeight="1">
      <c r="A141" s="9"/>
      <c r="B141" s="9"/>
      <c r="C141" s="86" t="s">
        <v>52</v>
      </c>
      <c r="D141" s="61" t="s">
        <v>100</v>
      </c>
      <c r="E141" s="53" t="s">
        <v>97</v>
      </c>
      <c r="F141" s="54">
        <v>630</v>
      </c>
      <c r="G141" s="54">
        <v>17</v>
      </c>
      <c r="H141" s="55">
        <f>F141*G141</f>
        <v>10710</v>
      </c>
      <c r="I141" s="9"/>
      <c r="J141" s="9"/>
    </row>
    <row r="142" spans="1:10" customFormat="1" ht="99.75">
      <c r="A142" s="9"/>
      <c r="B142" s="9"/>
      <c r="C142" s="86" t="s">
        <v>53</v>
      </c>
      <c r="D142" s="61" t="s">
        <v>149</v>
      </c>
      <c r="E142" s="53" t="s">
        <v>97</v>
      </c>
      <c r="F142" s="54">
        <v>630</v>
      </c>
      <c r="G142" s="54">
        <v>22</v>
      </c>
      <c r="H142" s="55">
        <f>F142*G142</f>
        <v>13860</v>
      </c>
      <c r="I142" s="9"/>
      <c r="J142" s="9"/>
    </row>
    <row r="143" spans="1:10" customFormat="1" ht="14.25" customHeight="1">
      <c r="A143" s="9"/>
      <c r="B143" s="9"/>
      <c r="C143" s="62"/>
      <c r="D143" s="50"/>
      <c r="E143" s="43"/>
      <c r="F143" s="44"/>
      <c r="G143" s="44"/>
      <c r="H143" s="45"/>
      <c r="I143" s="9"/>
      <c r="J143" s="9"/>
    </row>
    <row r="144" spans="1:10" customFormat="1" ht="30">
      <c r="A144" s="9"/>
      <c r="B144" s="9"/>
      <c r="C144" s="51" t="s">
        <v>127</v>
      </c>
      <c r="D144" s="87" t="s">
        <v>128</v>
      </c>
      <c r="E144" s="88"/>
      <c r="F144" s="89"/>
      <c r="G144" s="89"/>
      <c r="H144" s="90"/>
      <c r="I144" s="9"/>
      <c r="J144" s="9"/>
    </row>
    <row r="145" spans="1:10" customFormat="1" ht="28.5">
      <c r="A145" s="9"/>
      <c r="B145" s="9"/>
      <c r="C145" s="51"/>
      <c r="D145" s="61" t="s">
        <v>129</v>
      </c>
      <c r="E145" s="53"/>
      <c r="F145" s="54"/>
      <c r="G145" s="54"/>
      <c r="H145" s="55"/>
      <c r="I145" s="9"/>
      <c r="J145" s="9"/>
    </row>
    <row r="146" spans="1:10" customFormat="1" ht="94.5" customHeight="1">
      <c r="A146" s="9"/>
      <c r="B146" s="9"/>
      <c r="C146" s="91" t="s">
        <v>130</v>
      </c>
      <c r="D146" s="64" t="s">
        <v>126</v>
      </c>
      <c r="E146" s="53" t="s">
        <v>12</v>
      </c>
      <c r="F146" s="54">
        <v>2100</v>
      </c>
      <c r="G146" s="54">
        <v>16</v>
      </c>
      <c r="H146" s="55">
        <f>F146*G146</f>
        <v>33600</v>
      </c>
      <c r="I146" s="9"/>
      <c r="J146" s="9"/>
    </row>
    <row r="147" spans="1:10" customFormat="1" ht="16.5" customHeight="1">
      <c r="A147" s="9"/>
      <c r="B147" s="9"/>
      <c r="C147" s="92"/>
      <c r="D147" s="57"/>
      <c r="E147" s="43"/>
      <c r="F147" s="44"/>
      <c r="G147" s="44"/>
      <c r="H147" s="45"/>
      <c r="I147" s="9"/>
      <c r="J147" s="9"/>
    </row>
    <row r="148" spans="1:10" customFormat="1" ht="76.5" customHeight="1">
      <c r="A148" s="9"/>
      <c r="B148" s="9"/>
      <c r="C148" s="91" t="s">
        <v>131</v>
      </c>
      <c r="D148" s="64" t="s">
        <v>63</v>
      </c>
      <c r="E148" s="53" t="s">
        <v>12</v>
      </c>
      <c r="F148" s="54">
        <v>2100</v>
      </c>
      <c r="G148" s="54">
        <v>4.5</v>
      </c>
      <c r="H148" s="55">
        <f>F148*G148</f>
        <v>9450</v>
      </c>
      <c r="I148" s="9"/>
      <c r="J148" s="9"/>
    </row>
    <row r="149" spans="1:10" customFormat="1" ht="14.25" customHeight="1">
      <c r="A149" s="9"/>
      <c r="B149" s="9"/>
      <c r="C149" s="93"/>
      <c r="D149" s="50"/>
      <c r="E149" s="43"/>
      <c r="F149" s="44"/>
      <c r="G149" s="44"/>
      <c r="H149" s="45"/>
      <c r="I149" s="9"/>
      <c r="J149" s="9"/>
    </row>
    <row r="150" spans="1:10" customFormat="1" ht="99.75">
      <c r="A150" s="9"/>
      <c r="B150" s="9"/>
      <c r="C150" s="91" t="s">
        <v>132</v>
      </c>
      <c r="D150" s="64" t="s">
        <v>54</v>
      </c>
      <c r="E150" s="53" t="s">
        <v>12</v>
      </c>
      <c r="F150" s="54">
        <v>2100</v>
      </c>
      <c r="G150" s="54">
        <v>14.5</v>
      </c>
      <c r="H150" s="55">
        <f>F150*G150</f>
        <v>30450</v>
      </c>
      <c r="I150" s="9"/>
      <c r="J150" s="9"/>
    </row>
    <row r="151" spans="1:10" customFormat="1" ht="15">
      <c r="A151" s="9"/>
      <c r="B151" s="9"/>
      <c r="C151" s="56"/>
      <c r="D151" s="57"/>
      <c r="E151" s="43"/>
      <c r="F151" s="44"/>
      <c r="G151" s="44"/>
      <c r="H151" s="45"/>
      <c r="I151" s="9"/>
      <c r="J151" s="9"/>
    </row>
    <row r="152" spans="1:10" customFormat="1" ht="33" customHeight="1">
      <c r="A152" s="9"/>
      <c r="B152" s="9"/>
      <c r="C152" s="51" t="s">
        <v>133</v>
      </c>
      <c r="D152" s="73" t="s">
        <v>125</v>
      </c>
      <c r="E152" s="53"/>
      <c r="F152" s="54"/>
      <c r="G152" s="54"/>
      <c r="H152" s="55"/>
      <c r="I152" s="9"/>
      <c r="J152" s="9"/>
    </row>
    <row r="153" spans="1:10" customFormat="1" ht="357.75" customHeight="1">
      <c r="A153" s="9"/>
      <c r="B153" s="9"/>
      <c r="C153" s="63"/>
      <c r="D153" s="94" t="s">
        <v>150</v>
      </c>
      <c r="E153" s="67" t="s">
        <v>11</v>
      </c>
      <c r="F153" s="68">
        <v>732.8</v>
      </c>
      <c r="G153" s="68">
        <v>59</v>
      </c>
      <c r="H153" s="69">
        <f>F153*G153</f>
        <v>43235.199999999997</v>
      </c>
      <c r="I153" s="9"/>
      <c r="J153" s="9"/>
    </row>
    <row r="154" spans="1:10" customFormat="1" ht="15">
      <c r="A154" s="9"/>
      <c r="B154" s="9"/>
      <c r="C154" s="74"/>
      <c r="D154" s="57"/>
      <c r="E154" s="43"/>
      <c r="F154" s="44"/>
      <c r="G154" s="44"/>
      <c r="H154" s="45"/>
      <c r="I154" s="9"/>
      <c r="J154" s="9"/>
    </row>
    <row r="155" spans="1:10" customFormat="1" ht="17.25" customHeight="1">
      <c r="A155" s="9"/>
      <c r="B155" s="46"/>
      <c r="C155" s="135">
        <v>8</v>
      </c>
      <c r="D155" s="159" t="s">
        <v>51</v>
      </c>
      <c r="E155" s="160"/>
      <c r="F155" s="160"/>
      <c r="G155" s="161"/>
      <c r="H155" s="137">
        <f>SUM(H141:H153)</f>
        <v>141305.20000000001</v>
      </c>
      <c r="I155" s="9"/>
      <c r="J155" s="9"/>
    </row>
    <row r="156" spans="1:10" customFormat="1" ht="14.25" customHeight="1">
      <c r="A156" s="9"/>
      <c r="B156" s="46"/>
      <c r="C156" s="46"/>
      <c r="D156" s="46"/>
      <c r="E156" s="46"/>
      <c r="F156" s="46"/>
      <c r="G156" s="46"/>
      <c r="H156" s="46"/>
      <c r="I156" s="9"/>
      <c r="J156" s="9"/>
    </row>
    <row r="157" spans="1:10" customFormat="1" ht="15">
      <c r="A157" s="9"/>
      <c r="B157" s="9"/>
      <c r="C157" s="41"/>
      <c r="D157" s="42"/>
      <c r="E157" s="43"/>
      <c r="F157" s="44"/>
      <c r="G157" s="44"/>
      <c r="H157" s="45"/>
      <c r="I157" s="9"/>
      <c r="J157" s="9"/>
    </row>
    <row r="158" spans="1:10" customFormat="1" ht="14.25" customHeight="1">
      <c r="A158" s="9"/>
      <c r="B158" s="46"/>
      <c r="C158" s="135">
        <v>9</v>
      </c>
      <c r="D158" s="159" t="s">
        <v>124</v>
      </c>
      <c r="E158" s="160"/>
      <c r="F158" s="160"/>
      <c r="G158" s="160"/>
      <c r="H158" s="161"/>
      <c r="I158" s="9"/>
      <c r="J158" s="9"/>
    </row>
    <row r="159" spans="1:10" s="2" customFormat="1" ht="22.5">
      <c r="C159" s="136" t="s">
        <v>19</v>
      </c>
      <c r="D159" s="136" t="s">
        <v>18</v>
      </c>
      <c r="E159" s="136" t="s">
        <v>17</v>
      </c>
      <c r="F159" s="136" t="s">
        <v>0</v>
      </c>
      <c r="G159" s="136" t="s">
        <v>16</v>
      </c>
      <c r="H159" s="136" t="s">
        <v>15</v>
      </c>
      <c r="I159" s="5"/>
      <c r="J159" s="5"/>
    </row>
    <row r="160" spans="1:10" customFormat="1" ht="14.25" customHeight="1">
      <c r="A160" s="9"/>
      <c r="B160" s="9"/>
      <c r="C160" s="43"/>
      <c r="D160" s="50"/>
      <c r="E160" s="43"/>
      <c r="F160" s="44"/>
      <c r="G160" s="44"/>
      <c r="H160" s="45"/>
      <c r="I160" s="9"/>
      <c r="J160" s="9"/>
    </row>
    <row r="161" spans="1:10" customFormat="1" ht="30">
      <c r="A161" s="9"/>
      <c r="B161" s="9"/>
      <c r="C161" s="53" t="s">
        <v>117</v>
      </c>
      <c r="D161" s="73" t="s">
        <v>88</v>
      </c>
      <c r="E161" s="53"/>
      <c r="F161" s="54"/>
      <c r="G161" s="54"/>
      <c r="H161" s="55"/>
      <c r="I161" s="9"/>
      <c r="J161" s="9"/>
    </row>
    <row r="162" spans="1:10" customFormat="1" ht="156.75">
      <c r="A162" s="9"/>
      <c r="B162" s="9"/>
      <c r="C162" s="66"/>
      <c r="D162" s="61" t="s">
        <v>89</v>
      </c>
      <c r="E162" s="67" t="s">
        <v>11</v>
      </c>
      <c r="F162" s="68">
        <v>59.4</v>
      </c>
      <c r="G162" s="68">
        <v>58</v>
      </c>
      <c r="H162" s="69">
        <f>F162*G162</f>
        <v>3445.2</v>
      </c>
      <c r="I162" s="9"/>
      <c r="J162" s="9"/>
    </row>
    <row r="163" spans="1:10" customFormat="1" ht="14.25" customHeight="1">
      <c r="A163" s="9"/>
      <c r="B163" s="9"/>
      <c r="C163" s="43"/>
      <c r="D163" s="50"/>
      <c r="E163" s="43"/>
      <c r="F163" s="44"/>
      <c r="G163" s="44"/>
      <c r="H163" s="45"/>
      <c r="I163" s="9"/>
      <c r="J163" s="9"/>
    </row>
    <row r="164" spans="1:10" customFormat="1" ht="15">
      <c r="A164" s="9"/>
      <c r="B164" s="9"/>
      <c r="C164" s="53" t="s">
        <v>118</v>
      </c>
      <c r="D164" s="73" t="s">
        <v>154</v>
      </c>
      <c r="E164" s="53"/>
      <c r="F164" s="54"/>
      <c r="G164" s="54"/>
      <c r="H164" s="55"/>
      <c r="I164" s="9"/>
      <c r="J164" s="9"/>
    </row>
    <row r="165" spans="1:10" customFormat="1" ht="171">
      <c r="A165" s="9"/>
      <c r="B165" s="9"/>
      <c r="C165" s="66"/>
      <c r="D165" s="61" t="s">
        <v>151</v>
      </c>
      <c r="E165" s="67" t="s">
        <v>11</v>
      </c>
      <c r="F165" s="68">
        <v>25.2</v>
      </c>
      <c r="G165" s="68">
        <v>58</v>
      </c>
      <c r="H165" s="69">
        <f>F165*G165</f>
        <v>1461.6</v>
      </c>
      <c r="I165" s="9"/>
      <c r="J165" s="9"/>
    </row>
    <row r="166" spans="1:10" customFormat="1" ht="15">
      <c r="A166" s="9"/>
      <c r="B166" s="9"/>
      <c r="C166" s="74"/>
      <c r="D166" s="50"/>
      <c r="E166" s="75"/>
      <c r="F166" s="76"/>
      <c r="G166" s="76"/>
      <c r="H166" s="77"/>
      <c r="I166" s="9"/>
      <c r="J166" s="9"/>
    </row>
    <row r="167" spans="1:10" customFormat="1" ht="15">
      <c r="A167" s="9"/>
      <c r="B167" s="9"/>
      <c r="C167" s="53" t="s">
        <v>118</v>
      </c>
      <c r="D167" s="73" t="s">
        <v>152</v>
      </c>
      <c r="E167" s="53"/>
      <c r="F167" s="54"/>
      <c r="G167" s="54"/>
      <c r="H167" s="55"/>
      <c r="I167" s="9"/>
      <c r="J167" s="9"/>
    </row>
    <row r="168" spans="1:10" customFormat="1" ht="156.75">
      <c r="A168" s="9"/>
      <c r="B168" s="9"/>
      <c r="C168" s="66"/>
      <c r="D168" s="61" t="s">
        <v>153</v>
      </c>
      <c r="E168" s="67" t="s">
        <v>11</v>
      </c>
      <c r="F168" s="68">
        <v>30</v>
      </c>
      <c r="G168" s="68">
        <v>58</v>
      </c>
      <c r="H168" s="69">
        <f>F168*G168</f>
        <v>1740</v>
      </c>
      <c r="I168" s="9"/>
      <c r="J168" s="9"/>
    </row>
    <row r="169" spans="1:10" customFormat="1" ht="15">
      <c r="A169" s="9"/>
      <c r="B169" s="9"/>
      <c r="C169" s="74"/>
      <c r="D169" s="50"/>
      <c r="E169" s="75"/>
      <c r="F169" s="76"/>
      <c r="G169" s="76"/>
      <c r="H169" s="77"/>
      <c r="I169" s="9"/>
      <c r="J169" s="9"/>
    </row>
    <row r="170" spans="1:10">
      <c r="C170" s="95" t="s">
        <v>119</v>
      </c>
      <c r="D170" s="96" t="s">
        <v>116</v>
      </c>
      <c r="E170" s="97"/>
      <c r="F170" s="98"/>
      <c r="G170" s="99"/>
      <c r="H170" s="97"/>
    </row>
    <row r="171" spans="1:10" customFormat="1" ht="14.25" customHeight="1">
      <c r="A171" s="9"/>
      <c r="B171" s="46"/>
      <c r="C171" s="46"/>
      <c r="D171" s="46"/>
      <c r="E171" s="46"/>
      <c r="F171" s="46"/>
      <c r="G171" s="46"/>
      <c r="H171" s="46"/>
      <c r="I171" s="9"/>
      <c r="J171" s="9"/>
    </row>
    <row r="172" spans="1:10" customFormat="1" ht="72" customHeight="1">
      <c r="A172" s="9"/>
      <c r="B172" s="9"/>
      <c r="C172" s="51" t="s">
        <v>52</v>
      </c>
      <c r="D172" s="58" t="s">
        <v>102</v>
      </c>
      <c r="E172" s="53" t="s">
        <v>3</v>
      </c>
      <c r="F172" s="54">
        <v>16</v>
      </c>
      <c r="G172" s="54">
        <v>100</v>
      </c>
      <c r="H172" s="55">
        <f>F172*G172</f>
        <v>1600</v>
      </c>
      <c r="I172" s="9"/>
      <c r="J172" s="9"/>
    </row>
    <row r="173" spans="1:10" customFormat="1" ht="14.25" customHeight="1">
      <c r="A173" s="9"/>
      <c r="B173" s="9"/>
      <c r="C173" s="43"/>
      <c r="D173" s="50"/>
      <c r="E173" s="43"/>
      <c r="F173" s="44"/>
      <c r="G173" s="44"/>
      <c r="H173" s="45"/>
      <c r="I173" s="9"/>
      <c r="J173" s="9"/>
    </row>
    <row r="174" spans="1:10" customFormat="1" ht="17.25" customHeight="1">
      <c r="A174" s="9"/>
      <c r="B174" s="9"/>
      <c r="C174" s="47">
        <v>9</v>
      </c>
      <c r="D174" s="162" t="s">
        <v>87</v>
      </c>
      <c r="E174" s="163"/>
      <c r="F174" s="163"/>
      <c r="G174" s="164"/>
      <c r="H174" s="59">
        <f>SUM(H161:H172)</f>
        <v>8246.7999999999993</v>
      </c>
      <c r="I174" s="9"/>
      <c r="J174" s="9"/>
    </row>
    <row r="175" spans="1:10" s="7" customFormat="1" ht="15">
      <c r="B175" s="32"/>
      <c r="C175" s="100"/>
      <c r="D175" s="101"/>
      <c r="E175" s="102"/>
      <c r="F175" s="103"/>
      <c r="G175" s="104"/>
      <c r="H175" s="104"/>
      <c r="I175" s="105"/>
    </row>
    <row r="176" spans="1:10" customFormat="1" ht="14.25" customHeight="1">
      <c r="A176" s="9"/>
      <c r="B176" s="9"/>
      <c r="C176" s="43"/>
      <c r="D176" s="50"/>
      <c r="E176" s="43"/>
      <c r="F176" s="44"/>
      <c r="G176" s="44"/>
      <c r="H176" s="45"/>
      <c r="I176" s="9"/>
      <c r="J176" s="9"/>
    </row>
    <row r="177" spans="1:10" customFormat="1" ht="17.25" customHeight="1">
      <c r="A177" s="9"/>
      <c r="B177" s="9"/>
      <c r="C177" s="47">
        <v>10</v>
      </c>
      <c r="D177" s="162" t="s">
        <v>90</v>
      </c>
      <c r="E177" s="163"/>
      <c r="F177" s="163"/>
      <c r="G177" s="164"/>
      <c r="H177" s="59"/>
      <c r="I177" s="9"/>
      <c r="J177" s="9"/>
    </row>
    <row r="178" spans="1:10" customFormat="1" ht="15">
      <c r="A178" s="9"/>
      <c r="B178" s="9"/>
      <c r="C178" s="41"/>
      <c r="D178" s="42"/>
      <c r="E178" s="43"/>
      <c r="F178" s="44"/>
      <c r="G178" s="44"/>
      <c r="H178" s="45"/>
      <c r="I178" s="9"/>
      <c r="J178" s="9"/>
    </row>
    <row r="179" spans="1:10" customFormat="1" ht="30">
      <c r="A179" s="9"/>
      <c r="B179" s="9"/>
      <c r="C179" s="51" t="s">
        <v>120</v>
      </c>
      <c r="D179" s="73" t="s">
        <v>91</v>
      </c>
      <c r="E179" s="53"/>
      <c r="F179" s="54"/>
      <c r="G179" s="54"/>
      <c r="H179" s="55"/>
      <c r="I179" s="9"/>
      <c r="J179" s="9"/>
    </row>
    <row r="180" spans="1:10" customFormat="1" ht="226.5" customHeight="1">
      <c r="A180" s="9"/>
      <c r="B180" s="9"/>
      <c r="C180" s="106"/>
      <c r="D180" s="58" t="s">
        <v>103</v>
      </c>
      <c r="E180" s="53"/>
      <c r="F180" s="54"/>
      <c r="G180" s="54"/>
      <c r="H180" s="55"/>
      <c r="I180" s="9"/>
      <c r="J180" s="9"/>
    </row>
    <row r="181" spans="1:10" customFormat="1" ht="15">
      <c r="A181" s="9"/>
      <c r="B181" s="9"/>
      <c r="C181" s="106"/>
      <c r="D181" s="58"/>
      <c r="E181" s="53" t="s">
        <v>12</v>
      </c>
      <c r="F181" s="54">
        <v>17.5</v>
      </c>
      <c r="G181" s="54">
        <v>280</v>
      </c>
      <c r="H181" s="69">
        <f>F181*G181</f>
        <v>4900</v>
      </c>
      <c r="I181" s="9"/>
      <c r="J181" s="9"/>
    </row>
    <row r="182" spans="1:10" customFormat="1" ht="14.25" customHeight="1">
      <c r="A182" s="9"/>
      <c r="B182" s="9"/>
      <c r="C182" s="43"/>
      <c r="D182" s="50"/>
      <c r="E182" s="43"/>
      <c r="F182" s="44"/>
      <c r="G182" s="44"/>
      <c r="H182" s="45"/>
      <c r="I182" s="9"/>
      <c r="J182" s="9"/>
    </row>
    <row r="183" spans="1:10" customFormat="1" ht="17.25" customHeight="1">
      <c r="A183" s="9"/>
      <c r="B183" s="9"/>
      <c r="C183" s="47">
        <v>10</v>
      </c>
      <c r="D183" s="162" t="s">
        <v>92</v>
      </c>
      <c r="E183" s="163"/>
      <c r="F183" s="163"/>
      <c r="G183" s="164"/>
      <c r="H183" s="59">
        <f>SUM(H179:H181)</f>
        <v>4900</v>
      </c>
      <c r="I183" s="9"/>
      <c r="J183" s="9"/>
    </row>
    <row r="184" spans="1:10" customFormat="1" ht="15">
      <c r="A184" s="9"/>
      <c r="B184" s="9"/>
      <c r="C184" s="41"/>
      <c r="D184" s="42"/>
      <c r="E184" s="43"/>
      <c r="F184" s="44"/>
      <c r="G184" s="44"/>
      <c r="H184" s="45"/>
      <c r="I184" s="9"/>
      <c r="J184" s="9"/>
    </row>
    <row r="185" spans="1:10" customFormat="1" ht="14.25" customHeight="1">
      <c r="A185" s="9"/>
      <c r="B185" s="9"/>
      <c r="C185" s="43"/>
      <c r="D185" s="50"/>
      <c r="E185" s="43"/>
      <c r="F185" s="44"/>
      <c r="G185" s="44"/>
      <c r="H185" s="45"/>
      <c r="I185" s="9"/>
      <c r="J185" s="9"/>
    </row>
    <row r="186" spans="1:10" customFormat="1" ht="17.25" customHeight="1">
      <c r="A186" s="9"/>
      <c r="B186" s="9"/>
      <c r="C186" s="47">
        <v>11</v>
      </c>
      <c r="D186" s="162" t="s">
        <v>93</v>
      </c>
      <c r="E186" s="163"/>
      <c r="F186" s="163"/>
      <c r="G186" s="164"/>
      <c r="H186" s="59"/>
      <c r="I186" s="9"/>
      <c r="J186" s="9"/>
    </row>
    <row r="187" spans="1:10" customFormat="1" ht="15">
      <c r="A187" s="9"/>
      <c r="B187" s="9"/>
      <c r="C187" s="41"/>
      <c r="D187" s="42"/>
      <c r="E187" s="43"/>
      <c r="F187" s="44"/>
      <c r="G187" s="44"/>
      <c r="H187" s="45"/>
      <c r="I187" s="9"/>
      <c r="J187" s="9"/>
    </row>
    <row r="188" spans="1:10" customFormat="1" ht="30">
      <c r="A188" s="9"/>
      <c r="B188" s="9"/>
      <c r="C188" s="106"/>
      <c r="D188" s="73" t="s">
        <v>94</v>
      </c>
      <c r="E188" s="53"/>
      <c r="F188" s="54"/>
      <c r="G188" s="54"/>
      <c r="H188" s="55"/>
      <c r="I188" s="9"/>
      <c r="J188" s="9"/>
    </row>
    <row r="189" spans="1:10" customFormat="1" ht="57">
      <c r="A189" s="9"/>
      <c r="B189" s="9"/>
      <c r="C189" s="106"/>
      <c r="D189" s="58" t="s">
        <v>95</v>
      </c>
      <c r="E189" s="67" t="s">
        <v>12</v>
      </c>
      <c r="F189" s="68">
        <v>12</v>
      </c>
      <c r="G189" s="68">
        <v>25</v>
      </c>
      <c r="H189" s="69">
        <f>F189*G189</f>
        <v>300</v>
      </c>
      <c r="I189" s="9"/>
      <c r="J189" s="9"/>
    </row>
    <row r="190" spans="1:10" customFormat="1" ht="14.25" customHeight="1">
      <c r="A190" s="9"/>
      <c r="B190" s="46"/>
      <c r="C190" s="46"/>
      <c r="D190" s="46"/>
      <c r="E190" s="46"/>
      <c r="F190" s="46"/>
      <c r="G190" s="46"/>
      <c r="H190" s="46"/>
      <c r="I190" s="9"/>
      <c r="J190" s="9"/>
    </row>
    <row r="191" spans="1:10" customFormat="1" ht="17.25" customHeight="1">
      <c r="A191" s="9"/>
      <c r="B191" s="9"/>
      <c r="C191" s="47">
        <v>11</v>
      </c>
      <c r="D191" s="162" t="s">
        <v>96</v>
      </c>
      <c r="E191" s="163"/>
      <c r="F191" s="163"/>
      <c r="G191" s="164"/>
      <c r="H191" s="59">
        <f>H189</f>
        <v>300</v>
      </c>
      <c r="I191" s="9"/>
      <c r="J191" s="9"/>
    </row>
    <row r="192" spans="1:10" customFormat="1" ht="15">
      <c r="A192" s="9"/>
      <c r="B192" s="9"/>
      <c r="C192" s="41"/>
      <c r="D192" s="42"/>
      <c r="E192" s="43"/>
      <c r="F192" s="44"/>
      <c r="G192" s="44"/>
      <c r="H192" s="45"/>
      <c r="I192" s="9"/>
      <c r="J192" s="9"/>
    </row>
    <row r="193" spans="1:10" customFormat="1" ht="14.25" customHeight="1">
      <c r="A193" s="9"/>
      <c r="B193" s="9"/>
      <c r="C193" s="43"/>
      <c r="D193" s="50"/>
      <c r="E193" s="43"/>
      <c r="F193" s="44"/>
      <c r="G193" s="44"/>
      <c r="H193" s="45"/>
      <c r="I193" s="9"/>
      <c r="J193" s="9"/>
    </row>
    <row r="194" spans="1:10" customFormat="1" ht="17.25" customHeight="1">
      <c r="A194" s="9"/>
      <c r="B194" s="9"/>
      <c r="C194" s="47">
        <v>12</v>
      </c>
      <c r="D194" s="162" t="s">
        <v>104</v>
      </c>
      <c r="E194" s="163"/>
      <c r="F194" s="163"/>
      <c r="G194" s="164"/>
      <c r="H194" s="59">
        <f>SUM(H187:H188)</f>
        <v>0</v>
      </c>
      <c r="I194" s="9"/>
      <c r="J194" s="9"/>
    </row>
    <row r="195" spans="1:10" customFormat="1" ht="15">
      <c r="A195" s="9"/>
      <c r="B195" s="9"/>
      <c r="C195" s="41"/>
      <c r="D195" s="57" t="s">
        <v>106</v>
      </c>
      <c r="E195" s="43"/>
      <c r="F195" s="44"/>
      <c r="G195" s="44"/>
      <c r="H195" s="45"/>
      <c r="I195" s="9"/>
      <c r="J195" s="9"/>
    </row>
    <row r="196" spans="1:10" customFormat="1" ht="42.75">
      <c r="A196" s="9"/>
      <c r="B196" s="9"/>
      <c r="C196" s="106" t="s">
        <v>61</v>
      </c>
      <c r="D196" s="64" t="s">
        <v>58</v>
      </c>
      <c r="E196" s="53"/>
      <c r="F196" s="54"/>
      <c r="G196" s="54"/>
      <c r="H196" s="55"/>
      <c r="I196" s="9"/>
      <c r="J196" s="9"/>
    </row>
    <row r="197" spans="1:10" customFormat="1" ht="15">
      <c r="A197" s="9"/>
      <c r="B197" s="9"/>
      <c r="C197" s="106" t="s">
        <v>59</v>
      </c>
      <c r="D197" s="64" t="s">
        <v>135</v>
      </c>
      <c r="E197" s="53" t="s">
        <v>11</v>
      </c>
      <c r="F197" s="54">
        <v>147.9</v>
      </c>
      <c r="G197" s="54">
        <v>55</v>
      </c>
      <c r="H197" s="55">
        <f t="shared" ref="H197:H198" si="0">F197*G197</f>
        <v>8134.5</v>
      </c>
      <c r="I197" s="9"/>
      <c r="J197" s="9"/>
    </row>
    <row r="198" spans="1:10" customFormat="1" ht="15">
      <c r="A198" s="9"/>
      <c r="B198" s="9"/>
      <c r="C198" s="106" t="s">
        <v>60</v>
      </c>
      <c r="D198" s="64" t="s">
        <v>134</v>
      </c>
      <c r="E198" s="53" t="s">
        <v>11</v>
      </c>
      <c r="F198" s="54">
        <v>147.9</v>
      </c>
      <c r="G198" s="54">
        <v>80</v>
      </c>
      <c r="H198" s="55">
        <f t="shared" si="0"/>
        <v>11832</v>
      </c>
      <c r="I198" s="9"/>
      <c r="J198" s="9"/>
    </row>
    <row r="199" spans="1:10" customFormat="1" ht="15">
      <c r="A199" s="9"/>
      <c r="B199" s="9"/>
      <c r="C199" s="41"/>
      <c r="D199" s="57"/>
      <c r="E199" s="43"/>
      <c r="F199" s="44"/>
      <c r="G199" s="44"/>
      <c r="H199" s="45"/>
      <c r="I199" s="9"/>
      <c r="J199" s="9"/>
    </row>
    <row r="200" spans="1:10" customFormat="1" ht="17.25" customHeight="1">
      <c r="A200" s="9"/>
      <c r="B200" s="9"/>
      <c r="C200" s="47">
        <v>12</v>
      </c>
      <c r="D200" s="162" t="s">
        <v>105</v>
      </c>
      <c r="E200" s="163"/>
      <c r="F200" s="163"/>
      <c r="G200" s="164"/>
      <c r="H200" s="59">
        <f>SUM(H196:H198)</f>
        <v>19966.5</v>
      </c>
      <c r="I200" s="9"/>
      <c r="J200" s="9"/>
    </row>
    <row r="201" spans="1:10" customFormat="1" ht="15">
      <c r="A201" s="9"/>
      <c r="B201" s="9"/>
      <c r="C201" s="41"/>
      <c r="D201" s="57"/>
      <c r="E201" s="43"/>
      <c r="F201" s="44"/>
      <c r="G201" s="44"/>
      <c r="H201" s="45"/>
      <c r="I201" s="9"/>
      <c r="J201" s="9"/>
    </row>
    <row r="202" spans="1:10" customFormat="1" ht="14.25" customHeight="1">
      <c r="A202" s="9"/>
      <c r="B202" s="9"/>
      <c r="C202" s="43"/>
      <c r="D202" s="50"/>
      <c r="E202" s="43"/>
      <c r="F202" s="44"/>
      <c r="G202" s="44"/>
      <c r="H202" s="45"/>
      <c r="I202" s="9"/>
      <c r="J202" s="9"/>
    </row>
    <row r="203" spans="1:10" customFormat="1" ht="31.5" customHeight="1">
      <c r="A203" s="9"/>
      <c r="B203" s="9"/>
      <c r="C203" s="47">
        <v>13</v>
      </c>
      <c r="D203" s="162" t="s">
        <v>36</v>
      </c>
      <c r="E203" s="163"/>
      <c r="F203" s="163"/>
      <c r="G203" s="164"/>
      <c r="H203" s="59">
        <f>SUM(H207:H218)*0.1</f>
        <v>33414.520000000004</v>
      </c>
      <c r="I203" s="9"/>
      <c r="J203" s="9"/>
    </row>
    <row r="204" spans="1:10" s="7" customFormat="1" ht="15">
      <c r="B204" s="32"/>
      <c r="C204" s="100"/>
      <c r="D204" s="101"/>
      <c r="E204" s="102"/>
      <c r="F204" s="103"/>
      <c r="G204" s="104"/>
      <c r="H204" s="104"/>
      <c r="I204" s="105"/>
    </row>
    <row r="205" spans="1:10" ht="13.5">
      <c r="C205" s="6"/>
      <c r="D205" s="29"/>
      <c r="E205" s="6"/>
      <c r="F205" s="30"/>
      <c r="G205" s="31"/>
      <c r="H205" s="6"/>
      <c r="I205" s="6"/>
      <c r="J205" s="6"/>
    </row>
    <row r="206" spans="1:10" s="2" customFormat="1" ht="32.25" customHeight="1">
      <c r="C206" s="107"/>
      <c r="D206" s="108" t="s">
        <v>13</v>
      </c>
      <c r="E206" s="109"/>
      <c r="F206" s="110"/>
      <c r="G206" s="111"/>
      <c r="H206" s="112"/>
      <c r="I206" s="5"/>
      <c r="J206" s="5"/>
    </row>
    <row r="207" spans="1:10" customFormat="1" ht="17.25" customHeight="1">
      <c r="A207" s="9"/>
      <c r="B207" s="46"/>
      <c r="C207" s="47">
        <v>1</v>
      </c>
      <c r="D207" s="165" t="s">
        <v>22</v>
      </c>
      <c r="E207" s="166"/>
      <c r="F207" s="166"/>
      <c r="G207" s="167"/>
      <c r="H207" s="59">
        <f>H35</f>
        <v>30240</v>
      </c>
      <c r="I207" s="9"/>
      <c r="J207" s="9"/>
    </row>
    <row r="208" spans="1:10" customFormat="1" ht="17.25" customHeight="1">
      <c r="A208" s="9"/>
      <c r="B208" s="46"/>
      <c r="C208" s="47">
        <v>2</v>
      </c>
      <c r="D208" s="113" t="s">
        <v>121</v>
      </c>
      <c r="E208" s="48"/>
      <c r="F208" s="48"/>
      <c r="G208" s="49"/>
      <c r="H208" s="59">
        <f>H50</f>
        <v>14882.7</v>
      </c>
      <c r="I208" s="9"/>
      <c r="J208" s="9"/>
    </row>
    <row r="209" spans="1:10" customFormat="1" ht="17.25" customHeight="1">
      <c r="A209" s="9"/>
      <c r="B209" s="46"/>
      <c r="C209" s="47">
        <v>3</v>
      </c>
      <c r="D209" s="113" t="s">
        <v>73</v>
      </c>
      <c r="E209" s="48"/>
      <c r="F209" s="48"/>
      <c r="G209" s="49"/>
      <c r="H209" s="59">
        <f>H59</f>
        <v>11800</v>
      </c>
      <c r="I209" s="9"/>
      <c r="J209" s="9"/>
    </row>
    <row r="210" spans="1:10" customFormat="1" ht="17.25" customHeight="1">
      <c r="A210" s="9"/>
      <c r="B210" s="46"/>
      <c r="C210" s="47">
        <v>4</v>
      </c>
      <c r="D210" s="113" t="s">
        <v>23</v>
      </c>
      <c r="E210" s="48"/>
      <c r="F210" s="48"/>
      <c r="G210" s="49"/>
      <c r="H210" s="59">
        <f>H71</f>
        <v>15375</v>
      </c>
      <c r="I210" s="9"/>
      <c r="J210" s="9"/>
    </row>
    <row r="211" spans="1:10" customFormat="1" ht="17.25" customHeight="1">
      <c r="A211" s="9"/>
      <c r="B211" s="46"/>
      <c r="C211" s="47">
        <v>5</v>
      </c>
      <c r="D211" s="113" t="s">
        <v>122</v>
      </c>
      <c r="E211" s="48"/>
      <c r="F211" s="48"/>
      <c r="G211" s="49"/>
      <c r="H211" s="59">
        <f>H87</f>
        <v>29250</v>
      </c>
      <c r="I211" s="9"/>
      <c r="J211" s="9"/>
    </row>
    <row r="212" spans="1:10" customFormat="1" ht="17.25" customHeight="1">
      <c r="A212" s="9"/>
      <c r="B212" s="46"/>
      <c r="C212" s="47">
        <v>6</v>
      </c>
      <c r="D212" s="113" t="s">
        <v>79</v>
      </c>
      <c r="E212" s="48"/>
      <c r="F212" s="48"/>
      <c r="G212" s="49"/>
      <c r="H212" s="59">
        <f>H103</f>
        <v>12450</v>
      </c>
      <c r="I212" s="9"/>
      <c r="J212" s="9"/>
    </row>
    <row r="213" spans="1:10" customFormat="1" ht="17.25" customHeight="1">
      <c r="A213" s="9"/>
      <c r="B213" s="46"/>
      <c r="C213" s="47">
        <v>7</v>
      </c>
      <c r="D213" s="113" t="s">
        <v>82</v>
      </c>
      <c r="E213" s="48"/>
      <c r="F213" s="48"/>
      <c r="G213" s="49"/>
      <c r="H213" s="59">
        <f>H119</f>
        <v>45429</v>
      </c>
      <c r="I213" s="9"/>
      <c r="J213" s="9"/>
    </row>
    <row r="214" spans="1:10" customFormat="1" ht="17.25" customHeight="1">
      <c r="A214" s="9"/>
      <c r="B214" s="46"/>
      <c r="C214" s="47">
        <v>8</v>
      </c>
      <c r="D214" s="113" t="s">
        <v>123</v>
      </c>
      <c r="E214" s="48"/>
      <c r="F214" s="48"/>
      <c r="G214" s="49"/>
      <c r="H214" s="59">
        <f>H155</f>
        <v>141305.20000000001</v>
      </c>
      <c r="I214" s="9"/>
      <c r="J214" s="9"/>
    </row>
    <row r="215" spans="1:10" customFormat="1" ht="17.25" customHeight="1">
      <c r="A215" s="9"/>
      <c r="B215" s="46"/>
      <c r="C215" s="47">
        <v>9</v>
      </c>
      <c r="D215" s="113" t="s">
        <v>124</v>
      </c>
      <c r="E215" s="48"/>
      <c r="F215" s="48"/>
      <c r="G215" s="49"/>
      <c r="H215" s="59">
        <f>H174</f>
        <v>8246.7999999999993</v>
      </c>
      <c r="I215" s="9"/>
      <c r="J215" s="9"/>
    </row>
    <row r="216" spans="1:10" customFormat="1" ht="17.25" customHeight="1">
      <c r="A216" s="9"/>
      <c r="B216" s="46"/>
      <c r="C216" s="47">
        <v>10</v>
      </c>
      <c r="D216" s="113" t="s">
        <v>90</v>
      </c>
      <c r="E216" s="48"/>
      <c r="F216" s="48"/>
      <c r="G216" s="49"/>
      <c r="H216" s="59">
        <f>H183</f>
        <v>4900</v>
      </c>
      <c r="I216" s="9"/>
      <c r="J216" s="9"/>
    </row>
    <row r="217" spans="1:10" customFormat="1" ht="17.25" customHeight="1">
      <c r="A217" s="9"/>
      <c r="B217" s="46"/>
      <c r="C217" s="47">
        <v>11</v>
      </c>
      <c r="D217" s="113" t="s">
        <v>93</v>
      </c>
      <c r="E217" s="48"/>
      <c r="F217" s="48"/>
      <c r="G217" s="49"/>
      <c r="H217" s="59">
        <f>H191</f>
        <v>300</v>
      </c>
      <c r="I217" s="9"/>
      <c r="J217" s="9"/>
    </row>
    <row r="218" spans="1:10" customFormat="1" ht="17.25" customHeight="1">
      <c r="A218" s="9"/>
      <c r="B218" s="46"/>
      <c r="C218" s="47">
        <v>12</v>
      </c>
      <c r="D218" s="113" t="s">
        <v>104</v>
      </c>
      <c r="E218" s="48"/>
      <c r="F218" s="48"/>
      <c r="G218" s="49"/>
      <c r="H218" s="59">
        <f>H200</f>
        <v>19966.5</v>
      </c>
      <c r="I218" s="9"/>
      <c r="J218" s="9"/>
    </row>
    <row r="219" spans="1:10" customFormat="1" ht="21" customHeight="1">
      <c r="A219" s="9"/>
      <c r="B219" s="9"/>
      <c r="C219" s="47">
        <v>13</v>
      </c>
      <c r="D219" s="162" t="s">
        <v>36</v>
      </c>
      <c r="E219" s="163"/>
      <c r="F219" s="163"/>
      <c r="G219" s="164"/>
      <c r="H219" s="59">
        <f>H203</f>
        <v>33414.520000000004</v>
      </c>
      <c r="I219" s="9"/>
      <c r="J219" s="9"/>
    </row>
    <row r="220" spans="1:10" s="2" customFormat="1" ht="15.75">
      <c r="C220" s="114"/>
      <c r="D220" s="115"/>
      <c r="E220" s="116"/>
      <c r="F220" s="117"/>
      <c r="G220" s="118"/>
      <c r="H220" s="119"/>
      <c r="I220" s="5"/>
      <c r="J220" s="5"/>
    </row>
    <row r="221" spans="1:10" s="2" customFormat="1" ht="15.75">
      <c r="C221" s="107"/>
      <c r="D221" s="120"/>
      <c r="E221" s="120"/>
      <c r="F221" s="110"/>
      <c r="G221" s="111" t="s">
        <v>28</v>
      </c>
      <c r="H221" s="119">
        <f>SUM(H207:H220)</f>
        <v>367559.72000000003</v>
      </c>
      <c r="I221" s="5"/>
      <c r="J221" s="5"/>
    </row>
    <row r="222" spans="1:10" s="2" customFormat="1" ht="15.75">
      <c r="C222" s="107"/>
      <c r="D222" s="120"/>
      <c r="E222" s="120"/>
      <c r="F222" s="110"/>
      <c r="G222" s="111"/>
      <c r="H222" s="121"/>
      <c r="I222" s="5"/>
      <c r="J222" s="5"/>
    </row>
    <row r="223" spans="1:10" s="2" customFormat="1" ht="15.75">
      <c r="C223" s="107"/>
      <c r="D223" s="109"/>
      <c r="E223" s="109"/>
      <c r="F223" s="110"/>
      <c r="G223" s="111"/>
      <c r="H223" s="121"/>
      <c r="I223" s="5"/>
      <c r="J223" s="5"/>
    </row>
    <row r="224" spans="1:10" ht="13.5">
      <c r="C224" s="6"/>
      <c r="D224" s="6"/>
      <c r="E224" s="6"/>
      <c r="F224" s="30"/>
      <c r="G224" s="31"/>
      <c r="H224" s="6"/>
    </row>
    <row r="225" spans="3:8" s="2" customFormat="1" ht="15">
      <c r="C225" s="122" t="s">
        <v>161</v>
      </c>
      <c r="D225" s="4"/>
      <c r="E225" s="123"/>
      <c r="F225" s="124"/>
      <c r="G225" s="125"/>
      <c r="H225" s="126"/>
    </row>
    <row r="226" spans="3:8" s="2" customFormat="1" ht="15">
      <c r="C226" s="5"/>
      <c r="D226" s="4"/>
      <c r="E226" s="123"/>
      <c r="F226" s="124"/>
      <c r="G226" s="125"/>
      <c r="H226" s="126"/>
    </row>
    <row r="227" spans="3:8" s="2" customFormat="1" ht="15">
      <c r="C227" s="127"/>
      <c r="D227" s="4"/>
      <c r="E227" s="123"/>
      <c r="F227" s="124"/>
      <c r="G227" s="125"/>
      <c r="H227" s="126"/>
    </row>
    <row r="228" spans="3:8" s="2" customFormat="1" ht="15">
      <c r="C228" s="127"/>
      <c r="D228" s="4"/>
      <c r="E228" s="123"/>
      <c r="F228" s="124"/>
      <c r="G228" s="125"/>
      <c r="H228" s="126"/>
    </row>
    <row r="229" spans="3:8" s="2" customFormat="1" ht="15">
      <c r="C229" s="127"/>
      <c r="D229" s="4"/>
      <c r="E229" s="123"/>
      <c r="F229" s="124"/>
      <c r="G229" s="125"/>
      <c r="H229" s="126"/>
    </row>
    <row r="230" spans="3:8" s="2" customFormat="1" ht="15">
      <c r="C230" s="127"/>
      <c r="D230" s="4"/>
      <c r="E230" s="123"/>
      <c r="F230" s="124"/>
      <c r="G230" s="125"/>
      <c r="H230" s="126"/>
    </row>
    <row r="231" spans="3:8" s="2" customFormat="1" ht="15">
      <c r="C231" s="127"/>
      <c r="D231" s="4"/>
      <c r="E231" s="123"/>
      <c r="F231" s="124"/>
      <c r="G231" s="125"/>
      <c r="H231" s="126"/>
    </row>
    <row r="232" spans="3:8" s="2" customFormat="1" ht="15">
      <c r="C232" s="128"/>
      <c r="D232" s="3"/>
      <c r="E232" s="129"/>
      <c r="F232" s="130"/>
      <c r="G232" s="131"/>
      <c r="H232" s="132"/>
    </row>
    <row r="233" spans="3:8" s="2" customFormat="1" ht="15">
      <c r="C233" s="128"/>
      <c r="D233" s="3"/>
      <c r="E233" s="129"/>
      <c r="F233" s="130"/>
      <c r="G233" s="131"/>
      <c r="H233" s="132"/>
    </row>
  </sheetData>
  <mergeCells count="54">
    <mergeCell ref="D24:H24"/>
    <mergeCell ref="D35:G35"/>
    <mergeCell ref="D59:G59"/>
    <mergeCell ref="D158:H158"/>
    <mergeCell ref="D174:G174"/>
    <mergeCell ref="D90:H90"/>
    <mergeCell ref="D103:G103"/>
    <mergeCell ref="D106:H106"/>
    <mergeCell ref="D119:G119"/>
    <mergeCell ref="D122:H122"/>
    <mergeCell ref="C133:H133"/>
    <mergeCell ref="D155:G155"/>
    <mergeCell ref="C130:H130"/>
    <mergeCell ref="C131:H131"/>
    <mergeCell ref="C132:H132"/>
    <mergeCell ref="C128:H128"/>
    <mergeCell ref="D219:G219"/>
    <mergeCell ref="D203:G203"/>
    <mergeCell ref="D207:G207"/>
    <mergeCell ref="C134:H134"/>
    <mergeCell ref="C135:H135"/>
    <mergeCell ref="C137:H137"/>
    <mergeCell ref="D183:G183"/>
    <mergeCell ref="D186:G186"/>
    <mergeCell ref="D191:G191"/>
    <mergeCell ref="D177:G177"/>
    <mergeCell ref="D194:G194"/>
    <mergeCell ref="D200:G200"/>
    <mergeCell ref="C125:H125"/>
    <mergeCell ref="C126:H126"/>
    <mergeCell ref="C127:H127"/>
    <mergeCell ref="D38:H38"/>
    <mergeCell ref="D50:G50"/>
    <mergeCell ref="D53:H53"/>
    <mergeCell ref="D62:H62"/>
    <mergeCell ref="D71:G71"/>
    <mergeCell ref="D74:H74"/>
    <mergeCell ref="D87:G87"/>
    <mergeCell ref="C129:H129"/>
    <mergeCell ref="C4:H4"/>
    <mergeCell ref="F6:G6"/>
    <mergeCell ref="C19:H19"/>
    <mergeCell ref="C20:H20"/>
    <mergeCell ref="C21:H21"/>
    <mergeCell ref="C13:H13"/>
    <mergeCell ref="C14:H14"/>
    <mergeCell ref="C15:H15"/>
    <mergeCell ref="C17:H17"/>
    <mergeCell ref="C16:H16"/>
    <mergeCell ref="C11:H11"/>
    <mergeCell ref="C12:H12"/>
    <mergeCell ref="C18:H18"/>
    <mergeCell ref="C22:H22"/>
    <mergeCell ref="C124:H124"/>
  </mergeCells>
  <pageMargins left="0.31496062992125984" right="0.51181102362204722" top="1.2598425196850394" bottom="0.55118110236220474" header="0.31496062992125984" footer="0.31496062992125984"/>
  <pageSetup paperSize="9" scale="87" fitToHeight="12" orientation="portrait" r:id="rId1"/>
  <headerFooter>
    <oddHeader>&amp;L&amp;"Aptos,Regular"Naručitelj radova:&amp;"Aptos,Bold"&amp;12
Stambeni ZG d.o.o.&amp;"Aptos,Regular"&amp;10
&amp;G&amp;C&amp;"Aptos,Regular"Naziv projekta: &amp;"Aptos,Bold"Palinovečka 33&amp;"Aptos,Regular"
Oznaka :&amp;"Aptos,Bold" P-00380&amp;"Aptos,Regular"
&amp;RIzvoditelj radova:</oddHeader>
  </headerFooter>
  <rowBreaks count="9" manualBreakCount="9">
    <brk id="23" min="1" max="8" man="1"/>
    <brk id="52" min="1" max="8" man="1"/>
    <brk id="79" min="1" max="8" man="1"/>
    <brk id="98" min="1" max="8" man="1"/>
    <brk id="112" min="1" max="8" man="1"/>
    <brk id="138" min="1" max="8" man="1"/>
    <brk id="151" min="1" max="8" man="1"/>
    <brk id="163" min="1" max="8" man="1"/>
    <brk id="176" min="1" max="8" man="1"/>
  </rowBreaks>
  <drawing r:id="rId2"/>
  <legacyDrawing r:id="rId3"/>
  <legacyDrawingHF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Troškovnik radova</vt:lpstr>
      <vt:lpstr>'Troškovnik radova'!Print_Area</vt:lpstr>
      <vt:lpstr>'Troškovnik radova'!Print_Titles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Ivan Cakaric</cp:lastModifiedBy>
  <cp:lastPrinted>2024-10-22T11:24:34Z</cp:lastPrinted>
  <dcterms:created xsi:type="dcterms:W3CDTF">2020-10-14T09:09:58Z</dcterms:created>
  <dcterms:modified xsi:type="dcterms:W3CDTF">2025-01-13T14:57:26Z</dcterms:modified>
</cp:coreProperties>
</file>