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24226"/>
  <mc:AlternateContent xmlns:mc="http://schemas.openxmlformats.org/markup-compatibility/2006">
    <mc:Choice Requires="x15">
      <x15ac:absPath xmlns:x15ac="http://schemas.microsoft.com/office/spreadsheetml/2010/11/ac" url="https://saeptum-my.sharepoint.com/personal/zeljka_hrs_borkovic_saeptum_onmicrosoft_com/Documents/168-24-SZ POLJANA J.ANDRASSYA 12, 13, 14, ZG/5_GLAVNI PROJEKT/"/>
    </mc:Choice>
  </mc:AlternateContent>
  <xr:revisionPtr revIDLastSave="387" documentId="11_01211298EDA0A59579E2CF04F431FC786FAC826D" xr6:coauthVersionLast="47" xr6:coauthVersionMax="47" xr10:uidLastSave="{F3A985E3-3938-4F42-B55B-15C2A4EC8B1A}"/>
  <bookViews>
    <workbookView xWindow="-16320" yWindow="-120" windowWidth="16440" windowHeight="28320" tabRatio="946" xr2:uid="{00000000-000D-0000-FFFF-FFFF00000000}"/>
  </bookViews>
  <sheets>
    <sheet name="nas" sheetId="21" r:id="rId1"/>
    <sheet name="sve rek" sheetId="133" r:id="rId2"/>
    <sheet name="sve rek + stolarija" sheetId="95" r:id="rId3"/>
    <sheet name="rekap" sheetId="94" r:id="rId4"/>
    <sheet name="rekap+stolarija" sheetId="132" r:id="rId5"/>
    <sheet name="opći" sheetId="39" r:id="rId6"/>
    <sheet name="A.I.1. pri+skela" sheetId="1" r:id="rId7"/>
    <sheet name="A.I.2.pri" sheetId="129" r:id="rId8"/>
    <sheet name="A.II.1.dem" sheetId="40" r:id="rId9"/>
    <sheet name="A.II.2.dem" sheetId="130" r:id="rId10"/>
    <sheet name="A.III.1.zid" sheetId="127" r:id="rId11"/>
    <sheet name="A.III.2.zid" sheetId="136" r:id="rId12"/>
    <sheet name="A.IV.izo" sheetId="44" r:id="rId13"/>
    <sheet name="A.V.zem" sheetId="151" r:id="rId14"/>
    <sheet name="B.I.lim" sheetId="46" r:id="rId15"/>
    <sheet name="B.II.1. sto" sheetId="107" r:id="rId16"/>
    <sheet name="B.III.brav" sheetId="103" state="hidden" r:id="rId17"/>
    <sheet name="B.II.2. sto" sheetId="148" r:id="rId18"/>
    <sheet name="B.III.zz" sheetId="52" r:id="rId19"/>
    <sheet name="B.IV.1.lič" sheetId="80" r:id="rId20"/>
    <sheet name="B.IV.2.lič" sheetId="137" r:id="rId21"/>
    <sheet name="B.V.podopol." sheetId="152" r:id="rId22"/>
    <sheet name="B.brav" sheetId="150" r:id="rId23"/>
  </sheets>
  <definedNames>
    <definedName name="_xlnm.Print_Titles" localSheetId="6">'A.I.1. pri+skela'!$A:$F,'A.I.1. pri+skela'!$2:$5</definedName>
    <definedName name="_xlnm.Print_Titles" localSheetId="7">'A.I.2.pri'!$A:$F,'A.I.2.pri'!$2:$5</definedName>
    <definedName name="_xlnm.Print_Titles" localSheetId="8">'A.II.1.dem'!$A:$F,'A.II.1.dem'!$2:$6</definedName>
    <definedName name="_xlnm.Print_Titles" localSheetId="9">'A.II.2.dem'!$A:$F,'A.II.2.dem'!$2:$6</definedName>
    <definedName name="_xlnm.Print_Titles" localSheetId="10">'A.III.1.zid'!$A:$F,'A.III.1.zid'!$2:$6</definedName>
    <definedName name="_xlnm.Print_Titles" localSheetId="11">'A.III.2.zid'!$A:$F,'A.III.2.zid'!$2:$5</definedName>
    <definedName name="_xlnm.Print_Titles" localSheetId="12">'A.IV.izo'!$A:$F,'A.IV.izo'!$2:$5</definedName>
    <definedName name="_xlnm.Print_Titles" localSheetId="13">'A.V.zem'!$A:$F,'A.V.zem'!$2:$6</definedName>
    <definedName name="_xlnm.Print_Titles" localSheetId="22">B.brav!$A:$F,B.brav!$2:$6</definedName>
    <definedName name="_xlnm.Print_Titles" localSheetId="14">'B.I.lim'!$A:$F,'B.I.lim'!$2:$5</definedName>
    <definedName name="_xlnm.Print_Titles" localSheetId="15">'B.II.1. sto'!$A:$F,'B.II.1. sto'!$2:$5</definedName>
    <definedName name="_xlnm.Print_Titles" localSheetId="17">'B.II.2. sto'!$A:$F,'B.II.2. sto'!$2:$6</definedName>
    <definedName name="_xlnm.Print_Titles" localSheetId="16">'B.III.brav'!$A:$F,'B.III.brav'!$2:$6</definedName>
    <definedName name="_xlnm.Print_Titles" localSheetId="18">'B.III.zz'!$A:$F,'B.III.zz'!$2:$5</definedName>
    <definedName name="_xlnm.Print_Titles" localSheetId="19">'B.IV.1.lič'!$A:$F,'B.IV.1.lič'!$2:$6</definedName>
    <definedName name="_xlnm.Print_Titles" localSheetId="20">'B.IV.2.lič'!$A:$F,'B.IV.2.lič'!$2:$6</definedName>
    <definedName name="_xlnm.Print_Titles" localSheetId="21">'B.V.podopol.'!$A:$F,'B.V.podopol.'!$2:$6</definedName>
    <definedName name="_xlnm.Print_Area" localSheetId="6">'A.I.1. pri+skela'!$A$1:$F$70</definedName>
    <definedName name="_xlnm.Print_Area" localSheetId="7">'A.I.2.pri'!$A$1:$F$19</definedName>
    <definedName name="_xlnm.Print_Area" localSheetId="8">'A.II.1.dem'!$A$1:$F$93</definedName>
    <definedName name="_xlnm.Print_Area" localSheetId="9">'A.II.2.dem'!$A$1:$F$18</definedName>
    <definedName name="_xlnm.Print_Area" localSheetId="10">'A.III.1.zid'!$A$1:$F$55</definedName>
    <definedName name="_xlnm.Print_Area" localSheetId="11">'A.III.2.zid'!$A$1:$F$18</definedName>
    <definedName name="_xlnm.Print_Area" localSheetId="12">'A.IV.izo'!$A$1:$F$93</definedName>
    <definedName name="_xlnm.Print_Area" localSheetId="13">'A.V.zem'!$A$1:$F$40</definedName>
    <definedName name="_xlnm.Print_Area" localSheetId="22">B.brav!$A$1:$F$81</definedName>
    <definedName name="_xlnm.Print_Area" localSheetId="14">'B.I.lim'!$A$1:$F$67</definedName>
    <definedName name="_xlnm.Print_Area" localSheetId="15">'B.II.1. sto'!$A$1:$F$75</definedName>
    <definedName name="_xlnm.Print_Area" localSheetId="17">'B.II.2. sto'!$A$1:$F$106</definedName>
    <definedName name="_xlnm.Print_Area" localSheetId="16">'B.III.brav'!$A$1:$F$48</definedName>
    <definedName name="_xlnm.Print_Area" localSheetId="18">'B.III.zz'!$A$1:$F$118</definedName>
    <definedName name="_xlnm.Print_Area" localSheetId="19">'B.IV.1.lič'!$A$1:$H$105</definedName>
    <definedName name="_xlnm.Print_Area" localSheetId="20">'B.IV.2.lič'!$A$1:$F$17</definedName>
    <definedName name="_xlnm.Print_Area" localSheetId="0">nas!$A$1:$B$63</definedName>
    <definedName name="_xlnm.Print_Area" localSheetId="5">opći!$A$1:$F$55</definedName>
    <definedName name="_xlnm.Print_Area" localSheetId="3">rekap!$A$1:$F$31</definedName>
    <definedName name="_xlnm.Print_Area" localSheetId="4">'rekap+stolarija'!$A$1:$F$36</definedName>
    <definedName name="_xlnm.Print_Area" localSheetId="2">'sve rek + stolarija'!$A$1:$F$39</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150" l="1"/>
  <c r="F74" i="150" s="1"/>
  <c r="D73" i="150"/>
  <c r="F73" i="150" s="1"/>
  <c r="F57" i="150"/>
  <c r="F30" i="152"/>
  <c r="D29" i="152"/>
  <c r="F29" i="152" s="1"/>
  <c r="D28" i="152"/>
  <c r="F28" i="152" s="1"/>
  <c r="F31" i="152" l="1"/>
  <c r="F33" i="152" s="1"/>
  <c r="F75" i="150"/>
  <c r="F14" i="137"/>
  <c r="F13" i="137"/>
  <c r="F12" i="137"/>
  <c r="F11" i="137"/>
  <c r="F89" i="80"/>
  <c r="F103" i="80"/>
  <c r="F99" i="80"/>
  <c r="F95" i="80"/>
  <c r="F94" i="80"/>
  <c r="F90" i="80"/>
  <c r="F85" i="80"/>
  <c r="F84" i="80"/>
  <c r="F76" i="80"/>
  <c r="F75" i="80"/>
  <c r="F96" i="52"/>
  <c r="F99" i="52"/>
  <c r="F98" i="52"/>
  <c r="F97" i="52"/>
  <c r="D70" i="52"/>
  <c r="F70" i="52" s="1"/>
  <c r="F73" i="52"/>
  <c r="F88" i="52"/>
  <c r="F84" i="52"/>
  <c r="F80" i="52"/>
  <c r="F79" i="52"/>
  <c r="F74" i="52"/>
  <c r="F72" i="52"/>
  <c r="F71" i="52"/>
  <c r="F69" i="52"/>
  <c r="F104" i="148"/>
  <c r="F90" i="148"/>
  <c r="F76" i="148"/>
  <c r="F48" i="148"/>
  <c r="F73" i="107"/>
  <c r="F62" i="107"/>
  <c r="F51" i="107"/>
  <c r="F40" i="107"/>
  <c r="F64" i="46"/>
  <c r="F63" i="46"/>
  <c r="D62" i="46"/>
  <c r="F62" i="46" s="1"/>
  <c r="F58" i="46"/>
  <c r="F54" i="46"/>
  <c r="D46" i="46"/>
  <c r="F46" i="46" s="1"/>
  <c r="F39" i="46"/>
  <c r="F34" i="151"/>
  <c r="F30" i="151"/>
  <c r="F26" i="151"/>
  <c r="F22" i="151"/>
  <c r="F38" i="151"/>
  <c r="F65" i="46" l="1"/>
  <c r="F40" i="151"/>
  <c r="F75" i="107"/>
  <c r="F100" i="52"/>
  <c r="F21" i="132"/>
  <c r="F18" i="94"/>
  <c r="F27" i="94"/>
  <c r="F32" i="132"/>
  <c r="F45" i="46"/>
  <c r="F38" i="46"/>
  <c r="F40" i="46"/>
  <c r="F49" i="46"/>
  <c r="F48" i="46"/>
  <c r="F47" i="46"/>
  <c r="F50" i="46" l="1"/>
  <c r="F67" i="46" s="1"/>
  <c r="F41" i="46"/>
  <c r="F90" i="44"/>
  <c r="F87" i="44"/>
  <c r="F84" i="44"/>
  <c r="F83" i="44"/>
  <c r="D80" i="44"/>
  <c r="F80" i="44" s="1"/>
  <c r="F77" i="44"/>
  <c r="F76" i="44"/>
  <c r="F73" i="44"/>
  <c r="F72" i="44"/>
  <c r="F71" i="44"/>
  <c r="F56" i="44"/>
  <c r="F50" i="127"/>
  <c r="F53" i="127"/>
  <c r="F71" i="40"/>
  <c r="F70" i="40"/>
  <c r="F66" i="40"/>
  <c r="F62" i="40"/>
  <c r="F91" i="44" l="1"/>
  <c r="F93" i="44" s="1"/>
  <c r="F72" i="40"/>
  <c r="F85" i="40" l="1"/>
  <c r="F29" i="40"/>
  <c r="F14" i="129"/>
  <c r="F16" i="129"/>
  <c r="F15" i="129"/>
  <c r="F13" i="129"/>
  <c r="F66" i="1"/>
  <c r="F65" i="1"/>
  <c r="F67" i="1"/>
  <c r="F61" i="1"/>
  <c r="F17" i="129" l="1"/>
  <c r="F19" i="129" s="1"/>
  <c r="F79" i="150"/>
  <c r="F81" i="150" s="1"/>
  <c r="F33" i="132" l="1"/>
  <c r="F13" i="136"/>
  <c r="F13" i="130"/>
  <c r="F34" i="148"/>
  <c r="G72" i="52"/>
  <c r="H83" i="52"/>
  <c r="H84" i="52" s="1"/>
  <c r="H95" i="52"/>
  <c r="H94" i="52"/>
  <c r="H93" i="52"/>
  <c r="G68" i="52"/>
  <c r="F28" i="94" l="1"/>
  <c r="F79" i="40"/>
  <c r="F15" i="136" l="1"/>
  <c r="F14" i="136"/>
  <c r="F12" i="136"/>
  <c r="F16" i="136" s="1"/>
  <c r="F18" i="136" s="1"/>
  <c r="F15" i="130"/>
  <c r="F14" i="130"/>
  <c r="F12" i="130"/>
  <c r="F62" i="148"/>
  <c r="F20" i="148"/>
  <c r="F70" i="80"/>
  <c r="F69" i="80"/>
  <c r="F68" i="80"/>
  <c r="H75" i="52"/>
  <c r="H74" i="52"/>
  <c r="M78" i="52"/>
  <c r="P74" i="52"/>
  <c r="J73" i="52" s="1"/>
  <c r="S79" i="52"/>
  <c r="P75" i="52"/>
  <c r="P73" i="52"/>
  <c r="M74" i="52" s="1"/>
  <c r="P78" i="52"/>
  <c r="M79" i="52"/>
  <c r="M77" i="52"/>
  <c r="M75" i="52"/>
  <c r="M73" i="52"/>
  <c r="H73" i="52"/>
  <c r="H77" i="52"/>
  <c r="F106" i="148" l="1"/>
  <c r="F28" i="132" s="1"/>
  <c r="F71" i="80"/>
  <c r="F15" i="137"/>
  <c r="F17" i="137" s="1"/>
  <c r="F16" i="130"/>
  <c r="F18" i="130" s="1"/>
  <c r="F19" i="132"/>
  <c r="F45" i="127"/>
  <c r="F44" i="127"/>
  <c r="F43" i="127"/>
  <c r="F49" i="40"/>
  <c r="F48" i="40"/>
  <c r="F47" i="40"/>
  <c r="F46" i="127" l="1"/>
  <c r="F55" i="127" s="1"/>
  <c r="F50" i="40"/>
  <c r="F43" i="40" l="1"/>
  <c r="F54" i="40" l="1"/>
  <c r="F80" i="80"/>
  <c r="F105" i="80" s="1"/>
  <c r="F58" i="40"/>
  <c r="F110" i="52"/>
  <c r="F38" i="40"/>
  <c r="F37" i="40"/>
  <c r="F53" i="1"/>
  <c r="F49" i="1"/>
  <c r="F40" i="1"/>
  <c r="F86" i="40"/>
  <c r="F33" i="40"/>
  <c r="F116" i="52"/>
  <c r="F105" i="52"/>
  <c r="F45" i="1"/>
  <c r="F91" i="40"/>
  <c r="F84" i="40"/>
  <c r="F45" i="103"/>
  <c r="F48" i="103"/>
  <c r="F68" i="52"/>
  <c r="F75" i="52" s="1"/>
  <c r="F118" i="52" l="1"/>
  <c r="F87" i="40"/>
  <c r="F93" i="40" s="1"/>
  <c r="F17" i="94"/>
  <c r="F24" i="94"/>
  <c r="F39" i="40"/>
  <c r="F68" i="1"/>
  <c r="F70" i="1" s="1"/>
  <c r="F16" i="94"/>
  <c r="F31" i="132"/>
  <c r="F15" i="94" l="1"/>
  <c r="F14" i="94"/>
  <c r="F29" i="132"/>
  <c r="F23" i="94"/>
  <c r="F15" i="132"/>
  <c r="F27" i="132"/>
  <c r="F18" i="132"/>
  <c r="F17" i="132"/>
  <c r="F26" i="94"/>
  <c r="F30" i="132"/>
  <c r="F20" i="132"/>
  <c r="F19" i="94" l="1"/>
  <c r="F26" i="132"/>
  <c r="F34" i="132" s="1"/>
  <c r="F25" i="94"/>
  <c r="F29" i="94" s="1"/>
  <c r="F16" i="132"/>
  <c r="F14" i="132"/>
  <c r="F22" i="132" l="1"/>
  <c r="F36" i="132" s="1"/>
  <c r="F25" i="95" s="1"/>
  <c r="F31" i="94"/>
  <c r="F23" i="133" s="1"/>
  <c r="F30" i="133" l="1"/>
  <c r="F31" i="133"/>
  <c r="F29" i="133"/>
  <c r="F30" i="95"/>
  <c r="F31" i="95"/>
  <c r="F32" i="95"/>
  <c r="F28" i="133"/>
  <c r="F29" i="95"/>
  <c r="F33" i="95" l="1"/>
  <c r="F34" i="95" s="1"/>
  <c r="F32" i="133"/>
  <c r="F33" i="133" s="1"/>
  <c r="F34" i="133" s="1"/>
  <c r="F35" i="95" l="1"/>
</calcChain>
</file>

<file path=xl/sharedStrings.xml><?xml version="1.0" encoding="utf-8"?>
<sst xmlns="http://schemas.openxmlformats.org/spreadsheetml/2006/main" count="1405" uniqueCount="728">
  <si>
    <t>Investitor:</t>
  </si>
  <si>
    <t>Građevina:</t>
  </si>
  <si>
    <t>Lokacija:</t>
  </si>
  <si>
    <t>Tehnički dnevnik:</t>
  </si>
  <si>
    <t>Zajednička oznaka projekta:</t>
  </si>
  <si>
    <t>Razina razrade projekta:</t>
  </si>
  <si>
    <t>Glavni projekt</t>
  </si>
  <si>
    <t xml:space="preserve">Vrsta projekta: </t>
  </si>
  <si>
    <t>ARHITEKTONSKI PROJEKT REKONSTRUKCIJE U SVRHU ENERGETSKE OBNOVE</t>
  </si>
  <si>
    <t>TROŠKOVNIK GRAĐEVINSKO - OBRTNIČKIH RADOVA</t>
  </si>
  <si>
    <t>Projektant:</t>
  </si>
  <si>
    <t>Ana Miljan, mag. ing. arch.</t>
  </si>
  <si>
    <t>Suradnik:</t>
  </si>
  <si>
    <t>Glavni projektant:</t>
  </si>
  <si>
    <t>Izradio:</t>
  </si>
  <si>
    <t>Direktorica:</t>
  </si>
  <si>
    <t xml:space="preserve">Željka Hrs Borković, d.i.a., direktor   
</t>
  </si>
  <si>
    <t>Mjesto i datum:</t>
  </si>
  <si>
    <t xml:space="preserve"> </t>
  </si>
  <si>
    <t>SADRŽAJ :</t>
  </si>
  <si>
    <t xml:space="preserve">1. TROŠKOVNIK  GRAĐEVINSKO - OBRTNIČKIH  RADOVA </t>
  </si>
  <si>
    <t>Napomena:</t>
  </si>
  <si>
    <t>1. Troškovnik obuhvaća cjelovitu obnovu.</t>
  </si>
  <si>
    <t>2. U slučaju drugačijeg zahtjeva investitor je dužan naručiti izmjene i dopune predmetne dokumentacije, a projektanti se obvezuju istu i napraviti ukoliko je u skladu sa pravilima dobrog zanata i stručne etike.</t>
  </si>
  <si>
    <t>U tom slučaju, djelomična obnova i njeni detalji utvrđuju se pisanim zahtjevom u vidu projektnog zadatka koji potpisuje investitor.</t>
  </si>
  <si>
    <t>3. U troškovniku su navedene projektantske cijene.</t>
  </si>
  <si>
    <t>SVEUKUPNA REKAPITULACIJA</t>
  </si>
  <si>
    <t>1.</t>
  </si>
  <si>
    <t>EUR</t>
  </si>
  <si>
    <t>2.</t>
  </si>
  <si>
    <t>SVEUKUPNO:</t>
  </si>
  <si>
    <t>PROJEKTANTSKI NADZOR 0,50% (1.)</t>
  </si>
  <si>
    <t>STRUČNI NADZOR 2,00% (1.)</t>
  </si>
  <si>
    <t>KOORDINATOR ZNR TIJEKOM GRAĐ. 0,50 % (1.)</t>
  </si>
  <si>
    <t>SVEUKUPNO S NADZOROM:</t>
  </si>
  <si>
    <t>PDV 25%</t>
  </si>
  <si>
    <t>SVEUKUPNO S PDV-OM:</t>
  </si>
  <si>
    <t>PONUDITELJ</t>
  </si>
  <si>
    <t>(naziv i adresa)</t>
  </si>
  <si>
    <t>1.2.</t>
  </si>
  <si>
    <t>GRAĐEVINSKI I OBRTNIČKI RADOVI:</t>
  </si>
  <si>
    <t xml:space="preserve">1.1. TROŠKOVNIK  GRAĐEVINSKO - OBRTNIČKIH  RADOVA
</t>
  </si>
  <si>
    <t xml:space="preserve">REKAPITULACIJA GRAĐEVINSKO - OBRTNIČKIH RADOVA </t>
  </si>
  <si>
    <t>A.</t>
  </si>
  <si>
    <t>GRAĐEVINSKI RADOVI</t>
  </si>
  <si>
    <t>A.I.1.</t>
  </si>
  <si>
    <t>PRIPREMNI RADOVI I SKELA (zajednički prostori) ukupno</t>
  </si>
  <si>
    <t>A.II.1.</t>
  </si>
  <si>
    <t>RUŠENJA I DEMONTAŽE (zajednički prostori)  ukupno</t>
  </si>
  <si>
    <t>A.III.1.</t>
  </si>
  <si>
    <t xml:space="preserve">ZIDARSKI RADOVI (zajednički prostori) ukupno </t>
  </si>
  <si>
    <t>A.IV.</t>
  </si>
  <si>
    <t xml:space="preserve">IZOLATERSKI RADOVI ukupno </t>
  </si>
  <si>
    <t>A.V.</t>
  </si>
  <si>
    <t>GRAĐEVINSKI RADOVI UKUPNO:</t>
  </si>
  <si>
    <t>B.</t>
  </si>
  <si>
    <t xml:space="preserve">OBRTNIČKI RADOVI </t>
  </si>
  <si>
    <t>B.I.</t>
  </si>
  <si>
    <t>LIMARSKI RADOVI ukupno</t>
  </si>
  <si>
    <t>B.II.1</t>
  </si>
  <si>
    <t>B.III.</t>
  </si>
  <si>
    <t>ZAVRŠNI ZIDARSKO-FASADERSKI RADOVI ukupno</t>
  </si>
  <si>
    <t>B.IV.1.</t>
  </si>
  <si>
    <t>SOBOSLIKARSKO LIČILAČKI RADOVI (zajednički prostori) ukupno</t>
  </si>
  <si>
    <t>B.V.</t>
  </si>
  <si>
    <t>B.VI.</t>
  </si>
  <si>
    <t>OSTALI RADOVI ukupno</t>
  </si>
  <si>
    <t>OBRTNIČKI RADOVI UKUPNO:</t>
  </si>
  <si>
    <t>A+B UKUPNO:</t>
  </si>
  <si>
    <t xml:space="preserve">1.2. TROŠKOVNIK  GRAĐEVINSKO - OBRTNIČKIH  RADOVA
</t>
  </si>
  <si>
    <t>A.I.2.</t>
  </si>
  <si>
    <t>RUŠENJA I DEMONTAŽE ukupno (zajednički prostori)</t>
  </si>
  <si>
    <t>A.II.2.</t>
  </si>
  <si>
    <t>ZIDARSKI RADOVI ukupno (zajednički prostori)</t>
  </si>
  <si>
    <t>A.III.2.</t>
  </si>
  <si>
    <t>B.II.1.</t>
  </si>
  <si>
    <t>VANJSKA ALUMINIJSKA STOLARIJA ukupno (zajedničkih prostorija)</t>
  </si>
  <si>
    <t>B.II.2.</t>
  </si>
  <si>
    <t>VANJSKA STOLARIJA ukupno (stanovi )</t>
  </si>
  <si>
    <t>B.IV.2.</t>
  </si>
  <si>
    <t>SOBOSLIKARSKO LIČILAČKI RADOVI (stanovi i poslovni prostori) ukupno</t>
  </si>
  <si>
    <t xml:space="preserve">OPĆI UVJETI </t>
  </si>
  <si>
    <t>OPĆI  OPIS  UZ  TROŠKOVNIK</t>
  </si>
  <si>
    <t>1. Glavni projekt energetske obnove i pripadni troškovnik temelje se na obavljenom uvidu i izmjeri na postojećoj zgradi. Slojevi konstrukcija definirani u postojećoj projektnoj tehničkoj dokumentaciji i prilikom izmjere, preuzeti su kao stvarno izvedeni. Nevidljivi slojevi konstrukcija, koji nisu definirani postojećom dokumentacijom, pretpostavljeni su temeljem dosadašnjeg iskustva prema vremenu gradnje zgrade. Prije izvedbe potrebno je izvršiti detaljni uvid na licu mjesta te utvrditi slojeve konstrukcije vizualnim ispitivanjem i otvaranjem konstrukcija koje se rekonstruiraju.</t>
  </si>
  <si>
    <t xml:space="preserve">2. Projekt je napravljen na temelju zakonske regulative RH, pravila dobrog zanata i preporuke o cjelovitoj obnovi koju podupiru EU fondovi, u skladu sa svim hrvatskim i europskim tehničkim propisima i normama i priznatim tehničkim pravilima, ili jednakovrijedno. Projekt je definiran potpisanim projektnim zadatkom.  Svi materijali navedeni u projektu i troškovniku, moraju odgovarati važećim hrvatskim propisima i normama, ili jednakovrijedno.                  </t>
  </si>
  <si>
    <t xml:space="preserve">3. Grafički dio (nacrti), tekstualni dio (opći i tehnički), Projekt racionalne uporabe energije i toplinske zaštite zgrade, kao i Program kontrole i osiguranja kvalitete dijelovi su arhitektonskog glavnog projekta, koji zajedno s pripadajućim troškovnikom čine cjelinu projekta energetske obnove zgrade. Projektom energetske obnove dani su osnovni detalji izvedbe. </t>
  </si>
  <si>
    <t>4. U fazi izvedbe, zbog činjenice da se radi o obnovi (rekonstrukciji), a ne izgradnji nove zgrade, bit će potrebna dodatna razrada detalja izvedbe u suradnji s izvođačem radova, te ukoliko se nakon uklanjanja pojedinih slojeva i uvida u postojeće slojeve i stanje konstrukcije utvrdi odstupanje odnosno različitost u odnosu na postojeće stanje prikazano projektom obnove, potrebno je napraviti reviziju glavnog projekta. Također, u slučaju nužnosti odstupanja od glavnog projekta iz drugih opravdanih razloga prilikom izvođenja radova potrebno je izraditi izmjene i dopune glavnog projekta.</t>
  </si>
  <si>
    <t>5. Odgovarajućim upisom u građevinski dnevnik potrebno je verificirati projektno rješenje ili po potrebi izvršiti korekciju, te ukoliko je potrebno, a ovisno o postojećem stanju konstrukcije, prije izvedbe ETICS sustava, napraviti statičku provjeru vanjskih zidova koja mora biti odobrena od strane inženjera konstrukcije i nadzornog inženjera.</t>
  </si>
  <si>
    <t>6. Izvođač je dužan proučiti sve gore navedene dijelove projekta, te u slučaju nejasnoća ili eventualnih odstupanja od stvarnog stanja na terenu,  tražiti mišljenje projektanta i nadzornog inženjera. Prije početka radova i izrade ponude izvođač je obavezan kontrolirati na postojećoj zgradi sve potrebne mjere za svoj rad, te obavijestiti projektanta u slučaju nedorečenosti ili nejasnoća. Prilikom izvođenja radova treba paziti da svi detalji budu riješeni u skladu s Tehničkim propisom o racionalnoj uporabi energije i toplinskoj zaštiti u zgradama (NN 128/15, NN 70/18, NN 73/18, 86/18, 102/20)</t>
  </si>
  <si>
    <t xml:space="preserve">7. Preporuka projektanta je izvođenje cjelovitog rješenja energetske obnove zgrade iz sljedećih razloga: 
1. tehnički ispravno izvođenje detalja,
2. tehnički ispravan redoslijed izvođenja radova,
3. suzbijanje selektivnih intervencija na pročeljima zgrade,
4. zaštita arhitektonskog djela u smislu estetske i tehničke cjelovitosti oblikovanja, 
5. očuvanje i unapređenje bitnih zahtjeva građevine,
6. ušteda sredstava i vremena (u slučaju fazne gradnje pojedini radovi se umnožavaju, kao što su postava skele, limarski radovi i sl.),
7. ostvarivanje tržišnih popusta (cijena pojedinačnog proizvoda manja je što je količina veća),
8. integralna rješenja podupiru se bespovratnim sredstvima iz EU fondova.
U slučaju nužnosti odstupanja od glavnog projekta prilikom izvođenja radova potrebno je izraditi izmjene i dopune glavnog projekta te ih uskladiti zahtjevima suvlasnika sukladno pravilima dobrog zanata i inženjerske etike. </t>
  </si>
  <si>
    <t>8. Izvođač će se pridržavati svih važećih zakona i propisa i to: Zakona o prostornom uređenju (NN 153/13, NN 65/17, NN 114/18, NN 39/19, 98/19), Zakona o gradnji (NN 153/13, 20/17, 39/19, 125/19), Zakona o državnom inspektoratu (NN 115/18, 117/21), Zakona o zaštiti na radu (NN 71/14, 118/14, N 154/14, 94/18, 96/18), Zakon o zaštiti od buke (NN 30/09, 55/13, 153/13, 41/16, 114/18, 41/21), Zakon o zaštiti od požara (NN 92/10), svih pravilnika koji iz tih zakona proizlaze, kao i svih drugih zakona iz područja gradnje, tehničkih propisa, priznatih tehničkih pravila i hrvatskih normi (HRN), ili jednakovrijedno.</t>
  </si>
  <si>
    <t>9. Izvođač će prilikom uvođenja u posao preuzeti nekretninu i obavijestiti nadležne službe o otvaranju gradilišta i početku radova. Od tog trenutka pa do primopredaje zgrade, izvođač je odgovoran za stvari i osobe koje se nalaze unutar gradilišta. Od ulaska na gradilište izvođač je obavezan voditi građevinski dnevnik u kojem bilježi opis radnih procesa i građevinsku knjigu u kojoj bilježi i dokumentira mjerenja, sve faze izvršenog posla prema stavkama troškovnika i projektu. Izvođač će na gradilištu čuvati građevnu dozvolu ukoliko je to zakonom određeno, kao i projektnu dokumentaciju i dati ih na uvid ovlaštenim inspekcijskim službama.</t>
  </si>
  <si>
    <t>10. Izvođač će ugraditi projektom predviđen i prema hrvatskim i EU normama atestiran materijal. Sve radove izvest će od kvalitetnog materijala prema opisu, detaljima, pismenim naređenjima, ali sve u okviru ponuđene jedinične cijene. Svi nekvalitetni radovi imaju se otkloniti i zamijeniti ispravnima, bez bilo kakve odštete od strane investitora.</t>
  </si>
  <si>
    <t>11. Klasifikacija materijala prema gorivosti određena je normama HRN EN 13501-1 ili jednakovrijedno __________________ i HRN EN 13501-5 ili jednakovrijedno __________________, dok se ispitivanja vrše prema hrvatskim normama (HRN) koje se odnose na ispitivanju otpornosti na požar, a koje su navedene Pravilnikom i prema ETAG 004, 03/00, 06/08 ili jednakovrijedno.</t>
  </si>
  <si>
    <t>12. Izvođač će prema projektom određenom planu ispitivanja materijala, kontrolirati ugrađeni konstruktivni materijal.</t>
  </si>
  <si>
    <t>13. Za instalacijske sustave izvođač će, osim atesta o kvaliteti ugrađenih materijala, dati i ateste za instalacijske sustave. Izvođač će naročitu pažnju posvetiti usklađenju građevinskih i instalaterskih nacrta i radova. Ukoliko ustanovi razlike u mjerama, nedostatke ili neusklađenost dužan je o tome pravovremeno obavijestiti nadzornog inženjera.</t>
  </si>
  <si>
    <t>14. Izvođač je dužan prije narudžbe pojedinih materijala dostaviti projektantu uzorke radi odabira vrste, kvalitete i finalne obrade istih.</t>
  </si>
  <si>
    <t>15. Pojedine stavke ovog troškovnika investitor i projektant imaju pravo prije početka radova izmijeniti ili dopuniti kroz troškovnik, sheme i detalje koji čine jednu cjelinu, a međusobno se nadopunjuju. Promjene pojedinih stavki ili detalja moguće je samo uz prethodno odobrenje projektanta i/ili nadzornog inženjera.</t>
  </si>
  <si>
    <t>16. Izvođač je dužan ponuditi sve stavke po opisu troškovnika, a eventualne alternative posebno opisati i izdvojiti. Promjene pojedinih stavki djelomično ili u cijelosti moguće je samo uz prethodno odobrenje projektanta ili nadzornog inženjera.</t>
  </si>
  <si>
    <t>17. Ukoliko je tekst pojedinih stavki nepotpun ili nejasan, kod nuđenja, izvedbe i obračuna je mjerodavno uputstvo proizvođača.</t>
  </si>
  <si>
    <t>18. Glavni izvođač je u okviru ugovorene cijene dužan izvršiti koordinaciju radova svih kooperanata tako da omogući kontinuirano odvijanje posla i zaštitu već izvedenih radova. Opći uvjeti se odnose i na radove kooperanata, te je zbog toga potrebno da izvođač ugovara radove s kooperantima u smislu ovih općih uvjeta.</t>
  </si>
  <si>
    <t>19. Sva oštećenja nastala tijekom građenja na vlastitim ili tuđim radovima otkloniti će izvođač o svom trošku.</t>
  </si>
  <si>
    <t>20. Izvođač će, u okviru ugovorene cijene, osigurati gradilište od djelovanja više sile i krađe.</t>
  </si>
  <si>
    <t xml:space="preserve">21. Sav rad i materijal vezan uz organizaciju građevinske proizvodnje: ograde, vrata gradilišta, putevi na gradilištu, uredi, blagovaonice, svlačionice, sanitarije gradilišta, spremišta materijala i alata, telefonski, električni, vodovodni i sl. priključci gradilišta kao i cijena korištenja priključaka uključeni su u ugovorenu cijenu. 
</t>
  </si>
  <si>
    <t>22. Jedinične cijene trebaju uključivati: materijalne troškove, tj. nabavnu cijenu materijala uvećanu za visinu cijene transporta (utovar, prijevoz, istovar i skladištenje na gradilištu). Skladištenje treba provesti na način da materijal bude osiguran od vlaženja i lomova, jer samo neoštećen i kvalitetan materijal smije biti ugrađen. Rad obuhvaća, osim onog opisanog u troškovniku, još i prijenose, prijevoze, dizanje, utovar i istovar materijala, zaštićivanje od štetnih atmosferskih utjecaja, sve pomoćne radove kao: sakupljanje rasutog materijala, održavanje čistoće gradilišta, čišćenje zgrade za vrijeme i nakon gradnje i sl. Skele, podupore, razupore također treba predvidjeti u cijeni. Skele moraju biti izvedene u skladu sa propisima. U cijenu treba uključiti i ispitivanja materijala i sve troškove u vezi sa dobavljanjem potrebnih atesta.</t>
  </si>
  <si>
    <t>23. Izvođač će čistiti gradilište barem tri puta tokom građenja, a na kraju će izvesti sva fina čišćenja zidova, podova, vrata, prozora, stijena, stakala i dr. što se neće posebno opisivati niti naplaćivati.</t>
  </si>
  <si>
    <t>24. Izvođač će zajedno sa nadzornim inženjerom izraditi vremenski plan (terminski plan, gantogram) aktivnosti na gradilištu i njime odrediti dinamiku financiranja, dobave materijala i opreme i sl.</t>
  </si>
  <si>
    <t>25. Nakon naplate okončane situacije izvođač će predati zgradu investitoru ili po investitoru određenom korisniku.</t>
  </si>
  <si>
    <t xml:space="preserve">TROŠKOVNIK GRAĐEVINSKO OBRTNIČKIH RADOVA </t>
  </si>
  <si>
    <t>A. GRAĐEVINSKI RADOVI / A.I.1. PRIPREMNI RADOVI I SKELA</t>
  </si>
  <si>
    <t>r.b.</t>
  </si>
  <si>
    <t>opis stavke</t>
  </si>
  <si>
    <t>jed.</t>
  </si>
  <si>
    <t>kol.</t>
  </si>
  <si>
    <t>jed.cijena</t>
  </si>
  <si>
    <t>ukupno</t>
  </si>
  <si>
    <t>PRIPREMNI RADOVI I SKELA (ZAJEDNIČKI PROSTORI)</t>
  </si>
  <si>
    <t>OPĆI UVJETI</t>
  </si>
  <si>
    <t>Pri kalkulaciji ponuda ponuđač treba voditi računa da zgrada za vrijeme radova mora biti u funkciji te da se radovi moraju planirati tako da se omogući boravak stanara u svim dijelovima zgrade uz što manje i kraće poremećaje.</t>
  </si>
  <si>
    <t>Izvođač je dužan pregledati projekt i lokaciju, mogućnosti pristupa parceli i organizacije rada na parceli kako bi mogao dati realnu cijenu za pripremne i ostale radove. Ukoliko izvođač prethodnim uvidom primijeti da je potrebno izvesti još neke pripremne radove, dužan ih je uvrstiti u cijenu  putem obračuna u faktoru, jer se naknadni pripremni radovi neće posebno priznavati.</t>
  </si>
  <si>
    <t>Pripremni radovi koje je izvođač dužan izvesti bez posebnog iskaza troškova ulaze u cijenu zgrade kroz faktor i nisu prikazani u posebnim stavkama troškovnika: 
- izrada plana organizacije gradilišta, 
- organizacija i uređenje prilaznih i privremenih prometnica na gradilištu
- izgradnja gradilišnih nastambi za radnike, upravu, skladišta, nadstrešnice, 
- privremeni priključci i razvod vodovoda, električne energije, telefona i ostalih instalacija na gradilištu za potrebe funkcioniranja gradilišta, 
- organizacija čuvarske i nadzorne službe, radovi na osiguranju gradilišta i radnika, osiguranje za obeštećenja na gradilištu i naknade štete prema trećim osobama
- geodetsko snimanje visina i vanjskog terena,
- ostali radovi koji po pravilu terete režiju uprave izvođača i koji se ne naplaćuju posebno 
- troškovi potrebnih ispitivanja materijala i konstrukcija, te ishođenje atesta.
 Utrošak vode i električne energije za jedinicu proizvoda uključuje se u analizu cijena proizvoda prema normativima utroška, a utrošak za potrebe ureda, gradilišta, pranje vozila i strojeva, rasvjetu gradilišta i ostalo uključuje se u faktor gradilišta.</t>
  </si>
  <si>
    <t xml:space="preserve">Dozvolu za korištenje javnih prometnih površina izvođač je dužan zatražiti od nadležnih službi, prema potrebama za organizaciju gradilišta i platiti eventualne takse za ishođenje odobrenja za korištenje površina što je uključeno u faktoru. Izvođač je dužan pridržavati se pravila prometa na javnim prometnicama i unutar gradilišta. </t>
  </si>
  <si>
    <t>SKELA</t>
  </si>
  <si>
    <t xml:space="preserve">Prije izrade ponude za skelu izvođač je dužan pregledati građevinu radi ocjene uvjeta za organizaciju izvedbe radova i stanja pojedinih dijelova građevine na kojima se radovi izvode.
Cijevna skela izvodi se od čeličnih elemenata. Oslanjanje skele na nosivu podlogu preko metalnih podložnih papuča; podloga na koju se postavlja fasadna skela mora biti čvrsta i stabilna. Minimalna širina skele iznosi 80 cm.
</t>
  </si>
  <si>
    <t>Skelu udaljiti od ravnine gotovog pročelja za 15-20 cm. Visina zaštitne ograde iznosi 100 cm, a elemente ograde postaviti na max. razmak od 35 cm. U razini radne platforme uz zaštitinu ogradu potrebno je postaviti dasku minimalne visine 20 cm. Visinski razmak između radnih platformi treba prilagoditi horizontalnim elementima pročelja.</t>
  </si>
  <si>
    <r>
      <t>Skela mora biti opremljena penjalicama max. dužine 4 m u jednom komadu, postavljenih naizmjenično.
Fasadnu skelu potrebno je sa vanjske strane prekriti jutenim zastorom, koji se učvršćuje za konstrukciju skele.
Skelu treba od podnožja do vrha, kao i na krajevima, dijagonalno ukrutiti kosnicima pod 45</t>
    </r>
    <r>
      <rPr>
        <sz val="9"/>
        <rFont val="Consolas"/>
        <family val="3"/>
        <charset val="238"/>
      </rPr>
      <t xml:space="preserve">°. </t>
    </r>
    <r>
      <rPr>
        <sz val="9"/>
        <rFont val="Calibri"/>
        <family val="2"/>
        <charset val="238"/>
      </rPr>
      <t>Skelu je potrebno osigurati od prevrtanja sidrenjem u samu građevinu. Razmak između točki sidrenja mora biti manji od 6,0 m u horizontalnom i vetikalnom smjeru. Izvedena skela ne smije imati visinu stupova veću od 4 m. Skelu je potrebno uzemljiti i osigurati od udara groma.</t>
    </r>
  </si>
  <si>
    <t>Izvođač je dužan prije postavljanja skele predočiti nacrt skele sa statičkim računom na odobrenje. Dužan je ishoditi i suglasnosnost za postavljanje skele- zauzimanje javnoprometne površine. Riješiti zaštitu prolaznika i ulaza u građevinu. 
Ukoliko za pričvršćenje skele bude potrebno koristiti tuđi prostor, izvoditelj je dužan ishoditi suglasnost investitora.</t>
  </si>
  <si>
    <t>Sva eventualna oštećenja nastala uslijed vezivanja skele na građevinu izvođač je dužan otkloniti o svom trošku.</t>
  </si>
  <si>
    <r>
      <t>Pješački prolaz ispod skele treba izvesti u skladu sa potrebama korisnika, odnosno u skladu s dozvolom za zauzeće javne površine. Sa bočnih strana prolaza se postavlja puna zaštitna ograda  minimalne visine od 150 cm. Iznad prolaza treba izvesti oblogu od mosnica, a na vanjskom rubu još i kosu zaštitu pod kutem od 60</t>
    </r>
    <r>
      <rPr>
        <sz val="9"/>
        <rFont val="Consolas"/>
        <family val="3"/>
        <charset val="238"/>
      </rPr>
      <t>°</t>
    </r>
    <r>
      <rPr>
        <sz val="9"/>
        <rFont val="Calibri"/>
        <family val="2"/>
        <charset val="238"/>
      </rPr>
      <t xml:space="preserve"> visine 60 cm. Pješački prolaz treba biti obilježen propisanom signalizacijom (putokazi, rasvjeta).</t>
    </r>
  </si>
  <si>
    <t>U jediničnu cijenu treba uključiti :
- sav rad oko postave i skidanja skele,
- izradu statičkog računa i nacrta montaže skele,
- dostavu svog potrebnog materijala za postavu skele te čišćenje i odvoz istog nakon skidanja,
- postavu svjetlosne signalizacije i njeno održavanje,
- amortizaciju materijala za vrijeme izvođenja svih radova na pročelju,
- sve društvene obveze vezane za radnu snagu i materijal,
- održavanje skele za vrijeme trajanja radova,
- pripremno-završne radove,
- naknada za zauzimanje javno-prometne površine.
Amortizacija skele obračunava se za vrijeme gradnje, a skelu mogu koristiti svi izvođači bez posebne nadoplate. Potrebno je terminskim planom uskladiti sve aktivnosti da se izbjegne međusobno ometanje pojedinih izvođača. 
Svi materijali za izradu skele moraju odgovarati važećim hrvatskim propisima i normama, ili jednakovrijedno.</t>
  </si>
  <si>
    <t>Prilikom izrade fasadnih skela potrebno se pridržavati propisa zaštite na radu po pitanjima radnih ploha, zaštitnih ograda i prilaza. Materijal za izradu skela mora biti potpuno ispravan. Odgovorna osoba dužna je izvršiti pregled materijala prije ugradnje. Skele moraju biti izvedene po mjerama i na način označen u statičkom računu i nacrtima skele. Izvedene skele moraju biti sposobne podnijeti predviđeno opterećenje i moraju biti stabilne. Fasadne skele obračunavaju se po m² projekcije skele u ravnini pročelja, mjereno po vanjskom rubu i 1 m nad najvišom površinom.</t>
  </si>
  <si>
    <t>Čišćenje i raščišćavanje terena</t>
  </si>
  <si>
    <t>teren oko zgrade</t>
  </si>
  <si>
    <t>m²</t>
  </si>
  <si>
    <t>Priprema gradilišta</t>
  </si>
  <si>
    <t xml:space="preserve">Priprema gradilišta uključuje zaštitu zgrade izvana i iznutra od oštećenja tijekom radova, osiguranje koridora za prolaz korisnika zgrade s pripadajućom zaštitom od šute i prašine, te osiguranje okoline kojoj se spriječava prilaz nezaposlenih tijekom radova. 
Sav prostor za vrijeme i nakon rušenja i demontaža, te prilikom izvođenja novih konstrukcija, zaštititi od vremenskih nepogoda  (vlaženja, prokišnjavanja, rashlađivanja), te osigurati i zaštititi od ostalih uvjeta koji bi mogli ometati izvođenje radova vezanih za postojeće instalacije (vodovod, odvodnja, grijanje, ventilacija, elektrika, plin i drugo). Sve radove treba izvoditi sukladno propisanim higijensko tehničkim mjerama zaštite na radu. </t>
  </si>
  <si>
    <t>Stavka obuhvaća pregled, kontrolu mjera i veličina postojećeg stanja građevinske konstrukcije zgrade, pregled postojećeg stanja opreme, instalacija, te utvrđivanje točnih koridora instalacija u objektu i izvan objekta. Pripremne radove je obavezan izvršavati izvođač radova prije nego pristupi izvođenju i za vrijeme izvođenja radova. U pripremne radove uključiti i pregled projektne dokumentacije s pripadajućim troškovnicima, a o svim nejasnoćama ili neusklađenostima pravovremeno izvjestiti investitora i projektanta. Obračun za izvođenje kompletnih pripremnih radove iz opisa stavke, po paušalnoj procjeni.</t>
  </si>
  <si>
    <t>komplet</t>
  </si>
  <si>
    <t>3.</t>
  </si>
  <si>
    <t xml:space="preserve">Fasadna skela </t>
  </si>
  <si>
    <t xml:space="preserve">Doprema, montaža, demontaža i otprema cijevne fasadne skele, visine 1,0 m iznad gornjeg ruba  vijenca, odnosno zabata krova. 
Skelu izraditi prema važećim propisima i općim uvjetima. 
Skela mora biti izvedena prema pravilima struke; u stavku su uključene radne platforme i zaštitne ograde, sva potrebna ukrućenja i sidrenja, penjalice,  te uzemljenje.  Cijenom je obuhvaćena dobava i postava  jutenih ili plastificiranih traka na vanjski dio skele, kao zaštita od pada predmeta, prašenja i sl., sve fiksirano za konstrukciju skele. Prije izvedbe skele izvođač je dužan izraditi projekt skele, što je u cijeni stavke. Sve u skladu sa važećim propisima ZNR. Obračun po m² ortogonalne projekcije skele. </t>
  </si>
  <si>
    <t>fasadna skela do 20 metara</t>
  </si>
  <si>
    <t>4.</t>
  </si>
  <si>
    <t>Priprema pročelja za izvedbu klasificiranog ETICS sustava</t>
  </si>
  <si>
    <t>Stavka uključuje pripremu podloge za izradu novog ETICS sustava toplinske izolacije pročelja na bazi mineralne vune: otucanje žbuke koja se odvaja od zidova, krpanje svih pukotina u zidovima i stropovima, izravnavanje većih neravnina i oštećenja fasade reparaturnim polimercementnim mortom, te pranje i paropropusnu impregnaciju žbuke pročelja. 
Podloga na koju će se nanositi ETICS mora biti čista, čvrsta, nosiva, bez ostataka prljavštine, sipkih dijelova i sl. Prije nanošenja toplinske izolacije potrebno je provjeriti prionjivost morta za lijepljenje na postojeću podlogu.
Stavka uključuje zaštitu stolarije i drugih elemenata koji se ne uklanjaju te prostora u zgradi PVC folijom od šute i prašine, horizontalni i vertikalni transport šute i materijala po gradilištu, prijenos i odvoz otpadnog materijala i šute na deponij udaljen 20 km. Obračun za kompletan rad, materijal i sve transporte je po m² kompletno obrađene i pripremljene površine pročelja. Otvori se odbijaju u cijeloj površini.</t>
  </si>
  <si>
    <t>5.</t>
  </si>
  <si>
    <t xml:space="preserve">Priprema špaleta za RAL ugradnju zajedničkih prozora i vrata </t>
  </si>
  <si>
    <t xml:space="preserve">Obrada špaleta prozora i vrata kao priprema za RAL ugradnju nakon demontaže postojeće i prije ugradnje nove stolarije:
sanacija pukotina špaleta konstrukcijskim reparaturnim polimercementnim mortom, krpanje oštećenja na zidovima produžnim mortom, te izravnavanje većih neravnina grubom produžnom žbukom, uz adekvatnu pripremu. Špaletu pripremiti i otprašiti za pravilno ljepljenje traka za RAL ugradnju prema uputama proizvođača. Stavka uključuje horizontalni i vertikalni transport šute i materijala po gradilištu, prijenos i odvoz otpadnog materijala i šute na deponij udaljen 20 km. Obračun po komadu otvora. </t>
  </si>
  <si>
    <t>kom</t>
  </si>
  <si>
    <t>6.</t>
  </si>
  <si>
    <t>PRIPREMNI RADOVI I SKELA UKUPNO (ZAJEDNIČKI PROSTORI):</t>
  </si>
  <si>
    <t>Priprema špaleta za RAL ugradnju prozora i vrata loggia</t>
  </si>
  <si>
    <t xml:space="preserve">Obrada špaleta prozora i vrata loggia kao priprema za RAL ugradnju nakon demontaže postojeće i prije ugradnje nove stolarije: sanacija pukotina špaleta konstrukcijskim reparaturnim polimercementnim mortom, krpanje oštećenja na zidovima produžnim mortom, te izravnavanje većih neravnina grubom produžnom žbukom, uz adekvatnu pripremu. Špaletu pripremiti i otprašiti za pravilno ljepljenje brtvenih traka za RAL ugradnju prema uputama proizvođača. Stavka uključuje horizontalni i vertikalni transport šute i materijala po gradilištu, prijenos i odvoz otpadnog materijala i šute na deponij. Obračun po komadu otvora. </t>
  </si>
  <si>
    <t>A. GRAĐEVINSKI RADOVI / A.II.1. RUŠENJA I DEMONTAŽE</t>
  </si>
  <si>
    <t>RUŠENJA I DEMONTAŽE (ZAJEDNIČKI PROSTORI)</t>
  </si>
  <si>
    <t xml:space="preserve">Projekt energetske obnove zgrade izrađen je temeljem mogućih izmjera i pretpostavljenih zidnih, stropnih i krovnih slojeva. Dužnost je izvođača da sondiranjem utvrdi stvarni sastav konstrukcija i u slučaju odstupanja sastava upozori nadzornog inženjera i investitora na odstupanje. </t>
  </si>
  <si>
    <t>Prije početka radova potrebno je konstrukcije u koje ne zadiru radovi zaštititi od mogućeg oštećenja. Sve otvore na pročeljima zgrade treba odmah nakon postave skele zaštititi PVC folijom debljine 0,20 mm kako ne bi došlo do njihovog oštećenja.</t>
  </si>
  <si>
    <t>Nakon provedenih pripremnih radova, svih potrebnih rasterećenja i potrebnih osiguranja, rušenja na građevini vrše se prema unaprijed utvrđenom redoslijedu dogovorenim s nadzornim inženjerom na način kojim se ne ugrožava stabilnost zgrade, sigurnost radnika i ljudi koji borave u zgradi. Demontaže i rušenja izvode se u pravilu od krova prema podrumu/prizemlju.</t>
  </si>
  <si>
    <t>Sva rušenja i demontaže konstruktivnih elemenata treba izvršiti pod nadzorom projektanta. Kod vršenja proboja ili vođenja instalacija u nosivim konstrukcijama zahvat vršiti maksimalno precizno bez narušavanja nosivih svojstava konstrukcije. Prilikom zahvata na nosivim konstrukcijama obavezno je podupiranje. Sva rušenja, probijanja, bušenja i dubljenja treba u pravilu izvoditi ručnim alatom bez upotrebe vibracionih uređaja, s osobitom pažnjom.</t>
  </si>
  <si>
    <r>
      <t xml:space="preserve">Demontažu i ponovnu montažu gromobrana, uz atestiranje, izvođač treba izvoditi prema </t>
    </r>
    <r>
      <rPr>
        <b/>
        <i/>
        <sz val="9"/>
        <rFont val="Calibri"/>
        <family val="2"/>
        <charset val="238"/>
      </rPr>
      <t>Tehničkom propisu za sustave zaštite od djelovanja munje na građevinama (NN 87/08, 33/10).</t>
    </r>
  </si>
  <si>
    <r>
      <t>U cijenu radova trebaju biti uključene sve podupore, skele i privremene (zamjenske) konstrukcije, koje osiguravaju stabilnost u toku radova, svi horizontalni i vertikalni prijenosi materijala od rušenja i demontaže, i odvoz na gradsku planirku. U cijenu radova je uključeno i sigurno zbrinjavanje opasnih materijala (</t>
    </r>
    <r>
      <rPr>
        <b/>
        <sz val="9"/>
        <rFont val="Calibri"/>
        <family val="2"/>
      </rPr>
      <t>azbest, freoni</t>
    </r>
    <r>
      <rPr>
        <sz val="9"/>
        <rFont val="Calibri"/>
        <family val="2"/>
        <charset val="238"/>
      </rPr>
      <t xml:space="preserve">). Ukoliko se uklanjaju elementi koji sadrže azbest to se mora učiniti u skladu s </t>
    </r>
    <r>
      <rPr>
        <b/>
        <i/>
        <sz val="9"/>
        <rFont val="Calibri"/>
        <family val="2"/>
        <charset val="238"/>
      </rPr>
      <t>Pravilnikom o načinu i postupcima i gospodarenjem otpadom koji sadrži azbest (NN 42/07).</t>
    </r>
  </si>
  <si>
    <t xml:space="preserve">Demontaža i privremeno deponiranje pločica sa kućnim brojem, natpisnih ploča, vanjskih jedinica rashladnih uređaja, gromobrana, strujnih ormarića i sl. uključuje njihovu sigurnu pohranu na gradilištu ili kod vlasnika. Izvođač snosi sve troškove ponovne dobave ili izrade pojedinih elemenata u slučaju oštećenja ili otuđenja sa gradilišta. Demontažu postojećih limenih elemenata, uključujući i prozorske klupčice na pročelju obavezno izvodi limar koji je dužan uzeti mjere i uzorke te snimiti detalje izvedbe, što je uključeno u cijenu stavke. Demontažu i ponovnu montažu postojećih vanjskih jedinica rashladnih uređaja na pročelju izvodi ovlašteni instalater. Demontažu i ponovnu montažu postojećeg gromobrana, strujnih ormarića i sl. na pročelju izvodi ovlaštena osoba. </t>
  </si>
  <si>
    <t>U slučaju  nastalih šteta, radi nepravodobno zaštićene lokacije na kojoj se vrše rušenja i demontaže, sve troškove nastalih šteta snosi izvođač. Izvođač je dužan striktno se držati mjera zaštite na radu.</t>
  </si>
  <si>
    <t>Demontaža i ponovna montaža montažnih elemenata na pročelju i krovu</t>
  </si>
  <si>
    <t>Demontaža, privremeno uklanjanje i ponovna montaža postojećih TV antena, kablova i pripadajućih kanalica, rasvjetnih tijela, razvodnih ormarića,  i sl. sa svih pročelja i krova. Sve demontirane elemente potrebno je sigurno pohraniti na gradilištu. Nakon radova rušenja i demontaže kablove je potrebno ugraditi podžbukno u nove kanalice, a nakon izvedbe pročelja upotrebljive demontirane elemente potrebno je ponovno montirati, a neupotrebljive elemente odvesti na deponij udaljen 20 km. Otpajanje i ponovno spajanje svih vodova, uzemljenja i sl. vrši ovlaštena stručna osoba. Provjeriti točan broj prije nuđenja. 
Obračun po komadu.</t>
  </si>
  <si>
    <t>m¹</t>
  </si>
  <si>
    <t>Demontaža vrata i prozora zajedničkih prostora stubišta</t>
  </si>
  <si>
    <t>Demontaža i ponovna montaža postojećeg gromobrana</t>
  </si>
  <si>
    <t>7.</t>
  </si>
  <si>
    <t>8.</t>
  </si>
  <si>
    <t>9.</t>
  </si>
  <si>
    <t>10.</t>
  </si>
  <si>
    <t>Sav skinuti ili srušeni materijal sortirati, složiti i transportirati na deponij udaljen 20 km. Sagledati mogućnost ponovnog korištenja pojedinih elemenata kao što su vodolovna grla, ventilacione cijevi i sl.</t>
  </si>
  <si>
    <t>Sve radove izvoditi pažljivim rezanjem i bez vibracija kako se ne bi oštetile okolne konstrukcije, nosiva konstrukcija međukatne ploče te završni slojevi zidova, stropova i podova. Sve  izvoditi u skladu s propisanim higijensko-tehničkim mjerama zaštite na radu, s potrebnim radnim skelama i podupiranjima i pod nadzorom stručne osobe. Sav prostor nakon rušenja zaštititi od vremenskih nepogoda (vlaženje, prokišnjavanje, rashlađivanje i ostalo).</t>
  </si>
  <si>
    <t>11.</t>
  </si>
  <si>
    <t>Demontaža i ponovna montaža split rashladnih uređaja</t>
  </si>
  <si>
    <t xml:space="preserve">  </t>
  </si>
  <si>
    <t>(provjeriti točan broj prije nuđenja) split uređaji</t>
  </si>
  <si>
    <t>cijev za odvodnju kondenzata</t>
  </si>
  <si>
    <t>12.</t>
  </si>
  <si>
    <t>Ispitivanje instalacija</t>
  </si>
  <si>
    <t xml:space="preserve">Ispitivanje gromobranskih instalacija, električnih instalacija, instalacija 'SPLIT' sustava i drugih instalacija nakon izvedbe nove fasade i novog krova i ponovne montaže istih,  zajedno s izdavanjem uvjerenja o sigurnom funkcioniranju kod upotrebe.
</t>
  </si>
  <si>
    <t>RUŠENJA I DEMONTAŽE UKUPNO (ZAJEDNIČKI PROSTORI):</t>
  </si>
  <si>
    <t>Demontaža postojećih prozora i balkonskih vrata u stanovima koji se mijenjaju, uključujući i prozorske klupčice, pragove i kutije za flos ili eslinger roletu.
Dimenzije su izražene u zidarskim (građevinskim mjerama). 
Uključen sav transport i zbrinjavanje otpada na deponiju udaljenom 20 km. 
Obračun po komadu stolarske stavke.</t>
  </si>
  <si>
    <t>A.IV.1</t>
  </si>
  <si>
    <t>ZIDARSKI RADOVI (ZAJEDNIČKI PROSTORI)</t>
  </si>
  <si>
    <t>Opći uvjeti su sastavni dio svake pojedine stavke. Sve što je navedeno u njima, a nije u pojedinačnom opisu stavke smatra se uključenim u jediničnu cijenu.</t>
  </si>
  <si>
    <t xml:space="preserve">Sve radove izvođač mora izvoditi prema troškovniku i glavnom projektu, solidno i stručno, prema pravilima dobrog zanata, Pravilniku o tijelima, dokumentaciji i postupcima tržišta građevnih proizvoda  (NN 118/19), Pravilniku o tehničkim normativima za projektiranje i izvođenje završnih radova u građevinarstvu (Sl.list SFRJ 21/90), Tehničkim propisom za građevinske konstrukcije (NN 17/17, 75/20, 7/22 - uz prikladne norme HRN EN 1990 ili jednakovrijedno _________________,HRN EN 1991 ili jednakovrijedno _________________, HRN EN 1996 ili jednakovrijedno _________________, HRN EN 1997 ili jednakovrijedno _________________ i HRN EN 1998 ili jednakovrijedno _________________, NN 75/20), Tehničkim propisom o racionalnoj uporabi energije i toplinskoj zaštiti u zgradama („Narodne novine“ broj 128/15, 70/18., 73/18, 86/18, 102/20) sa pripadajućim normama, Tehničkim propisom o građevnim proizvodima (NN 35/18, 104/19), te svim ostalim hrvatskim i europskim tehničkim propisima i normama i priznatim tehničkim pravilima, ili jednakovrijedno, a osobito :      </t>
  </si>
  <si>
    <t>EN 1015-7 ili jednakovrijedno _________________, zapreminska masa i poroznost svježeg morta
EN 1015-3 ili jednakovrijedno _________________, konzistencija svježeg morta
EN 1015-11, tlačna i savojna vlačna čvrstoća morta
EN 771-1 ili jednakovrijedno _________________, EN 772-1 ili jednakovrijedno _________________, EN 7723 ili jednakovrijedno _________________, EN 772-13 ili jednakovrijedno _________________, EN 772-16 ili jednakovrijedno _________________, HRN EN 14063-1:2008 ili jednakovrijedno _________________,
tlačna čvrstoća opeke, na mjestu primjene oblikovani proizvodi od lakoagregatne eksp. gline</t>
  </si>
  <si>
    <t>HRN B.C1.030, B.C8.030 ili jednakovrijedno _________________, građevinski gips
HRN B.C1.020, B.C8.030 ili jednakovrijedno _________________, građevinsko vapno
HRN B.C8.015,022 – 026 ili jednakovrijedno _________________, cement
HRN B.C8.011 ili jednakovrijedno _________________, portland cement
HRN B.C8.030 ili jednakovrijedno _________________, pijesak
HRN U.M2.010, U.M2.012 ili jednakovrijedno _________________, mortovi
HRN U.F2.010 ili jednakovrijedno _________________, tehnički normativi za izvođenje fasaderskih radova</t>
  </si>
  <si>
    <t>HRN EN 1008, HRN EN 13139;2003+AC;2006 ili jednakovrijedno _________________, voda i pijesak 
HRN EN 197-1:2012 ili jednakovrijedno _________________, cement
HRN EN 459-1:2015 ili jednakovrijedno _________________, vapno</t>
  </si>
  <si>
    <t>Svi upotrebljeni materijali za izvedbu zidarskih radova moraju odgovarati navedenim propisima i normama. Izvođač mora prije izvedbe izvršiti pregled podloge te prodora u zidu prema nacrtu u prisutnosti nadzornog inženjera te upisati napomenu u građevinski dnevnik. Navedene radnje uključene su u jediničnu cijenu.</t>
  </si>
  <si>
    <t xml:space="preserve">Izvođač je dužan osigurati i zaštititi sve dijelove građevine na kojima se izvode radovi, radi sprečavanja oštećenja tijekom izvedbe. Sva oštećenja na dijelovima na kojima se ne izvode radovi ili koja su nastala nepažnjom izvođača isti je dužan otkloniti o vlastitom trošku. </t>
  </si>
  <si>
    <t xml:space="preserve">Sav rad i transport vrši se isključivo sa vanjske strane građevine, tj. preko skele. Zidarsko-fasaderski radovi se izvode na dobro očišćenoj i otprašenoj površini zida te ih treba izvoditi samo u povoljnim vremenskim uvjetima, uz odgovarajuće osiguranje i zaštitu svježe ožbukanih površina od štetnog utjecaja djelovanja sunca i oborina. Sve detalje izvedbe na pročelju potrebno je dogovoriti i na njih ishoditi suglasnost nadzornog inženjera, a prije pristupanja izvedbi radova. Obračun svih radova vršiti kako je to naznačeno u opisu stavke.
</t>
  </si>
  <si>
    <t>Prilikom izvođenja zidova zgrada izvođač se mora pridržavati slijedećih mjera:
- zidanje se mora izvoditi sa pravilnim zidarskim vezovima, a preklop mora iznositi najmanje jednu četvrtinu dužine zidnog elementa,
- debljina ležajnica ne smije biti veća od 15 mm, a širina sudarnica ne smije biti manja od 10 mm niti veća od 15 mm,
- ako se zida za vrijeme zime treba zidove zaštiti od mraza,
- zidovi čije izvođenje nije završeno prije nastupanja zimskih mrazova moraju se zaštiti na odgovarajući način,
- svako naknadno bušenje ili izrada užljebina u zidovima zgrade koje nije bilo predviđeno projektom, može se izvoditi samo ako je prethodnim statičkim proračunom utvrđeno da nosivost zida poslije tog bušenja odnosno izrade žlijeba nije manja od propisane nosivosti.
- poprečni i uzdužni zidovi moraju na spoju biti međusobno povezani zidarskim vezom, tj. za  pregradne zidove treba ispustiti zupce u masivnom zidu na svaki drugi red za ½ opeke.
- zidove uz vertikalni serklaž također zupčasto izvesti.
- vanjske fuge ostaviti prazne od 1,5 do 2 cm za vezu žbuke prigodom žbukanja zidova.
- za vrijeme zidanja opeku kvasiti vodom, a pri zidanju cementnim mortom opeka mora ležati u vodi neposredno prije zidanja
- reške dimnjaka i ventilacionih kanala zagladiti.
- prilikom zidanja pravovremeno ostaviti otvore prema zidarskim mjerama, voditi računa o uzidavanju pojedinih građevinskih elemenata, o ostavljanju žljebova za kanalizaciju, za centralno grijanje ako su ucrtani (ne plaća se posebno, ulazi u jediničnu cijenu)</t>
  </si>
  <si>
    <t>Posebno se ne naplaćuje ni zatvaranje (žbukanje šliceva, žljebova i sl.) iza položene instalacije.
Zazidavanje (zatvaranje) žljebova u zidovima ostavljenih za instalacije kanalizacije i grijanja nakon izvođenja tih instalacija, opekom, rabicom ili na drugi način, ne plaća se posebno, ukoliko troškovnikom nije posebno propisano. Obračun nosivih zidova, stupova i dimnjaka je zapreminski (m3), pregradnih zidova i žbuka površinski (m2).</t>
  </si>
  <si>
    <r>
      <t>Žbukati tek kada se zidovi osuše i slegne zgrada</t>
    </r>
    <r>
      <rPr>
        <b/>
        <sz val="9"/>
        <rFont val="Calibri"/>
        <family val="2"/>
        <charset val="238"/>
      </rPr>
      <t xml:space="preserve">. Ne smije se žbukati kad postoji opasnost od smrzavanja ili ekstremno visokih temperatura 30° </t>
    </r>
    <r>
      <rPr>
        <sz val="9"/>
        <rFont val="Calibri"/>
        <family val="2"/>
        <charset val="238"/>
      </rPr>
      <t xml:space="preserve">ili više. Zidovi moraju biti prije žbukanja čisti, a fuge udubljene, da se žbuka može dobro primiti. </t>
    </r>
  </si>
  <si>
    <t>Završene površine moraju biti ravne i glatke, a uglovi i bridovi, te spojevi zida i stropa izvedeni oštro ukoliko u troškovniku nije drugačije označeno. Rabiciranje žbuke izvodi se pomoću alkalno otporne staklene mrežice ili sitno pletene mreže od nehrđajućeg čelika. Točno izvedena žbuka je ona koja po horizontali i vertikali nema odstupanja veća od 1‰  u bilo kojem smjeru, za jednu etažu. Troškovi sanacije dijelova izvedenih van ovih kriterija padaju na teret izvođača radova.</t>
  </si>
  <si>
    <t>Kod obrade fasade plemenitom žbukom bila to šerana (grebana) ili prskana (hirofa), žbuka mora biti kvalitetna, tvorničke izvedbe u izabranoj boji i kvaliteti. Kod izrade fasadnih žbuka raditi prema uputstvu proizvođača.</t>
  </si>
  <si>
    <t>Zidarska pripomoć obrtnicima, instalaterima, nošenje izuzetno teških predmeta i pripomoć kod raznih ugradnji obračunava se u radnim satima, a u cijenu je uključen i potreban materijal za pripomoć (za krpanja, ugradnju i sl.).</t>
  </si>
  <si>
    <t>Izvođač će pristupiti izvedbi završnih zidarskih radova tek nakon što projektant potpisom potvrdi tehnološku razradu svih detalja.</t>
  </si>
  <si>
    <t>Popravci žbuke nakon ugradnje nove stolarije</t>
  </si>
  <si>
    <t>Stavka obuhvaća sve popravke oštećene unutarnje žbuke zidova,  stropova i špaleta oko otvora koji su oštećeni prilikom izvođenja radova rušenja i demontaže fasadnih stavki, instalacija i sl, nakon ugradnje novih stolarskih stavki. Postojeću podlogu potrebno je prethodno impregnirati i obraditi reparaturnim mortom.</t>
  </si>
  <si>
    <t xml:space="preserve">Sve kuteve i bridove učvrstiti kutnim profilima. Sve betonske površine prethodno premazati sredstvom za povećanje prionjivosti. Sve spojeve različitih materijala potrebno je rabicirati. Kod popravaka  postojeće žbuke, za zapunjavanje otvora, reški i šliceva upotrijebiti prikladan materijal (polistiren, gips ploče, opeka, porobeton ili sl.) što je uključeno u stavku. </t>
  </si>
  <si>
    <t>Stavkom je obuhvaćeno žbukanje površina od opeke i od armiranog betona. Žbukanje se vrši grubom produžnom podložnom žbukom i finom  žbukom.  Žbuka mora biti potpuno ravna, ukupna debljina žbuke mora biti u istoj ravnini sa postojećom žbukom, a završni sloj fino zaglađen.</t>
  </si>
  <si>
    <t>m2</t>
  </si>
  <si>
    <t>Zidarski popravci i pripomoć</t>
  </si>
  <si>
    <t>A.IV.1.</t>
  </si>
  <si>
    <t>ZIDARSKI RADOVI UKUPNO (ZAJEDNIČKI PROSTORI):</t>
  </si>
  <si>
    <t>A.IV.2.</t>
  </si>
  <si>
    <t xml:space="preserve">A. GRAĐEVINSKI RADOVI / A.V. IZOLATERSKI RADOVI </t>
  </si>
  <si>
    <t>IZOLATERSKI RADOVI</t>
  </si>
  <si>
    <t xml:space="preserve">Sve radove izvođač mora izvoditi prema troškovniku i glavnom projektu, solidno i stručno, prema pravilima dobrog zanata, Pravilniku o tijelima, dokumentaciji i postupcima tržišta građevnih proizvoda  (NN 118/19), Pravilniku o tehničkim normativima za projektiranje i izvođenje završnih radova u građevinarstvu (Sl.list SFRJ 21/90), Tehničkim propisom za građevinske konstrukcije (NN 17/17, 75/20, 7/22 - uz prikladne norme HRN EN 1990,HRN EN 1991 ili jednakovrijedno _________________, HRN EN 1996, HRN EN 1997 ili jednakovrijedno _________________ i HRN EN 1998 ili jednakovrijedno _________________, NN 75/20), Tehničkim propisom o racionalnoj uporabi energije i toplinskoj zaštiti u zgradama („Narodne novine“ broj 128/15, 70/18., 73/18, 86/18, 102/20) sa pripadajućim normama, Tehničkim propisom o građevnim proizvodima (NN 35/18, 104/19), Tehničkim uvjetima za projektiranje i građenje zgrada - Akustika u građevinarstvu (HRN U.J6.201/89 ili jednakovrijedno _________________), te svim ostalim tehničkim propisima, priznatim tehničkim pravilima i HR normama, ili jednakovrijedno.             
</t>
  </si>
  <si>
    <t xml:space="preserve">Izvođač radova mora za sve materijale koje će upotrijebiti za izvedbu izolacije pribaviti odgovarajuće dokaze o sukladnosti. Hidroizolaciju, toplinsku ili zvučnu izolaciju treba izvoditi prema specifikaciji radova i tehničkim uvjetima izvođenja. </t>
  </si>
  <si>
    <t xml:space="preserve">Površine na koje se polaže izolacija trebaju biti ravne i očišćene od prašine ili drugih nečistoća. Toplinsku i zvučnu izolaciju potrebno je izvesti kontinuirano bez reški kako bi se spriječili toplinski ili zvučni mostovi. </t>
  </si>
  <si>
    <t xml:space="preserve"> Nakon izvedbe svakog sloja izolacije nadzorni organ treba izvršiti pregled, a tek nakon pozitivnog mišljenja i upisa u građevinski dnevnik može se nastaviti sa radom.</t>
  </si>
  <si>
    <t>Skladištenje materijala na gradilištu mora biti stručno kako bi se isključila bilo kakva mogućnost propadanja. Nepravilno i nekvalitetno izvedene radove izvođač mora na svoj trošak ukloniti i izvesti pravilno.</t>
  </si>
  <si>
    <t>Izvođač je dužan sve izvoditi prema uputama proizvođača, isporučitelja materijala te ovjerenih detalja. Izvođač će pristupiti izvedbi tek nakon što projektant potpisom potvrdi tehnološku razradu svih detalja. Izrada rješenja neće se posebno naplatiti već predstavlja trošak i obavezu izvođača.</t>
  </si>
  <si>
    <r>
      <rPr>
        <b/>
        <sz val="9"/>
        <rFont val="Calibri"/>
        <family val="2"/>
        <charset val="238"/>
      </rPr>
      <t>HIDROIZOLACIJA</t>
    </r>
    <r>
      <rPr>
        <sz val="9"/>
        <rFont val="Calibri"/>
        <family val="2"/>
        <charset val="238"/>
      </rPr>
      <t xml:space="preserve">
Sve hidroizolaterske radove treba izvesti solidno i stručno držeći se projektne dokumentacije, propisa, opisa iz troškovnika, uputa proizvođača i pravila dobrog zanata. Prije početka radova izvođač mora ustanoviti kvalitetu podloge na kojoj se izvodi izolacija i ako nije pogodna za rad mora o tome izvijestiti naručitelja radova kako bi se podloga na vrijeme popravila i pripremila za izvođenje izolacije.
</t>
    </r>
  </si>
  <si>
    <t>Sav materijal za izolaciju treba  odgovarati propisima i normativima. Izolacijsku ljepenku i ostale vrste izolacijskih traka i ploča treba rezati ravno i pravokutno. Zaderani i krpani komadi ne smiju se ugrađivati. Svi preklopi moraju biti najmanje 10 cm široki i lijepljeni varenjem. Kod polaganja dvaju ili više slojeva izolacijskih traka ili ploča preklopi ne smiju ležati jedan na drugom, već moraju biti pomaknuti.</t>
  </si>
  <si>
    <t>Kod hidroizolacije zidova ljepenka treba na svaku stranu zida imati prihvat širine od 10 cm, koji treba spojiti s horizontalnom izolacijom podova. Površine na koje se polaže izolacija, trebaju biti posve ravne, suhe, očišćene od prašine i nečistoće i dovoljno glatke kako bi izolacija dobro prionula. Izolacija treba prilegnuti na površinu ravno, bez nabora i mjehura. U cijeni također treba uključiti obradu slojeva izolacije i  izvedbu holkera uz vertikalne zidove, oko raznih prodora kroz slojeve izolacije (instalacije), kao i ugradnje završnih profila i sl.</t>
  </si>
  <si>
    <t xml:space="preserve">Posebnu pažnju obratiti na zaštitu od požara kod rada s vrućim bitumenskim premazima i varenim ljepenkama zbog velike zapaljivosti bitumena. U slučaju požara gasiti pijeskom ili pjenom. Gašenje vodom je opasno zbog prskanja vrelog bitumena. </t>
  </si>
  <si>
    <t xml:space="preserve">Svi materijali za izvedbu hidroizolaterskih radova moraju u pogledu kvalitete odgovarati HR normama koje propisuje Tehnički propis o građevnim proizvodima (NN 35/18), sukladno normi koja se odnosi na određeni proizvod, ili jednakovrijedno, a osobito:
</t>
  </si>
  <si>
    <t xml:space="preserve">HRN EN 13707:2013 ili jednakovrijedno _________________, bitumenske hidroizolacijske krovne trake sa uloškom 
HRN EN 13859-1:2014 ili jednakovrijedno _________________, podložne trake za prijeklopno pokrivanje krovova
HRN EN 13859-2:2014 ili jednakovrijedno _________________, podložne trake za zidove
HRN EN 13956:2012 ili jednakovrijedno _________________, plastične i elastomerne hidroizolacijske trake za krovove
HRN EN 13967:2017 ili jednakovrijedno _________________, plastične i elastomerne trake za zaštitu od vlage i vode iz tla
HRN EN 13969:2005+A1:2008 ili jednakovrijedno _________________, bitumenske trake za zaštitu od vlage i vode iz tla
HRN EN 13970:2005+A1:2008 ili jednakovrijedno _________________, bitumenske paronepropusne trake
HRN EN 13984:2013 ili jednakovrijedno _________________, plastične i elastomerne paronepropusne trake
HRN EN 14909:2012 ili jednakovrijedno _________________, plastične i elastomerne trake za sprečavanje kapilarnog podizanja vode
HRN EN 14967:2008 ili jednakovrijedno _________________, bitumenske trake za sprečavanje kapilarnog podizanja vode
</t>
  </si>
  <si>
    <t xml:space="preserve">Svi materijali za izvedbu hidroizolaterskih radova moraju u pogledu kvalitete odgovarati priznatim tehničkim pravilima, ili jednakovrijedno, a osobito:
</t>
  </si>
  <si>
    <t xml:space="preserve">HRN U.M3 210 ili jednakovrijedno _________________, bitumenska traka s uloškom jutene tkanine
HRN U.M3 220 ili jednakovrijedno _________________, neposuti, bitumenom impregnirani ravni krov
HRN U.M3 221, bitumenom obostrano obloženi papir
HRN U.M3.224 ili jednakovrijedno _________________, vrući premaz
HRN U.M3 226 ili jednakovrijedno _________________, bitumenska traka s uloškom krovnog kartona
HRN U.M3 227 ili jednakovrijedno _________________, bitumenizirani stakleni voal
HRN U.M3.229 ili jednakovrijedno _________________, bitumenom obložena al.folija
HRN U.M3.230 ili jednakovrijedno _________________, bit. traka s uloškom al.folije
HRN U.M3 231 ili jednakovrijedno _________________, bit. traka s uloškom staklenog voala
HRN U.M3 232 ili jednakovrijedno _________________, bitumenizirani krovni karton
HRN U.M3 234 ili jednakovrijedno _________________, bit. traka s uloškom staklene tkanine
HRN U.M3.240 ili jednakovrijedno _________________, bit. hidroizolac.materijal s organskom zatvaračem za hladni post.
HRN U.M3 242 ili jednakovrijedno _________________, hidroizolac. materijal na osnovi bit.emulzija za hladni postupak
HRN U.M3 244 ili jednakovrijedno _________________, hidroizolac. materijal za topli postupak
HRN U.M3 246 ili jednakovrijedno _________________, hidroizolac. materijal od mastiksa
HRN U.M3 248 ili jednakovrijedno _________________, bitumenizirani perforirani stakleni voal
HRN U.M3 300 ili jednakovrijedno _________________, bit.trake za varenje
</t>
  </si>
  <si>
    <r>
      <t xml:space="preserve">Svi materijali za izvedbu termoizolaterskih radova moraju u pogledu kvalitete odgovarati HR normama koje propisuje </t>
    </r>
    <r>
      <rPr>
        <i/>
        <sz val="9"/>
        <rFont val="Calibri"/>
        <family val="2"/>
        <charset val="238"/>
      </rPr>
      <t>Tehnički propis o racionalnoj uporabi energije i toplinskoj zaštiti u zgradama (NN 128/15, 70/18, 73/18, 86/18, 102/20),</t>
    </r>
    <r>
      <rPr>
        <sz val="9"/>
        <rFont val="Calibri"/>
        <family val="2"/>
        <charset val="238"/>
      </rPr>
      <t xml:space="preserve"> sukladno HRN EN koja se odnosi na određeni proizvod, uključujući i sve važeće europske tehničke propise i norme, a osobito:</t>
    </r>
  </si>
  <si>
    <t>Svi materijali za izvedbu termoizolaterskih radova moraju u pogledu kvalitete odgovarati HRN EN na koje upućuju priznata tehnička pravila (bivši JUS standardi) koji se odnose na specifikacije građevnih proizvoda HRN U.M9.015 ili jednakovrijedno _________________ (mineralna vuna) i HRN G.C7.202 (lake ploče za termoizolaciju) ili jednakovrijedno.</t>
  </si>
  <si>
    <t xml:space="preserve">Prilikom ugradnje ploča mineralne (kamene) vune potrebno je pridržavati se sljedećeg:
Ugrađivati se smije samo suh i neoštećen proizvod. Proizvod se polaže na pripremljenu suhu podlogu. Prilikom polaganja proizvoda na otvorenom potrebno je spriječiti moguće oštećenje uslijed djelovanja atmosferilija (kiša, snijeg). 
</t>
  </si>
  <si>
    <t>Prilikom ugradnje proizvoda, potrebno je pridržavati se redoslijeda ugradnje pojedinih slojeva konstrukcije danih u projektnoj dokumentaciji, odnosno projektu u odnosu na toplinsku zaštitu i uštedu energije, te prospektnoj dokumentaciji i preporukama od strane proizvođača.</t>
  </si>
  <si>
    <t>Tijekom dostave proizvoda (uglavnom na paletama), isti se NIKAKO ne smiju položiti direktno na ploče toplinske izolacije (i hidroizolaciju), već ISKLJUČIVO na prethodno položenu podlogu (daske, ploče od iverice i sl.) preko sloja izolacije.</t>
  </si>
  <si>
    <t xml:space="preserve">Ukoliko se vrši transport materijala i opreme direktno preko sloja toplinsko-izolacijskih ploča, obavezna je postava hodnih staza od dasaka ili ploča od iverica ili sl., preko spomenutog sloja.
Potrebno je poduzeti mjere za sprečavanje oštećenja izolacijskog materijala (izrada privremenih transportnih putova).
</t>
  </si>
  <si>
    <t>Ukoliko je to moguće izvršiti provjeru postojećeg stanja konstrukcije prije nuđenja. Nakon demontaže i uvida u postojeće stanje nosive konstrukcije napraviti provjeru opterećenja, izračun opterečenja uklonjenih slojeva u odnosu na slojeve novog krova mora biti odobren od strane inženjera konstrukcije. U slučaju potrebe za odstupanjem od predviđenih slojeva, isti se neće obračunavati kao dodatni rad. U cijeni predvidjeti eventualno potrebne izmjene na licu mjesta zbog specifičnosti zadatka (sanacija). Izvoditelj treba imati radnike s odgovarajućim iskustvom, obučene i ovlaštene od proizvođača materijala.</t>
  </si>
  <si>
    <t>Postava hidroizolacije prema uputstvima, programu i izvedbenom troškovniku proizvođača, sve komplet u cijeni do pune gotovosti po iskazanim stavkama.</t>
  </si>
  <si>
    <t>a)</t>
  </si>
  <si>
    <t>b)</t>
  </si>
  <si>
    <t>c)</t>
  </si>
  <si>
    <t>d)</t>
  </si>
  <si>
    <t>e)</t>
  </si>
  <si>
    <r>
      <t>m</t>
    </r>
    <r>
      <rPr>
        <vertAlign val="superscript"/>
        <sz val="9"/>
        <rFont val="Calibri"/>
        <family val="2"/>
        <charset val="238"/>
      </rPr>
      <t>2</t>
    </r>
  </si>
  <si>
    <t>NAPOMENA: Sve mjere izvedbe, kao i postojeće konstukcije provjeriti na licu mjesta prije planiranja  i organizacije radova.</t>
  </si>
  <si>
    <t>IZOLATERSKI RADOVI UKUPNO:</t>
  </si>
  <si>
    <t xml:space="preserve">B. OBRTNIČKI RADOVI / B.I. LIMARSKI RADOVI </t>
  </si>
  <si>
    <t>OBRTNIČKI RADOVI</t>
  </si>
  <si>
    <t>LIMARSKI RADOVI</t>
  </si>
  <si>
    <t xml:space="preserve">Sve radove izvođač mora izvoditi prema troškovniku i glavnom projektu, solidno i stručno, prema pravilima dobrog zanata, Pravilniku o tijelima, dokumentaciji i postupcima tržišta građevnih proizvoda  (NN 118/19), Pravilniku o tehničkim normativima za projektiranje i izvođenje završnih radova u građevinarstvu (Sl.list SFRJ 21/90), Tehničkim propisom za građevinske konstrukcije (NN 17/17, 75/20, 7/22 - uz prikladne norme HRN EN 1990,HRN EN 1991 ili jednakovrijedno _________________, HRN EN 1996 ili jednakovrijedno _________________, HRN EN 1997 ili jednakovrijedno _________________ i HRN EN 1998 ili jednakovrijedno _________________, NN 75/20), Tehničkim propisom o racionalnoj uporabi energije i toplinskoj zaštiti u zgradama („Narodne novine“ broj 128/15, 70/18., 73/18, 86/18, 102/20) sa pripadajućim normama, Tehničkim propisom o građevnim proizvodima (NN 35/18, 104/19), te svim ostalim hrvatskim i europskim tehničkim propisima i normama i priznatim tehničkim pravilima, ili jednakovrijedno, a osobito :      </t>
  </si>
  <si>
    <t xml:space="preserve">   </t>
  </si>
  <si>
    <t xml:space="preserve">HRN C.B4.081 ili jednakovrijedno _________________, pocinčani lim
HRN C.C4.020, 025, 030, 051, 060, 120, 150 ili jednakovrijedno _________________, aluminijski lim
HRN C.D4.020 ili jednakovrijedno _________________, bakreni lim
</t>
  </si>
  <si>
    <t>Ukoliko ne postoje adekvatni standardi za materijale koji se ugrađuju, obavezno je pribaviti odgovarajući atest kao dokaz kvalitete.</t>
  </si>
  <si>
    <r>
      <t xml:space="preserve">Izvođač je dužan prije početka radova predočiti projektantu detalje izvedbe i savijanja limova. Tek po odobrenju i nakon ovjere istih od strane projektanta izvođač može pristupiti izvedbi radova. Izvođač je dužan prije početka radova provjeriti sve građevinske elemente na koje, ili za koje se pričvršćuje limarija i pismeno dostaviti naručitelju svoje primjedbe u vezi eventualnih nedostataka posebno u slučaju: </t>
    </r>
    <r>
      <rPr>
        <b/>
        <sz val="9"/>
        <rFont val="Calibri"/>
        <family val="2"/>
        <charset val="238"/>
      </rPr>
      <t>neodgovarajućeg izbora projektiranog materijala i loše riješenog načina vezivanja limarije za građevinske radove.</t>
    </r>
    <r>
      <rPr>
        <sz val="9"/>
        <rFont val="Calibri"/>
        <family val="2"/>
        <charset val="238"/>
      </rPr>
      <t xml:space="preserve"> Izrada rješenja neće se posebno platiti već predstavlja trošak i obvezu izvođača. Prilikom izvođenja limarije izvođač se mora striktno pridržavati usvojenih i od strane projektanta ovjerenih detalja. Izvođač će pristupiti izvedbi tek nakon što projektant potpisom potvrdi radioničke nacrte i tehnološku razradu svih detalja.</t>
    </r>
  </si>
  <si>
    <t xml:space="preserve">Dijelovi različitog materijala ne smiju se dodirivati jer bi uslijed toga moglo doći do korozije. Elementi od čelika za pričvršćivanje cinčanog ili pocinčanog lima moraju se pocinčati, ako u opisu radova nije predviđena neka druga zaštita (postavljanje podmetača od olova ili plastike otpornih na kiseline ili lužine). Za bakreni lim treba primijeniti učvršćivanje od bakra ili bakrenog čelika.
</t>
  </si>
  <si>
    <t xml:space="preserve">Sastav i učvršćenja moraju biti tako izvedeni da elementi pri toplotnim promjenama mogu nesmetano dilatirati, a da pri tom ostanu nepropusni. Moraju se osigurati od oštećenja koje može izazvati vjetar i sl. Ispod lima koji se postavlja na beton, drvo ili žbuku treba postaviti sloj bitumenske ljepenke, čija su dobava i postava uključene u jediničnu cijenu ako u stavci nije opisano drugačije. Nakon obrade, može se ugraditi samo neoštećeni lim. </t>
  </si>
  <si>
    <t xml:space="preserve">Za elemente za učvršćivanje (kuke, zakovice, jahači, čavli, vijci i sl.) treba primijeniti:
za čelični lim - čelična spojna sredstva,
za pocinčani i olovni lim - dobro pocinčana spojna sredstva,
za bakreni lim - bakrena spojna sredstva,
za alu lim - alu ili galvanizirana Čn spojna sredstva.
</t>
  </si>
  <si>
    <t>Sve vidljive spojeve lima i betonskih ili ožbukanih ploha pročelja treba brtviti po cijeloj dužini spoja trajno elastičnim (plastičnim) bezbojnim kitom. Sve spojeve lima treba obvezno izvesti nepropusno. Plohe izvedene limom moraju biti izvedene pravilno i u ravnini, po nagibima odvodnje i kosinama definiranim u projektu.</t>
  </si>
  <si>
    <t xml:space="preserve">Cijenom izvedbe radova treba obvezno uključiti sve materijale koji se ugrađuju i koriste (osnovne i pomoćne materijale), sav potreban rad (osnovni i pomoćni) na izvedbi radova do potpune gotovosti i funkcionalnosti istih, sve transporte i prijenose do i na gradilištu sve do mjesta ugradnje, sva potrebna skladištenja i zaštite, sav alat i građevinske strojeve, čišćenje tokom rada, odvoz i zbrinjavanje smeća na deponiju udaljenom 20 km, završno čišćenje prije primopredaje radova, nadoknadu eventualne štete nastale iz nepažnje na svojim ili tuđim radovima, sve potrebne zaštitne konstrukcije i skele, kao i sve drugo predviđeno mjerama zaštite na radu i pravilima struke. U cijeni treba također uključiti izvedbu i obradu raznih detalja limarije kod spojeva, prijelaza, lomova i sudara ploha, završetaka limarije i drugo, sve obvezno usklađeno sa drugim različitim materijalima i radovima uz limariju, do potpune gotovosti i funkcionalnosti.
</t>
  </si>
  <si>
    <t>Jedinična cijena uključuje, uzimanje mjera na gradilištu i definiranje ugradbenih dimenzija, tehnološku razradu svih detalja, pripremu podloga, izradu radioničkih nacrta, sav spojni materijal, sve posredne i neposredne troškove za rad, materijal, sva manja potrebna usijecanja utora nužna za ugradnju i savijanje lima i izvedbu detalja, kao i sva sitnija usijecanja ploha te potrebne popravke i zapunjavanja nastalih međuprostora i pukotina cem. mortom.Obračun se vrši po m2 pokrova po kosini krova. U cijenu m2 krovnog pokrova uračunato je postavljanje prefabriciranih pokrovnih elemenata kao snjegobrana i sljemenjaka, uvala, odzračnika i proboja ventilacije.</t>
  </si>
  <si>
    <t>XPS d=2-4 cm</t>
  </si>
  <si>
    <t>m'</t>
  </si>
  <si>
    <t>LIMARSKI RADOVI UKUPNO:</t>
  </si>
  <si>
    <t xml:space="preserve">Sve radove izvođač mora izvoditi prema troškovniku i glavnom projektu, solidno i stručno, prema pravilima dobrog zanata, Pravilniku o tijelima, dokumentaciji i postupcima tržišta građevnih proizvoda (NN 118/19), Pravilniku o tehničkim normativima za projektiranje i izvođenje završnih radova u građevinarstvu (Sl.list SFRJ 21/90), Tehničkim propisom za građevinske konstrukcije (NN 17/17 - uz prikladne norme HRN EN 1990 ili jednakovrijedno _________________,HRN EN 1991 ili jednakovrijedno _________________, HRN EN 1996 ili jednakovrijedno _________________, HRN EN 1997 ili jednakovrijedno _________________ i HRN EN 1998, NN 75/20 ili jednakovrijedno _________________), Tehničkim propisom o racionalnoj uporabi energije i toplinskoj zaštiti u zgradama („Narodne novine“ broj 128/15, 70/18., 73/18, 86/18, 102/20) sa pripadajućim normama, Tehničkim propisom o građevnim proizvodima (NN 35/18, 104/19), te svim ostalim hrvatskim i europskim tehničkim propisima i normama i priznatim tehničkim pravilima, ili jednakovrijedno, a osobito :      </t>
  </si>
  <si>
    <t xml:space="preserve">HRN EN 14351-1:2016 ili jednakovrijedno _________________, prozori i vrata - norma za proizvod, izvedbene značajke
HRN EN 12207:2017 ili jednakovrijedno _________________, prozori i vrata - propusnost zraka
HRN EN 12208:2001 ili jednakovrijedno _________________, prozori i vrata - vodonepropusnost 
HRN EN 12210:2016 ili jednakovrijedno _________________, prozori i vrata - otpornost na opterećenje vjetrom
HRN EN ISO 140-3 ili jednakovrijedno _________________, akustika - mjerenje razine zvuka u zgradama i elementima zgrada
HRN EN ISO 717-1 ili jednakovrijedno _________________, akustika - određivanje razine zvuka u zgradama
HRN EN 410:1998 ili jednakovrijedno _________________, staklo u graditeljstvu - određivanje svjetlosnih i sunčanih značajka ostakljenja
HRN EN 572-9:2005 ili jednakovrijedno _________________, staklo u graditeljstvu - proizvodi od osnovnog natrij-kalcij-silikatnog stakla
HRN D.E1.012 ili jednakovrijedno _________________, vanjska stolarija
HRN D.E8.193. i 235. ili jednakovrijedno _________________, vodonepropusnost i hermetičnost
</t>
  </si>
  <si>
    <t xml:space="preserve">Prije pristupanja izvođenju radova izvoditelj je dužan izvršiti detaljan pregled svih stolarskih elemenata, prozora i vrata koji se mijenjaju. Stolarski elementi ili njihovi dijelovi, kao i pripadajući okov, koji su oštećeni, moraju se zamijeniti novima. Pri izradi novog elementa, u jediničnu cijenu uračunat je gotov stolarski element sa pripadajućim okovom i ugradnjom na građevinu. </t>
  </si>
  <si>
    <t>Radovi uključuju izradu, dobavu i montažu do potpune gotovosti ugrađenih prozora ili vrata. Brtvljenje i spajanje prema sistemskim rješenjima propisanim od proizvođača sistema. Sav potreban okov za otvaranje mora biti izrađen izrađen od INOX-a satinirane završne obrade. Odabrani okov prilagoditi težini i geometriji krila, tako da nesmetano zadovoljava funkciju otvaranja (otklopni, zaokretni ili zaokretno otklopni). U cijenu stavaka uključeno je i staklo.</t>
  </si>
  <si>
    <t>Sve mjere i količine obavezno provjeriti na licu mjesta prije izrade stolarije.</t>
  </si>
  <si>
    <t>Prozori i vrata ugrađuju se u građevinski pripremljen i obrađen otvor u AB zidu, zidu od blok opeke ili krovne konstrukcije pomoću vijaka primjerenih za ovakvu vrstu montaže. U cijenu je uključen sav potreban rubni opšav, RAL ugradnja (vanjski i unutarnji), vanjska hidroizolacija – paropropusna folija (obuhvaćena u limarskim radovima - prozorske klupčice), unutarnja - paronepropusna folija (parna brana), toplinska izolacija te sav pričvrsni pribor. Kod ugradnje stolarije potrebno je obraditi i toplinski izolirati špalete otvora sa slojem toplinske izolacije minimalno 2 cm, ako u opisu stavke nije naznačena veća debljina TI. Obaveza je izvođača prilikom montaže onemogućiti bilo kakvu pojavu toplinskog mosta, radove izvoditi prema priloženim detaljima, pričvršćenja u otvor osnovne konstrukcije kao i prethodno opisani način zaštite od prodora vodene pare iz unutrašnjosti u konstrukciju te atmosferskih utjecaja izvana - sve to prema smjernicama i uputama za RAL-ugradnju.</t>
  </si>
  <si>
    <t xml:space="preserve"> U cijenu također treba biti uključena i izrada unutarnje PVC klupčice, na potkonstrukciji, prema RAL ton karti-prema odabiru projektanta, osim ako stavkom nije opisano drugačije. U cijenu također treba biti uključena i izrada unutrašnjih gipskartonskih špaleta, osim ako to nije opisano zasebno u gipskartonskim radovima.</t>
  </si>
  <si>
    <t xml:space="preserve">Sve stavke opisane su zidarskom mjerom. Prije izvedbe sve mjere kontrolirati u naravi. </t>
  </si>
  <si>
    <t xml:space="preserve">Na spoju raznih kvaliteta lima izvesti potrebno galvansko razdvajanje. Izvedba razdvajanja mora biti otporna i postojana na atmosferilije i smrzavanje.
</t>
  </si>
  <si>
    <t>Jedinična cijena uključuje uzimanje mjera na gradilištu i definiranje ugradbenih dimenzija, tehnološku razradu svih detalja, izradu radioničkih nacrta, sav spojni materijal, sidrene ploče, mort za podlijevanje ležaja, zaštitu od korozije, postavu i skidanje radne skele, striktnu primjenu mjera zaštite od požara, sve posredne i neposredne troškove za rad, materijal, alat i građevinske strojeve, sve transporte, čišćenje tokom rada, odvoz i zbrinjavanje smeća na deponij udaljen 20 km, završno čišćenje prije primopredaje radova, nadoknadu eventualne štete nastale iz nepažnje na svojim ili tuđim radovima.</t>
  </si>
  <si>
    <t>Stavka uključuje kompletnu funkcionalnu, završno ugrađenu, ostakljenu i obrađenu stavku, sav okov po izboru projektanta, sva sidra i sidrene detalje, spojna i pričvrsna sredstva. U stavku je uključena obrada spoja na kontaktne plohe zidova kao i sva potrebna prilagođavanja i podešavanja. Vrstu okova predložiti projektantu na uvid i odobrenje.</t>
  </si>
  <si>
    <t>U cijenu stavke uračunato je uzimanje mjera na licu mjesta, dobava i ugradnja. Obračun po komadu.</t>
  </si>
  <si>
    <t>rubni opšav (vanjski i unutarnji) - RAL ugradnja: vanjska hidroizolacija-paropropusna folija i unutarnja-paronepropusna (parna brana); ili brtvena ekspandirajuća traka i unutarnji PVC kutnik.</t>
  </si>
  <si>
    <t>Stavka uključuje kompletnu funkcionalnu, završno ugrađenu i obrađenu stavku, sav okov po izboru projektanta, sva sidra i sidrene detalje, spojna i pričvrsna sredstva. U stavku je uključena obrada spoja na kontaktne plohe zidova kao i sva potrebna prilagođavanja i podešavanja. Vrstu okova predložiti projektantu na uvid i odobrenje.</t>
  </si>
  <si>
    <t xml:space="preserve">B. OBRTNIČKI RADOVI / B.III. VANJSKA BRAVARIJA </t>
  </si>
  <si>
    <t>VANJSKA BRAVARIJA</t>
  </si>
  <si>
    <r>
      <t xml:space="preserve">Sve radove izvođač mora izvoditi prema troškovniku i izvedbenoj projektnoj dokumentaciji, solidno i stručno, prema pravilima dobrog zanata i mjerama uzetima na licu mjesta, </t>
    </r>
    <r>
      <rPr>
        <i/>
        <sz val="9"/>
        <rFont val="Calibri"/>
        <family val="2"/>
        <charset val="238"/>
      </rPr>
      <t>Pravilniku o ocjenjivanju sukladnosti, ispravama o sukladnosti i označavanju građevinskih proizvoda (NN 103/08, 147/09, 87/10, 129/11)</t>
    </r>
    <r>
      <rPr>
        <sz val="9"/>
        <rFont val="Calibri"/>
        <family val="2"/>
        <charset val="238"/>
      </rPr>
      <t xml:space="preserve">, </t>
    </r>
    <r>
      <rPr>
        <i/>
        <sz val="9"/>
        <rFont val="Calibri"/>
        <family val="2"/>
        <charset val="238"/>
      </rPr>
      <t>Pravilniku o tehničkim mjerama i uvjetima za završne radove u zgradarstvu (Sl.list br. 21/90)</t>
    </r>
    <r>
      <rPr>
        <sz val="9"/>
        <rFont val="Calibri"/>
        <family val="2"/>
        <charset val="238"/>
      </rPr>
      <t xml:space="preserve">, </t>
    </r>
    <r>
      <rPr>
        <i/>
        <sz val="9"/>
        <rFont val="Calibri"/>
        <family val="2"/>
        <charset val="238"/>
      </rPr>
      <t>Tehničkom propisu o racionalnoj upotrebi energije i toplinskoj zaštiti u zgradama (NN 97/14, 130/14)</t>
    </r>
    <r>
      <rPr>
        <sz val="9"/>
        <rFont val="Calibri"/>
        <family val="2"/>
        <charset val="238"/>
      </rPr>
      <t xml:space="preserve"> s pripadajućim normama, </t>
    </r>
    <r>
      <rPr>
        <i/>
        <sz val="9"/>
        <rFont val="Calibri"/>
        <family val="2"/>
        <charset val="238"/>
      </rPr>
      <t>Tehničkom propis o građevnim proizvodima (NN 33/10, 87/10, 146/10, 81/11, 100/11, 130/12, 81/13),</t>
    </r>
    <r>
      <rPr>
        <sz val="9"/>
        <rFont val="Calibri"/>
        <family val="2"/>
        <charset val="238"/>
      </rPr>
      <t xml:space="preserve"> prema </t>
    </r>
    <r>
      <rPr>
        <i/>
        <sz val="9"/>
        <rFont val="Calibri"/>
        <family val="2"/>
        <charset val="238"/>
      </rPr>
      <t>Tehničkim propisima za prozore i vrata (NN 69/06)</t>
    </r>
    <r>
      <rPr>
        <sz val="9"/>
        <rFont val="Calibri"/>
        <family val="2"/>
        <charset val="238"/>
      </rPr>
      <t xml:space="preserve"> sa pripadajućim noramama i ostalim normama prema Odluci o popisu normi bitnih za primjenu Tehničkog propisa za prozore i vrata, te svim ostalim tehničkim propisima, priznatim tehničkim pravilima i HR normama, a osobito:</t>
    </r>
  </si>
  <si>
    <t xml:space="preserve">HRN EN 14351-1:2006, prozori i vrata - norma za proizvod, izvedbene značajke
HRN EN 12207:2001, prozori i vrata - propusnost zraka
HRN EN 12208:2001, prozori i vrata - vodonepropusnost 
HRN EN 12210:2001+AC:2005, prozori i vrata - otpornost na opterećenje vjetrom
HRN EN ISO 140-3, akustika - mjerenje razine zvuka u zgradama i elementima zgrada
HRN EN ISO 717-1, akustika - određivanje razine zvuka u zgradama
HRN EN 410:1998, staklo u graditeljstvu - određivanje svjetlosnih i sunčanih značajka ostakljenja
HRN EN 572-9:2005, staklo u graditeljstvu - proizvodi od osnovnog natrij-kalcij-silikatnog stakla
HRN D.E1.012, vanjska stolarija
HRN D.E8.193. i 235., vodonepropusnost i hermetičnost
</t>
  </si>
  <si>
    <t xml:space="preserve">Ukoliko ne postoje adekvatni standardi za materijale koji se ugrađuju, obavezno je pribaviti odgovarajući atest kao dokaz kvalitete.
</t>
  </si>
  <si>
    <t xml:space="preserve">Prije pristupanju izvođenju radova izvoditelj je dužan izvršiti detaljan pregled svih bravarskih elemenata, prozora i vrata koji se mijenjaju. Bravarski elementi ili njihovi dijelovi, kao i pripadajući okov, koji su oštećeni, moraju se zamijeniti novima. Pri izradi novog elementa, u jediničnu cijenu uračunat je gotov bravarski element sa pripadajućim okovom i ugradnjom na građevinu. </t>
  </si>
  <si>
    <t>Radovi uključuju izradu, dobavu i montažu do potpune gotovosti al. prozora ili vrata od profila sa ili bez prekinutog termičkog mosta, eloksirani ili termolakirani prema RAL ton karti u boji po odabiru projektanta. Brtvljenje i spajanje prema sistemskim rješenjima propisanim od proizvođača sistema. Sav potreban okov za otvaranje potrebno je da je izrađen od INOX-a ili plastificiran u boji profila (prema rješenju projektanata). Odabrani okov prilagoditi težini i geometriji krila, tako da nesmetano zadovoljava funkciju otvaranja (otklopni, zaokretni ili zaokretno otklopni). U cijenu stavaka uključeno je i staklo.</t>
  </si>
  <si>
    <t>Sve mjere obavezno je provjeriti na licu mjesta prije izrade bravarije.</t>
  </si>
  <si>
    <t>Prozori i vrata ugrađuju se u građevinski pripremljeni i obrađeni otvor u AB zidu ili zidu od blok opeka pomoću vijaka primjerenih za ovakvu vrstu montaže. U cijenu je uključen sav potreban rubni opšav (vanjski i unutarnji), vanjska vodonepropusna – paropropusna folija, kamena vuna te sav pričvrsni pribor.</t>
  </si>
  <si>
    <r>
      <t>U cijenu također treba biti uključena i izrada vanjske al. klupčice od al. lima deb. 1mm, na potkonstrukciji, završno obrađene eloksažom ili plastifikacijom, prema izboru projektanta, sav ostali pomoćni i spojni materijal i sva potrebna podešavanja i prilagođavanja,</t>
    </r>
    <r>
      <rPr>
        <b/>
        <sz val="9"/>
        <rFont val="Calibri"/>
        <family val="2"/>
        <charset val="238"/>
      </rPr>
      <t xml:space="preserve"> </t>
    </r>
    <r>
      <rPr>
        <sz val="9"/>
        <rFont val="Calibri"/>
        <family val="2"/>
        <charset val="238"/>
      </rPr>
      <t>osim ako stavkom nije opisano drugačije odnosno ako to nije zasebno opisano u limarskim radovima. U cijenu također treba biti uključena i izrada unutarnje al. klupčice od eloksiranog ili plastificiranog al. lima deb. 1 mm, na potkonstrukciji, završna obrada: u natur boji alu. ili termolakiranje prema RAL ton karti-prema odabiru projektanta, osim ako stavkom nije opisano drugačije odnosno ako to nije zasebno opisano u limarskim radovima. U cijenu također treba biti uključena i izrada unutrašnjih gipskartonskih špaleta, osim ako to nije opisano zasebno.</t>
    </r>
  </si>
  <si>
    <t>Zidarska mjera je razmak konstruktivnih elemenata. Modularna mjera je razmak modularnih ravnina koji je manji od zidarske mjere. Stolarska mjera je stvarna vanjska mjera stolarskog elementa koja treba biti manja od modularne mjere. Svjetla stolarska mjera koristi se kod vrata i označava čisti razmak između dovratnika, odnosno poda i nadvratnika. Razlika između zidarske i modularne mjere kod mokre gradnje treba biti 1 – 2 cm, a kod montažne može biti i 0,5. Razlika između modularne i stolarske mjere treba biti od 0,3 do 1 cm. Stvake su opisane zidarskim (građevinskim) mjerama.</t>
  </si>
  <si>
    <t xml:space="preserve">Zaokretna vrata ili prozorsko krilo je lijevo ako je okovano s lijeve strane, odnosno ako se otvara u smjeru negativne rotacije (kazaljke na satu). Bravarski elementi se izrađuju prema shemama i detaljima, te u dogovoru s projektantom i nadzornim inženjerom, a označavaju brojem troškovničke stavke.
</t>
  </si>
  <si>
    <t xml:space="preserve">Svi dijelovi konstrukcije i elementi pojedinih pozicija moraju biti proračunati i dimenzionirani tako da sigurno prihvaćaju opterećenja posebice vjetra (tlak, usis) i drugih atmosferskih utjecaja. Sile koje se javljaju u elementima i fasadi u cjelini moraju se prenijeti na monolitni dio zgrade, dok se deformacije i opterećenja (sile) sa zgrade ne smiju nikako prenositi na fasadu i/ili njene elemente.
</t>
  </si>
  <si>
    <t>Jedinična cijena uključuje uzimanje mjera na gradilištu i definiranje ugradbenih dimenzija, tehnološku razradu svih detalja, izradu radioničkih nacrta, sav spojni materijal, sidrene ploče, mort za podlijevanje ležaja, zaštitu od korozije, postavu i skidanje radne skele, striktnu primjenu mjera zaštite od požara, sve posredne i neposredne troškove za rad, materijal, alat i građevinske strojeve, sve transporte, čišćenje tokom rada, odvoz i zbrinjavanje smeća, završno čišćenje prije primopredaje radova, nadoknadu eventualne štete nastale iz nepažnje na svojim ili tuđim radovima.</t>
  </si>
  <si>
    <t>Izrada čelične balkonske ograde</t>
  </si>
  <si>
    <t>Izrada nove ograde se vrši zbog nezadovoljavajuće, premale visine postojeće ograde i usklađivanja jednoobraznosti pročelja. Ograda se montira nakon izvedbe ETICS sustava na pročelju zgrade.</t>
  </si>
  <si>
    <r>
      <t xml:space="preserve">Dobava i ugradnja ograde U tlocrtnog oblika koja se sastoji od gornje i donje pojasnice od šupljih čeličnih kvadratnih profila dim. 50/50/5 mm i šest vertikalnih nosača od punih čeličnih šipki </t>
    </r>
    <r>
      <rPr>
        <sz val="9"/>
        <rFont val="GreekC"/>
        <charset val="238"/>
      </rPr>
      <t>∅</t>
    </r>
    <r>
      <rPr>
        <sz val="9"/>
        <rFont val="Calibri"/>
        <family val="2"/>
        <charset val="238"/>
      </rPr>
      <t>25 mm. Ukupna duljina ograde iznosi 650 cm, a visina 100 cm iznad kote gotovog poda balkona. Vertikalni nosači (čelične šipke) preko sidrenih ploča usidreni su u betonsku ogradu balkona s unutrašnje strane. Pojasnice i vertikalni nosači međusobno su spojeni varenjem. Gornja pojasnica sidrena je u nosivi dio zida.
Stavka se isporučuje obrađena vrućim cinčanjem, te temeljnom i završnom zaštitnom bojom za metal koje se nanose nakon ugradnje. Sve u crnoj boji, prema shemi bravarske stavke.</t>
    </r>
  </si>
  <si>
    <t>U stavku uključeno brtvljenje prodora kroz ETICS sustav trajnoelastičnim PU kitom.
Uključen sav transport i zbrinjavanje otpada. 
Obračun po komadu ugrađene nove bravarske stavke.</t>
  </si>
  <si>
    <t>Bilokakva ugradnja prije odobrenja uzorka, boje i radioničke dokumentacije, nije dozvoljena.</t>
  </si>
  <si>
    <t>Prije izrade sve mjere i količine kontolirati u naravi!</t>
  </si>
  <si>
    <t>Izvesti prema shemi bravarije (st. BR 1)!</t>
  </si>
  <si>
    <t>BR 1</t>
  </si>
  <si>
    <t>VANJSKA BRAVARIJA UKUPNO:</t>
  </si>
  <si>
    <t>kn</t>
  </si>
  <si>
    <t>prozorska otklopno-zaokretna krila od PVC profila u bijeloj boji. Sistemski metalni okov za ručno otvaranje.</t>
  </si>
  <si>
    <t>unutarnja PVC klupčica, vanjska opisana u limarskim radovima;</t>
  </si>
  <si>
    <t>eslinger roleta s izoliranom kutijom za rolete i komarnikom Umax=0,6 W/m2K</t>
  </si>
  <si>
    <t>f)</t>
  </si>
  <si>
    <t>rubni opšav (vanjski i unutarnji) - RAL ugradnja: vanjska hidroizolacija-paropropusna folija i unutarnja - paronepropusna (parna brana); ili brtvena ekspandirajuća traka.</t>
  </si>
  <si>
    <t>prozorsko otklopno-zaokretno krilo od PVC profila u bijeloj boji. Sistemski metalni okov za ručno otvaranje.</t>
  </si>
  <si>
    <t>g)</t>
  </si>
  <si>
    <t xml:space="preserve">B. OBRTNIČKI RADOVI / B.III. ZAVRŠNI ZIDARSKO - FASADERSKI RADOVI </t>
  </si>
  <si>
    <t xml:space="preserve">ZAVRŠNI ZIDARSKO - FASADERSKI RADOVI 
</t>
  </si>
  <si>
    <t>Sve radove izvođač mora izvoditi prema troškovniku i izvedbenoj projektnoj dokumentaciji, solidno i stručno, prema pravilima dobrog zanata, Zakonu o građevnim proizvodima (NN 76/13, 130/17, 39/19, 118/20), Tehničkim propisima za građevinske konstrukcije (NN 17/17, 75/20, 7/22), Pravilniku o tijelima, dokumentaciji i postupcima tržišta građevnih proizvoda  (NN 118/19), Pravilniku o tehničkim normativima za projektiranje i izvođenje završnih radova u građevinarstvu (Sl.list SFRJ 21/90), Tehničkom propisu o racionalnoj upotrebi energije i toplinskoj zaštiti u zgradama (NN 128/15, 70/18, 73/18,86/18, 102/20) s pripadajućim normama, Tehničkom propisu o građevnim proizvodima (NN 35/18, 104/19), te svim ostalim hrvatskim i europskim tehničkim propisima i normama i priznatim tehničkim pravilima, ili jednakovrijedno, a osobito :</t>
  </si>
  <si>
    <t>HRN EN 13162:2015 ili jednakovrijedno _________________, tvornički izrađeni proizvodi od mineralne vune (MW)
HRN EN 13163:2016 ili jednakovrijedno _________________, tvornički izrađeni proizvodi od ekspandiranog polistirena (EPS)
HRN EN 13164:2015 ili jednakovrijedno _________________, tvornički izrađeni proizvodi od ekstrudirane polistirenske pjene (XPS)
HRN EN 13165:2016 ili jednakovrijedno _________________, tvornički izrađeni proizvodi od tvrde poliuretanske pjene (PUR)                                         HRN EN 13166:2016 ili jednakovrijedno _________________, tvornički izrađeni proizvodi od fenolne pjene (PF) 
HRN EN 13167:2015 ili jednakovrijedno _________________, tvornički izrađeni proizvodi od ćelijastog (pjenastog) stakla (CG) 
HRN EN 13168:2015 ili jednakovrijedno _________________, tvornički izrađeni proizvodi od drvene vune (WW) 
HRN EN 13169:2015 ili jednakovrijedno _________________, tvornički izrađeni proizvodi od ekspandiranog perlita (EPB) 
HRN EN 13170:2015 ili jednakovrijedno _________________, tvornički izrađeni proizvodi od ekspandiranog pluta (ICB)
HRN EN 13171:2015 ili jednakovrijedno _________________, tvornički izrađeni proizvodi od drvenih vlakana (WF)
ETAG 004, 03/00, 06/08 ili jednakovrijedno _________________,  EXTERNAL THERMAL INSULATION COMPOSITE SYSTEMS WITH RENDERING
HRN EN 13499:2004 ili jednakovrijedno _________________, povezani sustavi za vanjsku toplinsku izolaciju (ETICS) na osnovi EPS 
HRN EN 13500:2004 ili jednakovrijedno _________________, povezani sustavi za vanjsku toplinsku izolaciju (ETICS) na osnovi MW
HRN EN 29052-1 (ISO 9052-1; EN 29052-1) ili jednakovrijedno _________________, materijali koji se upotrebljavaju u stanovima ispod plivajućih podova HRN EN 13172:2012 ili jednakovrijedno _________________, toplinsko - izoalcijski proizvodi, vrednovanje sukladnosti
HRN EN 13495 ili jednakovrijedno _________________, toplinsko-izolacijski proizvodi za primjenu u zgradarstvu - određivanje otpornosti na čupanje povezanih sustava za vanjsku toplinsku izolaciju (ETICS)
HRN EN 13501-1 ili jednakovrijedno _________________, razredba građevnih proizvoda i građevnih elemenata prema ponašanju u požaru
HRN DIN 18 516 ili jednakovrijedno _________________, ventilirane fasade
HRN EN 998-1 ili jednakovrijedno _________________, specifikacija morta za ziđe
HRN EN 15824 ili jednakovrijedno _________________, specifikacije za vanjske i unutarnje žbuke  na osnovi organskih veziva
HRN EN 1991-1-4: Eurocod 1 - Djelovanja na konstrukcije - Dio 1-4: Opća djelovanja - Djelovanja vjetra - nacionalni dodatak ili jednakovrijedno _________________</t>
  </si>
  <si>
    <t>HRN EN 14063-1:2008 ili jednakovrijedno _________________, na mjestu primjene oblikovani proizvodi od lakoagregatne ekspandirane gline 
HRN EN 14064-1:2012 ili jednakovrijedno _________________, nevezani proizvodi od mineralne vune (MW) oblikovani na mjestu primjene
HRN EN 14064-2:2010 ili jednakovrijedno _________________, nevezani proizvodi od mineralne vune (MW) oblikovani na mjestu primjene
HRN EN 14316-1:2008 ili jednakovrijedno _________________, oblikovanje toplinske izolacije na mjestu primjene od proizvoda na bazi eksp. perlita (EP)</t>
  </si>
  <si>
    <t>HRN B.C1.030, B.C8.030 ili jednakovrijedno _________________, građevinski gips
HRN B.C1.020, B.C8.030 ili jednakovrijedno _________________, građevinsko vapno
HRN B.C8.015,022 – 026 ili jednakovrijedno _________________, cement
HRN B.C8.011 ili jednakovrijedno _________________, portland cement
HRN B.C8.030 ili jednakovrijedno _________________, pijesak
HRN U.M2.010, U.M2.012 ili jednakovrijedno _________________, mortovi
HRN U.F2.010 ili jednakovrijedno _________________, tehički normativi za izvođenje fasaderskih radova, ili jednakovrijedno.</t>
  </si>
  <si>
    <t>Izvoditelj je dužan osigurati i zaštititi sve dijelove građevine na kojima se izvode radovi, radi sprečavanja oštećenja tijekom izvedbe. Pojava svih oštećenja na dijelovima na kojima se ne izvode radovi ili koji su nastupili nepažnjom izvoditelja isti je dužan otkloniti o vlastitom trošku. Naročitu pažnju treba posvetiti zaštiti stolarije koju treba zaštititi PVC građevinskom folijom. Ta zaštita ulazi u jediničnu cijenu izvedbe pročelja zgrade.</t>
  </si>
  <si>
    <t>Sav rad, sve komunikacije i sav transport vrši se isključivo s vanjske strane građevine, tj. preko skele. Zidarsko-fasaderski radovi se izvode na dobro očišćenoj i otprašenoj površini zida te ih treba izvoditi samo u povoljnim vremenskim uvjetima, uz odgovarajuće osiguranje i zaštitu svježe ožbukanih površina od štetnog utjecaja djelovanja sunca i oborina. Sve detalje izvedbe na pročelju potrebno je dogovoriti i na njih ishoditi suglasnost nadzornog inženjera, a prije pristupanja izvedbi radova. Obračun svih radova vršit će se kako je to naznačeno u opisu stavke.</t>
  </si>
  <si>
    <t>Žbukati tek kada se zidovi osuše. Ne smije se žbukati kad postoji opasnost od smrzavanja ili ekstremno visokih temperatura 30° ili više. Zidovi moraju biti prije žbukanja čisti, a fuge udubljene da se žbuka može dobro primiti. Prije žbukanja zidove navlažiti, a osobito kod cementne žbuke/ morta. Ukoliko na zidovima izbija salitra – treba ih četkom očistiti i oprati rastvorom solne kiseline u vodi (omjer 1:10) o trošku izvođača i dodavati sredstvo protiv izbijanja salitre u mort. Prva faza žbukanja je bacanje grubog šprica (oštri pijesak, cement, voda) i to zidarskom žlicom, a ne tavom. Na grubi špric bacati grubu žbuku kojom se definira ravnina žbukane plohe. Fina žbuka služi samo za zaglađivanje površina. Treba je izraditi tako da površine budu posve ravne i glatke, a uglovi i bridovi, te spojevi zida i stropa izvedeni oštro ukoliko u troškovniku nije drugačije označeno. Rabiciranje žbuke izvodi se pomoću tekstilno staklene mrežice otporne na alkalije ili sitno pletene mreže od nehrđajućeg čelika. Točno izvedena žbuka je ona koja po horizontali i vertikali nema odstupanja veća od 1‰ u bilo kojem smjeru, za jednu etažu. Troškovi sanacije dijelova izvedenih van ovih kriterija padaju na teret izvođača radova.</t>
  </si>
  <si>
    <t>Mort za žbukanja mora odgovarati HRN U.M2.012 ili jednakovrijedno. Prije žbukanja sve zidne površine potrebno je očistiti i pošpricati rijetkim cementnim mortom u omjeru 1:1. Završne plohe zida moraju biti ravne, fine i jednolično zaglađene. Mort treba biti miješan u omjerima materijala kako je određeno projektom morta, a koji je dužan dostaviti izvođač. Navedenim projektom se mora postići projektirana marka morta. Sav pribor koji se koristi pri mješanju i transportu se treba održavati čistim. Nakon što se mort izvadi iz mješalice ne smije mu se dodavati nikakav materijal. Mort mora biti upotrebljen prije nego počne vezivanje. Mort mora imati plastičnu konzistenciju određenu normama za mort. Unaprijed pripremljeni mort treba rabiti u skladu s uputama proizvođača i prije kraja roka uporabe deklariranog od proizvođača.</t>
  </si>
  <si>
    <r>
      <t xml:space="preserve">ETICS (the external thermal insulation composite system), odnosno povezani sustav za vanjsku toplinsku izolaciju sastoji se od ljepila, toplinske izolacije (EPS, mineralna vuna), polimercementne armirane žbuke, impregnacijskog premaza i završne žbuke u odabranoj boji i teksturi (silikatna, akrilna, silikonska). ETICS sustav treba izvoditi komponentama jednog, odabranog sustava. Kod ugradnje svih komponenti pridržavati se uputa proizvođača (način ugradnje, sušenje). </t>
    </r>
    <r>
      <rPr>
        <b/>
        <sz val="9"/>
        <rFont val="Calibri"/>
        <family val="2"/>
        <charset val="238"/>
      </rPr>
      <t xml:space="preserve">Pri izvedbi ETICS-a, odnosno povezanog sustava za vanjsku toplinsku izolaciju potrebno je pridržavati se Smjernica za izradu ETICS sustava (HUPFAS). </t>
    </r>
    <r>
      <rPr>
        <sz val="9"/>
        <rFont val="Calibri"/>
        <family val="2"/>
        <charset val="238"/>
      </rPr>
      <t xml:space="preserve">
Izbor pričvrsnica mora odgovarati kategoriji opterećenja za postojeću podlogu u skladu sa smjernicom ETAG 014 ili jednakovrijedno _________________. Svaka pričvrsnica koja se koristi treba imati dokaz uporabljivosti u skladu s europskom smjernicom ETAG 014 ili jednakovrijedno _________________ prema kojoj treba biti izdana tehnička ocjena. Ako podloga ne odgovara nit jednoj kategoriji prema ETAG 014 ili jednakovrijedno _________________, potrebno je izvesti ispitivanje nosivosti pričvrsnice na gradilištu (pull-off) test. Tip i broj pričvrsnica po m² određuje se na temelju proračuna negativnih tlakova u skladu s važećom hrvatskom normom HRN EN 1991-1-4:2012/NA: 2012: Eurokod 1- Djelovanja na konstrukcije – dio 1-4: Opća djelovanja – Djelovanja vjetra – nacionalni dodatak i nosivosti pričvrsnice na postojećoj podlozi ili jednakovrijedno _________________. Norma vrijedi za zgrade visine do 22 m, omjera visine i manje strane objekta h/d≤2, nadmorske visine do 500 mnm, te nazivne brzine vjetra do vref,0 35 m/s. Za sve ostale slučajeve obavezno je izraditi proračun broja pričvrsnica u skladu s važećim hrvatskim tehničkim propisima. Duljinu pričvrsnica je potrebno odrediti na način da se osigura, od proizvođača propisana, dubina sidrenja. Pričvrsnice ne smiju biti sidrene u žbuku, već isključivo u nosivu podlogu (beton, opeka). Lijepljenje toplinske izolacije na podlogu treba vršiti na način kako je to opisano  u nacionalnim Smjernicama z aizradu ETICS sustava (HUPFAS-a). Pričvrsnica može efikasno pružiti negativno opterećenje vjetrom jedino ako se ispod nje nalazi sloj ljepila.
Temeljem važeće hrvatske i europske građevne regulative svi su ponuđači sustava dužni nuditi kompletni toplinsko - izolacijski sustav za koji je proveden postupak ocijenjivanja sukladnosti i izdane isprave o sukladnosti u skladu s odredbama Pravilnika za ocijenjivanje sukladnosti, isprave o skuladnosti i označavanje građevnih proizvoda (NN 103/08, 147/09, 87/10, 129/11). Izvođači su dužni iste ugraditi prema tehničkoj uputi proizvođača i smjernicama HUPFAS-a te kontrolirati jesu li proizvodi koji su isporučeni na gradilište dio sustava. Izvođač sustava i nadzorni inženjner na gradilištu obavezni su kontrolirati jesu li isporučeni elementi odgovarajućeg sustava za koji je proveden postupak ocijenja sukladnosti u skladu s važećim zakonima i propisima, te na gradilištu imati svu pripadajuću dokumentaciju (tehničke upute, potvrde, izjave o sukladnosti i dr.).</t>
    </r>
  </si>
  <si>
    <t>Ukoliko se izvodi ventilirano pročelje, radove treba uskladiti s radovima na izvedbi ventiliranog pročelja i ugradnjom prozora i vrata u sklopu istog ventiliranog pročelja (vidi odgovarajuće grupe radova). To se odnosi kako na izvedbu detalja spojeva i potkonstrukcije te brtvljenja i kitanja (odnosno obrada spojeva), tako i na vremensko usklađenje izvođenja radova (koordinacija izvođenja). Potrebno je koordinirati svoje aktivnosti sa ostalim sudionicima u projektu, a prema terminskom planu.</t>
  </si>
  <si>
    <t>Zidarska pripomoć obrtnicima, instalaterima, nošenje izuzetno teških predmeta i pripomoć kod raznih ugradnji obračunava se u radnim satima, a u cijenu je uključen i sav potreban materijal za pripomoć (za krpanja, ugradnju i sl.).</t>
  </si>
  <si>
    <t>Prilikom izrade fasadnih skela potrebno se je pridržavati propisa zaštite na radu po pitanjima radnih ploha, zaštitnih ograda i prilaza. Materijal za izradu skela mora biti potpuno ispravan. Odgovorna osoba dužna je izvršiti pregled materijala prije ugradnje. Skele moraju biti izvedene po mjerama i na način označen u statičkom računu i nacrtima za skele. Izvedene skele moraju biti sposobne podnijeti predviđeno opterećenje i moraju biti stabilne. Fasadne skele obračunavaju se po m² projekcije skele u ravnini pročelja, mjereno po vanjskom rubu i 1 m′ nad najvišom površinom.</t>
  </si>
  <si>
    <t>Jedinična cijena uključuje sve pripremne i završne radove, tehnološku razradu svih detalja, postavu i skidanje radne skele, sve posredne i neposredne troškove za rad, materijal, alat i građevinske, ispiranje i otprašivanje površine zida, sav otežani rad na izvedbi, zaštitu izvedenog dijela pročelja, zaštitu stolarskih i bravarskih stavki PVC građ. folijom, sav potrebni horizontalni i vertikalni prijevoz kao i prijevoz do gradilišta, čišćenje tokom rada, odvoz i zbrinjavanje smeća na deponiju udaljenom 20 km, završno čišćenje prije primopredaje radova, nadoknadu eventualne štete nastale iz nepažnje na svojim ili tuđim radovima, usklađenje organizacije rada s operativnim planom, primjenu svih mjera zaštite na radu.</t>
  </si>
  <si>
    <t>Sve mjere provjeriti na terenu. Ukoliko je to moguće izvršiti provjeru postojećeg stanja konstrukcije prije nuđenja. Nakon demontaže i uvida u postojeće stanje nosive konstrukcije napraviti provjeru opterećenja, izračun opterečenja novih slojeva mora biti odobren od strane inženjera konstrukcije i nadzornog inženjera. U slučaju potrebe za odstupanjem od predviđenih slojeva, isti se neće obračunavati kao dodatni rad. U cijeni predvidjeti eventualno potrebne izmjene na licu mjesta zbog specifičnosti zadatka (sanacija).</t>
  </si>
  <si>
    <t>Toplinska izolacija obračunava se po stvarnoj površini, s odbijanjem svih otvora. Radovi završnog žbukanja (armirana vapnena i polimercementna žbuka, impregnacijski premaz i završna žbuka) zidova određeni su prema normativima (GN 421) i standardima u građevinarstvu, a obračunavaju se na sljedeći način:
1. Otvori veličine do 3,0 m² ne odbijaju se, a njihove špalete se posebno ne obračunavaju. 
2. Kod otvora veličine 3,0 do 5,0 m²  odbija se površina preko 3,0 m², a špalete se posebno ne obračunavaju. 
3. Kod otvora preko 5,0 m² odbija se površina preko 3,0 m², a špalete oko otvora se obračunavaju posebno. Ako su špalete veće od 20 cm, tada se višak preko 20 cm obračunava posebno po m².</t>
  </si>
  <si>
    <t>Izvedba certificiranog ETICS  sustava toplinske izolacije vanjskih zidova (prema normi HRN EN 13500:2004 ili jednakovrijedno _________________), klasificiranje otpornosti na požar (prema normi HRN EN 13501-1) ili jednakovrijedno, sa svim potrebnim predradnjama i pripremom podloge koja je opisana i obračunata u pripremnim radovima A.I. 
Toplinska izolacija se izvodi mineralnom (kamenom) vunom (λ≤0,036 W/mK, klase negorivosti A1), različitih debljina (od 4 i 14 cm), s tankoslojnim polimer cementnim mortom debljine min 0,5 cm nanesenim u dva sloja i armiranim staklenom alkalnootpornom mrežicom između slojeva.</t>
  </si>
  <si>
    <t xml:space="preserve">Završni dekorativni sloj izvesti od tankoslojne silikatne žbuke debljine 0,3 cm  na prethodno impregniranu podlogu prema odabranom proizvođaču i tipu završnog sloja. Izbor završne žbuke, boja, granulacija i tekstura žbuke po odabiru projektanta - nikakva dodatna obrada ploha nije potrebna. Ploče mineralne (kamene) vune su lijepljene i mehanički učvršćene plastičnim pričvrsnicama sa širokim glavama, sve prema preporuci proizvođača. Minimalni broj pričvrsnica je 6, a maksimalni 12 kom/m². Izbor pričvrsnica i potrebni broj kom po m² je opisan u općim uvjetima.
</t>
  </si>
  <si>
    <t>U cijenu su uključeni svi potrebni profili za žbukanje i profili za pročelje, alu i/ili PVC kutnici (sa mrežicom), sokl profili, okapni profili na nadvojima otvora, ojačanja za rubove, otvore, uglove, dilatacijske reške i dr., te brtvljenje spojeva pročelja i vanjske stolarije i bravarije brtvom Sd=0,50.</t>
  </si>
  <si>
    <t>Obračun toplinske izolacije i završne žbuke (armirana polimercementna žbuka, impregnacijski premaz i završna žbuka) je po m² izvedene površine, na sljedeći način:
Kod obračuna TI otvori se odbijaju u čitavoj površini. Toplinska izolacija špaleta debljine 4 cm obračunava se zasebno u m². Obračun završne žbuke (armirana polimercementna žbuka, impregnacijski premaz i završna žbuka) određen je prema građevinskoj normi i opisan je u općim uvjetima. 
U cijenu je uključeno isprobavanje uzorka boje žbuke prije odabira boje pročelja.</t>
  </si>
  <si>
    <t>OVO SU TOČNE KOLIČINE ILI UVEĆANE?</t>
  </si>
  <si>
    <t>P ZAPAD</t>
  </si>
  <si>
    <t>Š ZAPAD 17</t>
  </si>
  <si>
    <t xml:space="preserve">Š ZAPAD 18 </t>
  </si>
  <si>
    <t>završna žbuka</t>
  </si>
  <si>
    <t>P JUG</t>
  </si>
  <si>
    <t>Š ZAPAD 28</t>
  </si>
  <si>
    <t>Š JUG 17</t>
  </si>
  <si>
    <t>P ISTOK</t>
  </si>
  <si>
    <t>Š SJEVER 17</t>
  </si>
  <si>
    <t>Š JUG 28</t>
  </si>
  <si>
    <t>P SJEVER</t>
  </si>
  <si>
    <t>Š SJEVER 28</t>
  </si>
  <si>
    <t>Izvedba ETICS-a na vanjskim zidovima u podnožju, XPS=14 cm.</t>
  </si>
  <si>
    <t>Š ISTOK 17</t>
  </si>
  <si>
    <t xml:space="preserve">Š ISTOK 18 </t>
  </si>
  <si>
    <t>Š ISTOK 28</t>
  </si>
  <si>
    <t>DODANA ŠPALETA OKO PROZORA LOĐA</t>
  </si>
  <si>
    <t xml:space="preserve">završna sokl žbuka (akrilatna mozaik žbuka) </t>
  </si>
  <si>
    <t>Završno čišćenje</t>
  </si>
  <si>
    <t>Završno fino čišćenje zgrade nakon dovršetka svih građevinsko-obrtničkih radova. Prilikom čišćenja paziti da se završna obrada ne ošteti.</t>
  </si>
  <si>
    <t>Napomena: višekratna čišćenja u tijeku gradnje ulaze u jedinične cijene svih sudionika na gradnji, ne ulaze u ovu stavku i ne obračunavaju se posebno.</t>
  </si>
  <si>
    <t>Čišćenje betonskih opločnika i asfalta oko zgrade</t>
  </si>
  <si>
    <t>Stavka uključuje visokotlačno pranje betonske i asfaltne staze, čišćenje fuga i ispuna fuga kvarcnim posipom (pijeskom) nakon dovršetka svih građevinsko-obrtničkih radova. Prilikom čišćenja paziti da se završna obrada ne ošteti.</t>
  </si>
  <si>
    <t>Odvoz smeća</t>
  </si>
  <si>
    <t>Uključivo svi troškovi prijevoza i komunalne naknade deponija. Izvodi se  po nalogu i odobrenju nadzornog inženjera.</t>
  </si>
  <si>
    <t>Napomena: višekratni odvozi smeća u tijeku gradnje ulaze u jedinične cijene svih sudionika na gradnji, ne ulaze u ovu stavku i ne obračunavaju se posebno.</t>
  </si>
  <si>
    <t>ZAVRŠNI ZIDARSKO - FASADERSKI RADOVI UKUPNO:</t>
  </si>
  <si>
    <t xml:space="preserve">B. OBRTNIČKI RADOVI / B.IV.1. SOBOSLIKARSKO-LIČILAČKI RADOVI </t>
  </si>
  <si>
    <t>SOBOSLIKARSKO-LIČILAČKI RADOVI (ZAJEDNIČKIH PROSTORIJA) UKUPNO:</t>
  </si>
  <si>
    <t>Materijal koji će se upotrijebiti, pomoćni materijal, rad i pomoćni rad mora u svemu odgovarati standardima, propisima, Pravilniku o tehničkim normativima za projektiranje i izvođenje završnih radova u građevinarstvu (Sl. list SFRJ 21/90) i Tehničkim uvjetima za izvođenje ličilačkih radova HRN U.F2.O12/78 ili jednakovrijedno _________________. Sav vezivni materijal, ljepila, materijal za brtvljenje i pomoćna sredstva prema HRN U.F1.011 ili jednakovrijedno _________________, ili jednakovrijedno.</t>
  </si>
  <si>
    <t>Prije početka izvedbe radova izvoditelj je dužan projektantu predočiti uzorke boja odgovarajuće za određen tip obrade i izvesti probna bojanja s uzorcima na plohama koje se obrađuju, i to u više nijansi boja, na osnovu čega će projektant odabrati boju i način nanošenja odnosno tip valjka. Tek po izboru i odobrenju projektanta može se otpočeti sa radovima na tako odabran način. Gore navedeno neće se posebno platiti već predstavlja trošak i obvezu izvoditelja i ulazi u jediničnu cijenu izvedbe radova.</t>
  </si>
  <si>
    <t>Sva bojanja i ličenja treba izvesti samo na suhim, čistim, ravnim ili ravnomjerno zakrivljenim (po projektu) i odmašćenim plohama. Podlogu treba prije početka radova pregledati i kod većih oštećenja ili zaprljanja i zamašćenja na isto upozoriti nadzornog inženjera i radove prekinuti dok se podloga odgovarajuće ne pripremi. Kod manjih oštećenja treba izvoditelj podlogu dovesti u potrebno stanje za kvalitetan rad brušenjem manjih neravnina, kitanjem i zapunjavanjem pukotina i manjih udubina kitom za zapunjavanje i izravnanje. Nakon toga treba obavezno izvesti gletanje odgovarajućom glet masom za određeni tip podloge do potrebne glatkoće, ako nije u stavci troškovnik drugačije navedeno. Sve gore navedeno treba uračunati u jediničnu cijenu.</t>
  </si>
  <si>
    <t>Pri radu treba se strogo pridržavati pravila zaštite na radu, uz primjenu odgovarajućih zaštitnih sredstava. Sve prostorije po završetku radova treba dobro prozračiti ili ventilirati.
Prilikom izvođenja radova izvoditelj treba zaštititi sve susjedne plohe i dijelove konstrukcije na takav način da ne dođe do njihovog prljanja i oštećenja i isto uračunati u cijeni. Ukoliko do prljanja i oštećenja ipak dođe, isto će izvoditelj očistiti i popraviti na svoj trošak.</t>
  </si>
  <si>
    <t>Tijekom izvođenja radova treba obratiti pažnju na atmosferske prilike. Vanjski radovi se ne smiju izvoditi u slučaju oborina, magle, zraka prezasićenog vlagom, te jakog vjetra i temperature ispod +5°C.</t>
  </si>
  <si>
    <t>Premazi i boje moraju biti postojani na svjetlo i otporni na pranje vodom, a na vanjskim plohama otporni na atmosferilije. Svi soboslikarski radovi moraju se izvesti prema izabranim uzorcima.</t>
  </si>
  <si>
    <t>Izvođač može započeti radove tek kad su iz prostorije odstranjeni svi otpaci i drugo što bi moglo smetati izvedbi. Za sve vrste soboslikarsko-ličilačkih radova podloge moraju biti čiste od prašine i druge prljavštine kao što su: smole, ulja, masti, čađa, gar, bitumen, cement, mort i dr. Bojati ili ličiti dopušteno je samo na suhu i pripremljenu podlogu. Vanjski ličilački radovi ne smiju se izvoditi po lošem vremenu, koje bi moglo štetiti kvaliteti radova (npr. hladnoća, oborine, magla, jak vjetar i sl.).</t>
  </si>
  <si>
    <t>Zabranjeno je bacati u kanalizaciju i sanitarne uređaje ostatke boje, vapna, gipsa, kita i drugog materijala.</t>
  </si>
  <si>
    <t>ZIDOVI</t>
  </si>
  <si>
    <t xml:space="preserve">Unutrašnji zidovi prostorija prvo se izravnavaju, gletaju specijalnim postavama koje moraju dobro prilijegati na podlogu i nakon sušenja činiti vrlo čvrstu podlogu za bojanje disperzivnim bojama. 
U obračunu su posebno iskazane žbukane / betonske površine od gipskartonskih površina.
Grundiranje površine izvodi se i obračunava za cijelu površinu podloga od gipskartonskih ploča.
Kvaliteta kitanja i ličenja kontrolira se noću ili u zamračenoj prostoriji reflektorom prislonjenim uz plohu zida odnosno stropa. </t>
  </si>
  <si>
    <t>Vrste boja za unutarnje / vanjske prostora:
- vapno – zastarjela tehnologija koja se danas uglavnom više ne primjenjuje
- uljena boja – zastarjela tehnologija koja se danas uglavnom više ne primjenjuje
- disperzivne - disperzije bazirane na polimernim vezivima, kao npr. akrilna smola, silikatne, silikonske...
- disperzivne latex -disperzije na bazi vinilacetatnog polimera, izuzetno čvrste i otporne na pranje / ribanje
- dekorativne stucco boje - na bazi gašenog vapna i finih zrnaca mramornog praha sa specijalnim aditivima</t>
  </si>
  <si>
    <t>Sredstva za premazivanje, s obzirom na sastav i vrstu, moraju biti međusobno usklađena. Za podloge iz gips kartonskih ploča sredstva za premazivanje na osnovi vapna, vodenog stakla i silikata nisu primjerena. Kod disperzijskih silikatnih boja potrebno se pridržavati savjeta proizvođača sredstva. Kod gips kartonskih ploča koje su duže vrijeme bez zaštite izložene djelovanju svjetla može se pojaviti požutjelost i zato se prije nanošenja premaza preporučuje probni premaz preko više ploča, uključivo s fugiranim mjestima.</t>
  </si>
  <si>
    <t>Ličenje unutarnjih zidova izvodi se slijedećim redoslijedom:
0. namakanje i struganje starog naliča,
1. impregnacija (grundiranje) – penetrirajući premaz podloge radi konsolidacije,
2. kitanje i zatvaranje pojedinačnih rupa, uključivo bandažiranje većih pukotina
3. gletanje – prevlačenje cijele površine ličilačkim kitom u nekoliko slojeva ovisno o zahtijevanoj kvaliteti površine uključivo brušenje i otprašivanje između slojeva,
4. brušenje i otprašivanje,
5. ovisno o vrsti boje i uputi proizvođača – nanošenje primera kako bi se smanjila upojnost
6. dvokratno ili trokratno ličenje – nanošenje boje četkama, valjcima ili prskanjem.</t>
  </si>
  <si>
    <t>STOLARIJA</t>
  </si>
  <si>
    <t>LIČENJE
Ličenje stolarije radi se samo na unutarnjoj stolariji, a izuzetno na vanjskoj ako je već bila ličena. Vratna krila mogu se ličiti u radionici kompresorom. Ličiti se može stolarija koja ima francuske ili cilindar petlje, odnosno drugi okov predviđen za ličenje, ali ne i roto okov.
Stolariju je prije ličenja uvijek potrebno pripremiti prema uputama proizvođača boje!</t>
  </si>
  <si>
    <t>Ličenje unutarnje stolarije izvodi se u sljedećim fazama:
0. paljenje, kemijsko ili mehaničko skidanje postojeće boje (u slučajevima obnove postojećih vrata),
1. impregnacija (u radionici),
2. kitanje,
3. brušenje,
4. temeljni nalič,
5. dodatno kitanje i brušenje,
6. lakiranje (min. 2 sloja).</t>
  </si>
  <si>
    <t>LAZURNI PREMAZ
Vanjska stolarija zaštićuje se lazurnim premazima kojima prethodi zaštita fungicidno-insekticidnom impregnacijom (uglavnom na bazi uljne alkidne smole u organskim otapalima uz dodatke aktivnih tvari). Impregnacija i prvi sloj lazurnog premaza nanose se u tvornici / radionici potapanjem, drugi sloj lazurnog premaza na gradilištu nakon ugradnje i treći na gradilištu po završetku svih ličilačkih radova. Impregnacija i prvi premaz (potapanje) obavlja se bez okova i ostakljenja, a drugi i treći sa brtvama i ostakljenjem pri čemu vidljivi okov i staklo treba zaštititi ljepljivom trakom.</t>
  </si>
  <si>
    <t>Ličenje stolarije lazurnim bojama
1. impregnacija i fungicidni premazi (u radionici)
2. kitanje,
3. brušenje,
4. lazurni premazi,
5. brušenje,
6. završni premaz lazurom / lak – lazurom.</t>
  </si>
  <si>
    <t>Vrste lazura za unutarnje / vanjske prostore:
- lazure – za unutrašnje prostore (na bazi dugouljne alkidne smole u organskim otapalima uz dodatak svjetlosnih pigmenata)
- lak lazure – za unutrašnje i vanjske prostore (na bazi alkidnih smola u organskim otapalima uz dodatak svjetlosnih pigmenata, UV absorbera i specijalnih voskova / ili na bazi specijalne akrilatne smole, aditiva i vode uz dodatak vodoodbojnog sredstva)</t>
  </si>
  <si>
    <t>BRAVARIJA
Bravarija se liči u slijedećim fazama:
1. čišćenje (mehaničko – pjeskarenje ili kiselinama),
2. temeljni nalič - minij-alkidni / epoxy / akril
3. završni nalič - emajl-alkidni / poliuretan / akril
(trajnost: do 10 g. / do 20 g. / do 20 g.)
Samo unutarnja bravarija može se kitati autokitom nakon postave temeljnog naliča.</t>
  </si>
  <si>
    <t>Obračun:
- zidovi se obračunavaju po površini izraženoj u m2 na način:
• otvori veličine do 3,0 m² ne odbijaju se, a njihove špalete se posebno ne obračunavaju
• kod otvora veličine 3,0 do 5,0 m²  odbija se površina preko 3,0 m², a špalete se posebno ne obračunavaju
• kod otvora preko 5,0 m² odbija se površina preko 3,0 m², a špalete oko otvora se obračunavaju posebno
• špalete širine veće od 20 cm obračunavanju se posebno
• normativi za zidove površine ispod 10 m² povećavaju se za 1,20
- stolarija / bravarija se obračunava po površini izraženoj u m2 na način:
• pune površine otvora i opšava bez odbijanja površine stakla) množeno koeficijentima:
o 2,90 = dvostruki prozor (bez prečki, sa kutijom za roletu i opšavom)
o 1,45 = kod jednostrukih prozora bez opšava
o 1,60 = kod jednostrukih prozora sa opšavom
o dodatno 5% kvadrature prozora za svaku prečku, kod dvostrukih prozora posebno
za vanjske, a posebno za unutrašnje prozore
• stakleni izlog - uzima se površina izloga umanjeno za:
o 45% za površine stakla do 3,00 m2
o 30% za površine stakla 3,00 do 5,00 m2
o 25% za površine stakla preko 5,00 m2
• puna vrata s dovratnikom - uzima se dvostruka površina, mjereno od vanjskog ruba opšavnih letvi
• puna vrata s opšavom špaleta obračunava se dvostruka površina
• tradicionalna stolarija - površina se uvećava za profilacije, zavisno od složenosti, s faktorom od 1,7 do 3,2.
• prozorske klupčice, parapeti, kutije za rolete, okviri, opšavi i sl. po površini izraženoj u m2</t>
  </si>
  <si>
    <t>Investitor ima pravo na kontrolu kvalitete materiijala kojim se radovi izvode. Ustanovi li da taj materijal ne odgovara propisanoj kvaliteti izvođač radova dužan je odstraniti lošu izvedbu i na vlastiti trošak izvesti radove sa kvalitetnim materijalom. O ispravnosti izvedenih površina mjerodavna je izjava nadzornog inženjera.</t>
  </si>
  <si>
    <t>U jediničnoj cijeni pojedinih stavaka obračunata je i  upotreba skele i drugih pomagala kod rada.</t>
  </si>
  <si>
    <t>Dok radovi traju, izvođač je dužan zaštititi od oštećenja ili prljanja sve ostale građevinske dijelove i opremu ( podove, stakla, vrata i sl.).</t>
  </si>
  <si>
    <t xml:space="preserve">Sve radove treba izvoditi po izvedbenim nacrtima, opisima radova u troškovniku, te uputama projektanta i nadzornog inženjera. </t>
  </si>
  <si>
    <t>Izvedeni rad i upotrebljeni materijal mora u svemu (vrsti, boji i kvaliteti) biti jednak uzorku, što ga odabere projektant od najmanje 5 uzoraka, koje proizvođač izrađuje bez naplate. Materijal za izvedbu soboslikarsko-ličilačkih radova je naveden u stavkama troškovnika. Od primjenjenih se materijala traži da imaju prionjivost za podlogu, po mogućnosti da penetriraju u podlogu, da se njima jednostavno radi, da dobro "pokrivaju", da su im boje stalne, da su otporni na utjecaje sredine kojima su izloženi, da se ne brišu s ploha na koje su naneseni, da su bezopasni za okolinu, da se premazi njima mogu obnavljati bez posebnih prethodnika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</si>
  <si>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kvaliteta nije dobra radi loše podloge, neće se uzimati u obzir. Na neurednoj podlozi ne može se izvoditi rad dok se podloga ne uredi. Predviđa se da se svi monolitni armiranobetonski zidovi i stropovi, koji se ne oblažu drugim oblogama, prije bojenja obrade i pripreme za bojenje, te gletaju glet masom i potpuno zaglade, a zatim da ih se boji  bojom prema opisu stavke. Gipskartonski zidovi / obloge / stropovi trebaju biti gletani i obrađeni za ličenje, ti radovi su uključeni u stavke izrade zida / obloge / spuštenog stropa.</t>
  </si>
  <si>
    <t>Svi premazi izvode se najmanje s tri premazivanja i to: osnovnim ili podložnim slojem, zaštitnim premazom i završnim premazom, ako to u troškovniku nije drugačije označeno. Svako od tih premazivanja mora biti čvrsto povezano za podlogu na koju se nanosi.</t>
  </si>
  <si>
    <t>Jedinična cijena treba obuhvatiti:
- bojanje u više boja prema izboru projektanta
- sav materijal, dobavu, izradu I dopremu alata, mehanizaciju i uskladištenje
- troškove radne snage za kompletan rad opisan u troškovniku
- sve horizontalne i vertikalne transporte do mjesta montaže
- potrebnu radnu skelu (izuzima se fasadna skela)
- čišćenje nakon završetka radova
- svu štetu kao i troškove popravka kao posljedica nepažnje u toku izvedbe
- troškove zaštite na radu
- troškove atesta
- zaštitu okolnih konstrukcija od prljanja
- čišćenje po završenom radu uključivo odvoz viška materijala na gradski deponiJ udaljen 20 km</t>
  </si>
  <si>
    <t xml:space="preserve">Popravak boje - ličenje unutarnjih ožbukanih zidova, stropova, špaleta, greda, parapeta nakon ugradnje stolarije </t>
  </si>
  <si>
    <t>Popravak boje i ličenje izvesti poludisperzivnom bojom za žbukane podloge u minimalno 2 sloja u širini do 50cm.
Priprema postojećih i novo ožbukanih površina zidova, stropova, špaleta, greda i parapeta za bojanje i ličenje. Priprema se sastoji od impregnacije, kitanja i zatvaranja pojedinačnih rupa, gletanja u dva sloja s bandažiranjem svih pukotina i spojeva raznih materijala, brušenja i otprašivanja. Pripremljena površina mora biti glatka i ravna, bez neravnina. 
Obračun po komadu ugrađenog prozora i vrata.</t>
  </si>
  <si>
    <t>GDJE JE LIČENJE BETONSKIH DIJELOVA OGRADA?</t>
  </si>
  <si>
    <t>ILI JE TO U ŽBUKAMA?</t>
  </si>
  <si>
    <t xml:space="preserve">B. OBRTNIČKI RADOVI / B.IV.2. SOBOSLIKARSKO-LIČILAČKI RADOVI </t>
  </si>
  <si>
    <t>Popravak boje i ličenje izvesti poludisperzivnom bojom za žbukane podloge u minimalno 2 sloja u širini do 50 cm.
Priprema postojećih i novo ožbukanih površina zidova, stropova, špaleta, greda i parapeta za bojanje i ličenje. Priprema se sastoji od impregnacije, kitanja i zatvaranja pojedinačnih rupa, gletanja u dva sloja s bandažiranjem svih pukotina i spojeva raznih materijala, brušenja i otprašivanja. Pripremljena površina mora biti glatka i ravna, bez neravnina. 
Obračun po komadu ugrađenog prozora i vrata.</t>
  </si>
  <si>
    <t>B.IV.2</t>
  </si>
  <si>
    <t>Ugradnja stalaka za bicikle</t>
  </si>
  <si>
    <t>Suvlasnici stambene zgrade Poljana Jurja Andrassya 12, 13 i 14,10000 Zagreb koje zastupaju:
Ovlašteni predstavnik suvlasnika: 
Dunja Mesing, Nova cesta 136, Zagreb, OIB:70205129911
Upravitelj: GSKG  d.o.o., Savska cesta 1, Zagreb, OIB: 03744272526</t>
  </si>
  <si>
    <t>Stambena zgrada Poljana Jurja Andrassya 12, 13 i 14; 10000 Zagreb</t>
  </si>
  <si>
    <t>Poljana Jurja Andrassya 12, 13 i 14, 10000 Zagreb;                                    k.č. 5333, k.o. Trešnjevka</t>
  </si>
  <si>
    <t>168 - 24</t>
  </si>
  <si>
    <t>SAE - 168 - 2024</t>
  </si>
  <si>
    <t>SAEPTUM d.o.o. za savjetovanje, arhitektonske i energetske usluge, Travnička 50/a, Čakovec, Kružna ulica 81, Zagreb</t>
  </si>
  <si>
    <t>Zagreb, svibanj 2024.</t>
  </si>
  <si>
    <t>SAEPTUM d.o.o. Travnička 50/A, ČK, Kružna ulica 81, ZG, T+385 98 302785, +385 1 5602505, www.saeptum.hr, OIB 00721493603, P.RAČUN HR8623600001102580265 ZABA, Temeljni kapital 50.000,00 HRK/6.636,14 EUR, Uprava Željka Hrs Borković, Toni Borković</t>
  </si>
  <si>
    <t>Poljana Jurja Andrassya 12, 13 i 14, 10000 Zagreb; k.č. 5333, k.o. Trešnjevka</t>
  </si>
  <si>
    <t>SAEPTUM d.o.o. za savjetovanje, arhitektonske i energetske usluge, Travnička 50/a, 40000 Čakovec, Kružna ulica 81, 10000 Zagreb</t>
  </si>
  <si>
    <t>TROŠKOVNIK  GRAĐEVINSKO - OBRTNIČKIH RADOVA
(bez zamjene stolarije stanova)</t>
  </si>
  <si>
    <t>TROŠKOVNIK  GRAĐEVINSKO - OBRTNIČKIH RADOVA
(sa zamjenom stolarije stanova)</t>
  </si>
  <si>
    <t>Čišćenje i raščišćavanje terena oko zgrade cca 2-3 m kao radno-manipulativne površine, a prije početka radova na rušenjima i demontaži. Stavka uključuje sva čišćenja od smeća i otpadnog materijala, obrezivanje grmlja i stabala koji svojom pozicijom i volumenom ometaju izvođenje planiranih radova, zaštitu popločenih površina staza oko zgrade, kao i ostale nespecificirane radove, zajedno s utovarom, odvozom, istovarom i deponiranjem otpadnog materijala na odlagalištu udaljenom 20 km.
Obračun po m² obrađene površine.</t>
  </si>
  <si>
    <t>svi AB zidovi i zabati i žbukana čela zidova</t>
  </si>
  <si>
    <r>
      <t>CCTV inspekcija</t>
    </r>
    <r>
      <rPr>
        <sz val="9"/>
        <rFont val="Calibri"/>
        <family val="2"/>
        <charset val="238"/>
      </rPr>
      <t> vrši se specijaliziranim digitalnim robot-kamerama u svrhu:</t>
    </r>
  </si>
  <si>
    <t>– utvrđivanja stvarnog stanja cjevovoda</t>
  </si>
  <si>
    <t>– lociranja propuštanja cjevovoda</t>
  </si>
  <si>
    <t>– traženja uzroka začepljenja cijevi</t>
  </si>
  <si>
    <t>pozicija stolarske stavke ST2 - dim. 271/121 cm</t>
  </si>
  <si>
    <t>PRIPREMNI RADOVI (STANOVI)</t>
  </si>
  <si>
    <t>A. GRAĐEVINSKI RADOVI / A.I.2. PRIPREMNI RADOVI (STAMBENE PROSTORIJE)</t>
  </si>
  <si>
    <t>PRIPREMNI RADOVI  (STANOVI)</t>
  </si>
  <si>
    <t>pozicija stolarske stavke ST5a/b - dim. 181/157 cm</t>
  </si>
  <si>
    <t>pozicija stolarske stavke ST1a/1b - dim. 61/61 cm</t>
  </si>
  <si>
    <t>pozicija stolarske stavke ST4 - dim. 81/157 cm</t>
  </si>
  <si>
    <t>Demontaža i ponovna montaža strujnih, plinskih i drugih instalacijskih ormarića. radi izvedbe novog pročelja, uključujući otpajanje, prilagodbu i ponovno spajanje svih vodova, uzemljenja i sl. Demontažu i ponovnu montažu vrši ovlaštena osoba. Obračun za izvođenje kompletnih pripremnih radove iz opisa stavke, po komadu.</t>
  </si>
  <si>
    <t>Demontaža i ponovna montaža instalacijskog ormarića</t>
  </si>
  <si>
    <t>Demontaža i ponovna montaža split uređaja na pročelju zgrade. Stavkom je obuhvaćeno sigurno prikupljanje radne tvari, demontaža pričvrsnih elemenata i izvedba nove instalacije te postavljanje vanjske jedinice na mjesto definirano rješenjem pročelja (na fronte parapeta loggia, sve u liniji - jedan iznad drugog). Postojeće jedinice koje su demontirane se vraćaju, a za ostale stanove se montira nosač vanjske klima jedinice kako ne bi došlo do naknadnog bušenja fasade te kako bi se ostvario jedinstven izgled pročelja. Montažu vanjske jedinice izvršiti tipskim ovjesnim elementima (tvornički proizveden Tip: 16/170 M12, Količina punjenja u jedinicama po skali: Beton 9; šuplji blok 40 , Dubina bušenja (mm): tfix + 125mm, tfix korisna duljina maks. (mm): 60-170, hef min. sidrenje (mm): Beton 125; šuplji blok 200, d0 tipla=bušenje ø (mm): Beton 18; šuplji blok 20, Materijal: nehrđajući čelik) . Predvidjeti nove nosače od nehrđajućeg čelika koji se sidri u nosivi dio zida. Punjenje sistema odgovarajućom rashladnom tvari  i montažu vrši ovlaštena osoba. na način da se, tamo gdje uvjeti to dopuštaju, vanjske jedinice postave na vlastite lođe. Stavka uključuje i zbrinjavanje skinutih elemenata na otpadu. Obračun se vrši po komadu demontiranog odnosno montiranog split uređaja, odnosno nosača za uređaj, te metru dužnom produljenja ili nove instalacije - kanala. U stavku je uračunato punjenje postojećih uređaja plinom po potrebi po montaži.</t>
  </si>
  <si>
    <t xml:space="preserve">Izmještanje i ponovna montaža izvrši će se u skladu s postojećom regulativom i shemom pozicija koju odobri projektant prije ponovne montaže. Bilo kakva ugradnja prije odobrenja nije dozvoljena. </t>
  </si>
  <si>
    <t>nosači bez split  uređaja - priprema za njihovo postavljanje (kom = par nosača s montažom i svim potrebnim pričvrsnim sredstvima)</t>
  </si>
  <si>
    <t>Demontaža limenih i PVC elemenata na pročelju</t>
  </si>
  <si>
    <t xml:space="preserve">Demontaža postojećih opšavnih limova nadozida krova, opšavnih limova ograda i PVC okapnica, spuštanje i deponiranje uz građevinu. Demontirati kompletno, uključivo pričvrsno spojni pribor (nosači,"klameri", drvene kajle i sl.), kao i lagano odštemavanje djela žbuke koja prelazi preko limenog opšava. Predvidjeti i odvoz na deponij. U stavku je uključen i prijenos i odvoz otpadnog materijala i šute na deponiju na udaljenosti do 20 km. Demontažu postojećih limenih elemenata obavezno izvodi limar koji je dužan uzeti mjere i uzorke te snimiti detalje izvedbe u skladu s glavnim projektom, što je uključeno u cijenu stavke. Ponovna izrada i montaža, odnosno zamjena dotrajalih dijelova novim, opisana je u limarskim radovima. Obračun po m¹. </t>
  </si>
  <si>
    <t>kape na parapetu balkona, r.š. cca 15 cm</t>
  </si>
  <si>
    <t>kape na rubnom zidu neprohodnog ravnog krova, r.š. cca 25 cm</t>
  </si>
  <si>
    <t>Demontaža vanjskih limenih i pvc klupčica</t>
  </si>
  <si>
    <t>Demontaža vanjskih prozorskih pvc klupčica i  klupčica od pocinčanog lima 0,55 mm razvijene širine cca 20 cm. Stavka uključuje sav potreban rad, alat, prijenos i odlaganje na deponij na udaljenostid do 20 km. Obračun se vrši po m¹.</t>
  </si>
  <si>
    <t>Demontaža ulaznih vrata i prozora stubišta.
Dimenzije su izražene u zidarskim (građevinskim mjerama). 
Uključen sav transport i zbrinjavanje otpada na deponiju udaljenom do 20 km. 
Obračun po komadu stolarske stavke.</t>
  </si>
  <si>
    <t>Demontaža postojeće gromobranske instalacije i ponovna montaža gromobranske instalacije, koja povezuje sustav hvataljki i sustav uzemljenja. Instalacija nakon rekonstrukcije  mora zadovoljavati propise koje je zadovoljavala i prije rekonstrukcije (atest).
Izložene podzemne segmente gromobranskog profila zaštiti bitumenskim premazom (bitumenskim lakom). 
U stavku je uključeno prethodno ispitivanje sustava,  kompletan vertikalni i horizontalni transport, sva potrebna prilagođavanja i produljenja za potpuno funkcionalnu izvedbu stavke, te kompletno zbrinjavanje otpadnog materijala i šute. Obračun po m¹ ugrađene gromobranske trake.</t>
  </si>
  <si>
    <t>Prilagodba sustava zaštite od munje sa ugradnjom ormarića za mjerni spoj</t>
  </si>
  <si>
    <t>Prilagodba postojeće gromobranske instalacije zbog izvedbe ETICS sustava. Dobava i montaža pocinčanog ormarića za mjerni spoj veličine 230x180x90 namjenjenog za smještaj mjernoga mjesta unutar zida. Sastavljen je od plastične kutije veličine 185x135x50 otporne na atmosferske utjecaje i poklopca ormarića izrađenog od Fe-Zn ili AiSi koji može biti i elektrostatski plastificiran. Kutija se ugrađuje u zid objekta 4-8 cm od površine novoizvedene fasade. Poklopac se montira nakon završetka fasaderskih radova distantnim vijcima. Prošireni okvir pokriva ostavljeni otvor a distantni vijci omogučavaju pritezanje okvira u rasponu od 4-8 cm. Izraditi prema propisima i standardima. Instalacija nakon rekonstrukcije  mora zadovoljavati propise koje je zadovoljavala i prije rekonstrukcije (atest).
Izložene podzemene segmente gromobranskog profila zaštiti bitumenskim premazom (bitumenskim lakom). 
U stavku je uključen kompletan vertikalni i horizintalni transport, sva potrebna prilagođavanja i produljenja za potpuno funkcionalnu izvedbu stavke. Obračun po komadu za ugrađene ormariće.</t>
  </si>
  <si>
    <t>Demontaža i ponovna montaža rasvjetnih tijela i  instalacija u razizemlju</t>
  </si>
  <si>
    <t>Demontaža i ponovna montaža rasvjetnih tijela, te izmiještanje (spuštanje) električnih instalacija na stropovima podruma i stubišta  uz potrebne prilagodbe zbog oblaganja stropova toplinskom izolacijom. U stavku je uključen prijevoz i odvoz otpadnog materijala i šute na deponiju udaljenu do 20 km. Obračun za izvođenje kompletnih pripremnih radove iz opisa stavke, po kom. Prema potrebi, uključena je i demontaža i montaža/zamjena nadžbuknog kabela za napajanje).</t>
  </si>
  <si>
    <t>Potkraćivanje drvenih pregrada u spremištima podruma</t>
  </si>
  <si>
    <t>Potkraćivanje svako druge drvene letvice na pregradama u podrumu te ispuna utora između letvica sa mineralnom vunom do potpune gotovosti, odnosno do završne obrade unutarnjom disperzivnom bojom u bijeloj boji.
U stavku je uključen sav rad, transport i zbrinjavanje otpada.</t>
  </si>
  <si>
    <t>Obračun po m' tlocrtne projekcije pregrade.</t>
  </si>
  <si>
    <t xml:space="preserve">Uklanjanje postojećih slojeva poda i montažnih stuba od brušenog terazza na vanjskom stubištu. </t>
  </si>
  <si>
    <t>Uklanjanje postojećih slojeva poda od brušenog terazza ukupne debljine cca 2-3 cm i uklanjanje postojećih montažnih ploča  vanjskog stubišta (dim. 140X30X5cm).   Postojeću površinu podne konstrukcije očistiti što je u cijeni kao i svi transporti i odvoz materijala na građevinsku deponiju na udaljenost do 20 km.</t>
  </si>
  <si>
    <t>slojevi poda</t>
  </si>
  <si>
    <t>montažne stube</t>
  </si>
  <si>
    <r>
      <t xml:space="preserve">Skidanje sloja šljunka sa neprohodnog krova, radi izvedbe novih slojeva krova. </t>
    </r>
    <r>
      <rPr>
        <sz val="9"/>
        <color theme="1"/>
        <rFont val="Calibri"/>
        <family val="2"/>
        <charset val="238"/>
      </rPr>
      <t xml:space="preserve">
Stavka uključuje demontažu vodolovnih grla i rešetki, te odzračnih cijevi kanalizacije i ventilacije.</t>
    </r>
  </si>
  <si>
    <t>Skidanje sloja šljunka i ostalih elemenata sa ravnog neprohodnog krova - oznaka RK1, RK1.1</t>
  </si>
  <si>
    <t>prohodni krov RK1, RK 1.1.</t>
  </si>
  <si>
    <t>Nakon izvršenih radova, sav radni prostor očistiti. Obračun za kompletne radove uklanjanja šljunka sa ravnog krova je po m², uključujući i radove na demontaži vodolovnih grla, rešetki ili ventilacionih cijevi, uključivo svi radovi transporta  otpadnog materijala na deponij udaljen 20 km. Sav demontirani iskoristivi materijal sortirati, zaštititi od oštećenja i predati investitoru.</t>
  </si>
  <si>
    <t>13.</t>
  </si>
  <si>
    <t>A. GRAĐEVINSKI RADOVI / A.II.2. RUŠENJA I DEMONTAŽE (STAMBENE PROSTORIJE)</t>
  </si>
  <si>
    <t>RUŠENJA I DEMONTAŽE (STANOVI)</t>
  </si>
  <si>
    <t>Demontaža i zbrinjavanje postojećih prozora grijanih prostorija stanova</t>
  </si>
  <si>
    <t>pozicija stolarske stavke ST7 - dim. 81/157 cm</t>
  </si>
  <si>
    <t>RUŠENJA I DEMONTAŽE UKUPNO (STANOVI):</t>
  </si>
  <si>
    <t>A. GRAĐEVINSKI RADOVI / A.IV.1. ZIDARSKI RADOVI (ZAJEDNIČKE PROSTORIJE)</t>
  </si>
  <si>
    <t>Uklanjanje oštećenog betona i izvedba lokalnih popravaka sanacijskim mortom</t>
  </si>
  <si>
    <t>Obračun prema m2 obrađene površine</t>
  </si>
  <si>
    <t>Pregled konstrukcije radi utvrđivanja mjesta oštećenog, nezdravog ili kontaminiranog betona, te uklanajnje oštećenog zaštitnog sloja. Obavezno čišćenje korodirane armature prije postupka sanacije te nanošenje sloja zaštite  od daljnjeg razvoja korozije. Nanošenje površinske zaštite od sanacijskog morta. Posebno obratiti pažnju na potpunu sanaciju ulaznih vanjskih stubišta, kao i kapa dimnjaka i ventilacijskih kanala na krovu.</t>
  </si>
  <si>
    <r>
      <t>m</t>
    </r>
    <r>
      <rPr>
        <vertAlign val="superscript"/>
        <sz val="9"/>
        <rFont val="Calibri"/>
        <family val="2"/>
        <scheme val="minor"/>
      </rPr>
      <t>2</t>
    </r>
  </si>
  <si>
    <r>
      <t>Razna zidarska pripomoć, krpanja pukotina i popravci žbuke i prodora prilikom izvođenja radova. Obračun po m</t>
    </r>
    <r>
      <rPr>
        <vertAlign val="superscript"/>
        <sz val="9"/>
        <rFont val="Calibri"/>
        <family val="2"/>
        <scheme val="minor"/>
      </rPr>
      <t>2</t>
    </r>
    <r>
      <rPr>
        <sz val="9"/>
        <rFont val="Calibri"/>
        <family val="2"/>
        <charset val="238"/>
        <scheme val="minor"/>
      </rPr>
      <t xml:space="preserve"> obrađene plohe. </t>
    </r>
  </si>
  <si>
    <t>ZIDARSKI RADOVI (STANOVI)</t>
  </si>
  <si>
    <t>A. GRAĐEVINSKI RADOVI / A.IV.2. ZIDARSKI RADOVI (STANOVI)</t>
  </si>
  <si>
    <t>ZIDARSKI RADOVI UKUPNO (STANOVI):</t>
  </si>
  <si>
    <t>Toplinska izolacija stropa negrijanog razizemlja iznad zajedničkih prostora- MK1, iznad garaža -MK2</t>
  </si>
  <si>
    <t xml:space="preserve">NAPOMENA: Sve mjere izvedbe, kao i postojeće konstukcije provjeriti na licu mjesta prije planiranja i organizacije radova.  </t>
  </si>
  <si>
    <r>
      <t>Izvedba toplinske izolacije podgleda stropa negrijanog razizemlja, sa svim potrebnim predradnjama i pripremom podloge. Toplinska izolacija na bazi mineralne (kamene) vune</t>
    </r>
    <r>
      <rPr>
        <sz val="9"/>
        <color indexed="8"/>
        <rFont val="Calibri"/>
        <family val="2"/>
        <charset val="238"/>
      </rPr>
      <t xml:space="preserve"> (λ=0,35 </t>
    </r>
    <r>
      <rPr>
        <sz val="9"/>
        <rFont val="Calibri"/>
        <family val="2"/>
        <charset val="238"/>
      </rPr>
      <t>W/mK), debljine 16 cm, s jedne strane obložene specijalnim staklenim voalom pogodnim za direktno nanošenje boje. Ploče mineralne (kamene) vune ljepe se i mehanički su učvršćene metalnim držačima s metalnim diskom (min. ø80 mm), sve prema preporuci proizvođača.  Montaža bez dodatne podkonstrukcije.</t>
    </r>
  </si>
  <si>
    <t>Prije početka radova investitor je dužan raščistiti i omogućiti pristup svim prostorijama podruma kako bi se radovi neometano mogli izvesti.</t>
  </si>
  <si>
    <t>MV, deb. 16 cm</t>
  </si>
  <si>
    <t>Izvedba slojeva ravnog neprohodnog krova iznad 4. kata  - oznaka RK1,RK1.1</t>
  </si>
  <si>
    <t>Izvođenje slojeva ravnog neprohodnog krova s vertikalnim dizanjem uz konstrukciju vanjskog zida zgrade - vijenca, dimnjake, odzračnike i ventilacijske kanale min 30 cm. Hidroizolacija je mehanički fiksirana te hermetizirana jednokomponentnim poliuretanskim trajnoelastičnim kitom koji  čini čvrstu ali visoko elastičnu brtvu niskog modula elastičnosti i prikladan je za horizontalne i vertikalne aplikacije te se može aplicirati na velikom rasponu temperatura.
Jediničnom cijenom uključeni svi spojni elementi: otvoreni, zatvoreni i kutni prelazi i završni elementi. Osobitu pažnju posvetiti holkeru i završnom učvršćenju i brtvljenju hidroizolacije.</t>
  </si>
  <si>
    <t xml:space="preserve">Nakon uklanjanja ostataka sloja šljunka, na očišćenu podlogu postojeće hidroizolacije se sljedeći radovi: </t>
  </si>
  <si>
    <t>Dobava i polaganje jednoslojnih hidroizolacijskih membrana od sintetičke gume (TPO-a) debljine 1,5 mm, energetski učinkovitih reflektirajuće bijele ili sive boje, trajno otpornih na UV zrake, većinu kemijskih spojeva, mikroorganizme i korijenje.
Membrana je punoplošno armirana gustim poliesterskim pletivom, potpuno homogene i trajno stabilne strukture cijelog presjeka.
Zadržava trajnu dimenzionalnu stabilnost u ekstremnim temperaturnim rasponima, uz visoke otpornosti na sile vlačnih naprezanja i točkastih proboja. mehanički učvršćena za podlogu. Hidroizolacijske membrane se polažu na geotekstil ili toplinsku izolaciju (sve prema uputama proizvođača) i ugrađuju u sustavu mehanički pričvršćenih membrana. Rubovi membrana se međusobno preklapaju i zavaruju vrućim zrakom kako bi se postigao potpuno homogen spoj (min preklapanje prema uputama proizvođača). Membrana se vertikalno uzdiže uz  konstrukciju vanjskog nadozida zgrade, krovnih svjetlika, dimnjaka, odzračnika i ventilacijskih kanala. Na svojim završetcima membrana se vari na TPO limove. Sve spojeve izvesti na način da se osigura vodotijesnost membrane. Izvoditelj treba imati radnike s odgovarajućim iskustvom, obučene i ovlaštene od proizvođača materijala.</t>
  </si>
  <si>
    <t xml:space="preserve">Obrada prodora (npr. vertikalna konstrukcija krovnog svjetlika, dimnjaci, odzračnici, ventilacijski kanali) kroz hidroizolaciju nearmiranom TPO membranom ili tipskom TPO prirubnicom. Završetak se kita jednokomponentnim poliuretanskim kitom koji čini čvrstu, ali visoko elastičnu brtvu niskog modula elastičnosti i prikladan je za horizontalne i vertikalne aplikacije te se može aplicirati na velikom rasponu temperatura i priteže obujmicom. Izvesti prema projektu i detalju proizvođača.
</t>
  </si>
  <si>
    <t>Izvedba detalja na mjestu sudara horizontalnih i vertikalnih površina koje se hidroizoliraju. Detalj se izvodi na način da se ugrađuje prefabricirani perforirani Fe/Zn profil povećane krutosti koji se mehanički učvršćuje za podlogu sa min. 4,0 kom/m¹ pričvršćivača. Izvesti prema projektu i detalju proizvođača.</t>
  </si>
  <si>
    <t>Dobava i montaža dvostrukih okomitih odzračnika na bazi tvrdog PVC-a, toplinski izoliranih sa ekspandiranim polietilenom (EPE), sa mogućnošću spajanja na parnu branu i na hidroizolaciju, promjera Ǿ110 i visine 500mm. Jedan na svakih 250-350 m2. Obračun po komadu ugrađenog elementa.</t>
  </si>
  <si>
    <t>2.1</t>
  </si>
  <si>
    <r>
      <t xml:space="preserve">Svi navedeni slojevi horizontalne toplinske izolacije od mineralne vune deb. 18 cm i hidroizolacije od TPO membrane (a-c) na horizontalnim dijelovima krova. Izvesti prema projektu i detalju proizvođača. (po potrebi razdjelni slojevi). </t>
    </r>
    <r>
      <rPr>
        <b/>
        <sz val="9"/>
        <rFont val="Calibri"/>
        <family val="2"/>
        <charset val="238"/>
      </rPr>
      <t>Detalji  D3, D5 .</t>
    </r>
  </si>
  <si>
    <t>TPO membrana</t>
  </si>
  <si>
    <t>MV, deb. 18 cm</t>
  </si>
  <si>
    <t xml:space="preserve">parna brana (PE) </t>
  </si>
  <si>
    <t>2.2</t>
  </si>
  <si>
    <r>
      <t xml:space="preserve">Svi navedeni slojevi vertikalne hidroizolacije od TPO membrane, v = 20 cm i toplinske izolacije od kamene vune deb. 5 cm, v = 15 cm uz krovni nadozid. Izvesti prema projektu i detalju proizvođača. </t>
    </r>
    <r>
      <rPr>
        <b/>
        <sz val="9"/>
        <rFont val="Calibri"/>
        <family val="2"/>
        <charset val="238"/>
      </rPr>
      <t>Detalj D3.</t>
    </r>
  </si>
  <si>
    <t>MV, deb. 5 cm</t>
  </si>
  <si>
    <t>2.3</t>
  </si>
  <si>
    <t xml:space="preserve">Dobava materijala i izrada vertikalnog prihvatnog završetka hidroizolacije na dimnjacima, ventilacijama i izlazu na krov. Završetak se izvodi kaširanim TPO limom r.š.5cm koji se mehanički pričvršćuje za podlogu. HI RŠ do 40 cm. U stavci uključeno svo potrebno kitanje PU kitom. </t>
  </si>
  <si>
    <t>2.4</t>
  </si>
  <si>
    <t xml:space="preserve">Izvedba detalja na mjestu sudara horizontalnih i vertikalnih površina. Izvesti prema projektu i detalju proizvođača. (d)
</t>
  </si>
  <si>
    <t>oko dimnjaka, ventilacija i izlaza na krov</t>
  </si>
  <si>
    <t xml:space="preserve">na sudaru s nadozidom </t>
  </si>
  <si>
    <t>2.5</t>
  </si>
  <si>
    <r>
      <t xml:space="preserve">Dobava i ugradnja sigurnosnog vertikalnog slivnika od TPO-a u postojeće slivničke vertikale (∅kao postojeći, potrebna izmjera prije nuđenja). (e) Izvesti prema projektu i detalju proizvođača. </t>
    </r>
    <r>
      <rPr>
        <b/>
        <sz val="9"/>
        <rFont val="Calibri"/>
        <family val="2"/>
        <charset val="238"/>
      </rPr>
      <t>Detalj D6.</t>
    </r>
  </si>
  <si>
    <t>2.6</t>
  </si>
  <si>
    <t>Dobava i montaža dvostrukih okomitih odzračnika na bazi tvrdog PVC-a, toplinski izoliranih s ekspandiranim polietilenom (EPE), s mogućnošću spajanja na parnu branu i na hidroizolaciju, promjera Ǿ100 i visine 500 mm.
Obračun po komadu ugrađenog elementa (f).</t>
  </si>
  <si>
    <t>U cijenu su uključeni svi potrebni profili i okapi, te brtvene trake na spoju dijela zida izoliranog XPS-om i dijela zida izoliranog mineralnom (kamenom) vunom. Izvesti prema projektu.
U stavku je uključena izvedba probnih uzoraka boje na pročelju zgrade prije odabira završne nijanse boje. 
Ploče XPS-a su lijepljene na podlogu i mehanički učvršćene plastičnim pričvrsnicama sa širokim glavama, sve prema preporuci proizvođača. Minimalni broj pričvrsnica je 6, a maksimalni 12 kom/m². Izbor pričvrsnica i potrebni broj kom po m² je opisan u općim uvjetima. 
U cijenu su uključeni svi potrebni profili za žbukanje i profili za pročelje, alu i/ili PVC kutnici sa mrežicom, sokl profili, okapni profili na nadvojima otvora, ojačanja za rubove, otvore, uglove i dr., te priključni profil sa samoljepljivom brtvenom trakom i mrežicom na sudaru špaleta sa stolarskim stavkama.</t>
  </si>
  <si>
    <r>
      <t xml:space="preserve">Završno - dekorativni sloj izvodi se min 15 cm ispod završne kote terena. Kod izvedbe podnožja u ravnini sa pročeljem potrebno je izvesti sloj oblutaka kako bi se osiguralo što manje prskanja vodom. U cijenu su uključeni svi potrebni profili i okapi, te brtvene trake. Izvesti prema projektu i detalju. </t>
    </r>
    <r>
      <rPr>
        <b/>
        <sz val="9"/>
        <rFont val="Calibri"/>
        <family val="2"/>
        <charset val="238"/>
      </rPr>
      <t>Detalj D1.</t>
    </r>
  </si>
  <si>
    <t xml:space="preserve">XPS debljine 14 cm, v = 60 cm </t>
  </si>
  <si>
    <t xml:space="preserve">XPS debljine 3 cm, v = 30 cm </t>
  </si>
  <si>
    <t>Dobava i polaganje toplinske izolacije - dvoslojne tvrde ploče mineralne (kamene) vune za ravne prohodne krovove (na prethodno postavljenu parnu branu), ploča od dva sloja (12 + 6 cm) različite gustoće (sloj veće gustoće postavljen na gornjoj strani), koeficijent toplinske provodljivosti λ≤0,036 W/mK, klasa negorivosti A1, ukupne debljine 18 cm na horizontalnim odn. 5cm na vertikalnim dijelovima, gustoće 190 kg/m³ gornji sloj, 90 kg/m³ donji sloj. Sve detalje izvesti na način koji propisuje proizvođač toplinske izolacije. Izvoditelj treba imati radnike s odgovarajućim iskustvom, obučene i ovlaštene od proizvođača materijala.</t>
  </si>
  <si>
    <r>
      <t>Dobava i ugradnja vertikalnog slivnika od TPO-a u slivničke vertikale (</t>
    </r>
    <r>
      <rPr>
        <sz val="9"/>
        <rFont val="GreekC"/>
      </rPr>
      <t>∅</t>
    </r>
    <r>
      <rPr>
        <sz val="9"/>
        <rFont val="Calibri"/>
        <family val="2"/>
        <charset val="238"/>
      </rPr>
      <t>kao postojeći, potrebna izmjera prije nuđenja). Slivnici se mehanički pričvršćuju za podlogu, i na njih se vari hidroizolacija. Izvesti prema projektu i detalju proizvođača.
Prirubnice krovnih slivnika trebale bi biti upuštene u konstrukciju ispod hidroizolacije (Napomena: Kod termički izolIranih krovnih konstrukcija sa parnom branom trebaju se koristiti dvodijelni termički izolirani krovni slivnici). Tvornički prerađeni krovni slivnici moraju odgovarati DIN EN 1253 „Slivnici za objekte“ ili jednakovrijedno________________.</t>
    </r>
  </si>
  <si>
    <t>Sve radove treba izvesti isključivo po uputama, koristeći materijale, alate i način izvođenja po tehnologiji proizvođača slojeva pročelja, prema gl. arhitektonskom projektu i detaljima (D4a, D4b), te projektu racionalne uporabe energije i toplinske zaštite z.o.p. SAE 168-2024.</t>
  </si>
  <si>
    <t xml:space="preserve">Sve radove treba izvesti isključivo po uputama, koristeći materijale, alate i način izvođenja po tehnologiji proizvođača, prema gl. arhitektonskom projektu i detaljima, te projektu racionalne uporabe energije i toplinske zaštite z.o.p. SAE 168-2024 Obračun po m² izvedene površine. </t>
  </si>
  <si>
    <r>
      <t>Ispitivanje i vizualno kodiranje stanja snimanjem daljinski upravljanom </t>
    </r>
    <r>
      <rPr>
        <b/>
        <sz val="9"/>
        <rFont val="Calibri"/>
        <family val="2"/>
        <charset val="238"/>
      </rPr>
      <t>CCTV kamerom</t>
    </r>
    <r>
      <rPr>
        <sz val="9"/>
        <rFont val="Calibri"/>
        <family val="2"/>
        <charset val="238"/>
      </rPr>
      <t> – za </t>
    </r>
    <r>
      <rPr>
        <b/>
        <sz val="9"/>
        <rFont val="Calibri"/>
        <family val="2"/>
        <charset val="238"/>
      </rPr>
      <t>snimanje kanalizacijskih cjevovoda kamerom Norma: HRN EN 13508-2:2011 ( EN 13508-2:2003+A1:2011 ili jednakovrijedno)</t>
    </r>
  </si>
  <si>
    <t xml:space="preserve">CCTV snimanje postojećih slivničkih vertikala -oborinskih cjevovoda za odvod krovnih voda s postojećeg ravnog krova robot kamerama </t>
  </si>
  <si>
    <t>A.III.</t>
  </si>
  <si>
    <t>ZEMLJANI RADOVI UKUPNO:</t>
  </si>
  <si>
    <t>Prije početka radova potrebno je provjeriti da li trase postojećih instalacijskih vodova na gradilištu i u blizini kolidiraju s iskopom ili radnim prostorom potrebne mehanizacije. Prije početka zemljanih radova, teren treba očistiti od šiblja i korova. Ovi radovi kao i radovi oko razmjeravanja terena i obilježavanja zgrade uračunati su u jedinične cijene.</t>
  </si>
  <si>
    <t xml:space="preserve">Dužnost je izvođača da utvrdi pravi sastav tla. Ukoliko izvođač prilikom iskopa zemlje naiđe na bilo kakve predmete, objekte ili instalacije, dužan je na tom mjestu obustaviti radove i o tome obavijestiti projektanta i nadzornog inženjera.      </t>
  </si>
  <si>
    <t>Iskopani materijal treba odlagati na dovoljnom odstojanju od ruba iskopa da ne dođe do urušavanja. Podupiranja, razupiranja i zaštita iskopa od oborinskih voda prekrivanjem PVC folijama i izvedbom površinske odvodnje kanalima i muljnim crpkama, obuhvaćena su jediničnim cijenama. Potrebna građa za podupiranje mora biti pripremljena na gradilištu prije početka iskopa. Ako se iskopane jame oštete, odrone ili zatrpaju nepažnjom ili uslijed nedovoljnog podupiranja, izvođač ih dovodi u ispravno stanje bez posebne naknade. Ukoliko je izvođač otkopao tlo ispod projektom predviđene temeljne ravnine obavezan je bez naknade popuniti tako nastale šupljine betonom C 8/10, do projektirane kote. Zabranjeno je popunjavanje prekopa nasipom šljunka.</t>
  </si>
  <si>
    <t>Količine iskopa, transporta i nasipa zemlje obračunavaju se prema sraslom stanju tla. Iskopani materijal upotrijebiti za nasipavanje i zatrpavanje. Isti treba prevesti na gradilišni deponij, uskladištiti te poslije upotrijebiti. Višak iskopanog materijala odvesti na gradski deponij. U cijenu zbrinjavanja otpadnog materijala uključiti plaćanje svih potrebnih troškova da bi se otpad kompletno zbrinuo.</t>
  </si>
  <si>
    <t>Jedinična cijena uključuje sav rad za iskop (ručni ili strojni), potrebne razupore, podupore (osiguranje od urušavanja), sva potrebna planiranja (do točnosti ±3 cm), niveliranje i nabijanja površina, crpljenje površinske i/ili procjedne vode, rasprostiranje i oblikovanje tla (ručno ili specijalnim strojevima), utovar u kamion, prijevoz na gradilišni deponij i istovar zemlje ukoliko je to potrebno.</t>
  </si>
  <si>
    <t>Sanacija zelenih površina - travnjaka</t>
  </si>
  <si>
    <t>Uređenje  zelenih površina nakon svih radova i dovođenje u prvobitno stanje nakon eventualnih oštećenja nasipavanjem humusa te sijanje trave.</t>
  </si>
  <si>
    <t>A. GRAĐEVINSKI RADOVI / A.V.ZEMLJANI RADOVI</t>
  </si>
  <si>
    <t>Iskop zemlje uz rub podnožja zgrade - južno, zapadno i sjeverno pročelje</t>
  </si>
  <si>
    <t>Iskop zemlje širine 60 cm uz rub podnožja zgrade, ukupne dubine iskopa 120 cm. U stavku je uključena i demontaža i ponovna montaža manjih, posebno nespecificiranih elemenata i dijelova duž linijskog iskopa. Iskop sa vrši sa vertikalnim odsijecanjem. Izvesti pažljivo kako se ne bi oštetili dijelovi postojeće konstrukcije. Iskopanu zemlju deponirati uz rub iskopa. Obračun je po m³.</t>
  </si>
  <si>
    <t>m³</t>
  </si>
  <si>
    <t>Zasipavanje iskopa uz rub podnožja zgrade</t>
  </si>
  <si>
    <t>Zasipavanje iskopa uz rub podnožja zgrade zemljom nakon postave XPS-a (opisano u izolaterskim radovima) uključujući nabijanje u slojevima do max 15 cm. Za zasipavanje se koristi zemlja preostala od iskopa. Obračun je po m³.</t>
  </si>
  <si>
    <t>Odvoz suvišne zemlje</t>
  </si>
  <si>
    <t>Polaganje oblutaka</t>
  </si>
  <si>
    <t>Nabava i polaganje oblutaka granulacije Ø 4,0-6,0 cm u širini od 40 cm, deb. sloja 10 cm uz rub podnožja zgrade. Obračun je po m³.</t>
  </si>
  <si>
    <t xml:space="preserve">Odvoz sve suvišne zemlje sa gradilišta na gradsku deponiju udaljenu do 20 km uključujući utovar, prijevoz i istovar zemlje. Obračun je po m³.
</t>
  </si>
  <si>
    <t xml:space="preserve">ZEMLJANI RADOVI ukupno </t>
  </si>
  <si>
    <t>PRIPREMNI RADOVI ukupno (stanovi prostori)</t>
  </si>
  <si>
    <t>RUŠENJA I DEMONTAŽE ukupno (stanovi)</t>
  </si>
  <si>
    <t>ZIDARSKI RADOVI ukupno (stanovi)</t>
  </si>
  <si>
    <t>Opšav vanjskih prozorskih klupčica</t>
  </si>
  <si>
    <r>
      <t>Obračun po m¹ opšava, m</t>
    </r>
    <r>
      <rPr>
        <vertAlign val="superscript"/>
        <sz val="9"/>
        <color indexed="8"/>
        <rFont val="Calibri"/>
        <family val="2"/>
        <charset val="238"/>
      </rPr>
      <t>2</t>
    </r>
    <r>
      <rPr>
        <sz val="9"/>
        <color indexed="8"/>
        <rFont val="Calibri"/>
        <family val="2"/>
        <charset val="238"/>
      </rPr>
      <t xml:space="preserve"> hidroizolacije i m</t>
    </r>
    <r>
      <rPr>
        <vertAlign val="superscript"/>
        <sz val="9"/>
        <color indexed="8"/>
        <rFont val="Calibri"/>
        <family val="2"/>
        <charset val="238"/>
      </rPr>
      <t>2</t>
    </r>
    <r>
      <rPr>
        <sz val="9"/>
        <color indexed="8"/>
        <rFont val="Calibri"/>
        <family val="2"/>
        <charset val="238"/>
      </rPr>
      <t xml:space="preserve">  toplinske izolacije.</t>
    </r>
  </si>
  <si>
    <t>lim r.š. = 45 cm</t>
  </si>
  <si>
    <t>HI r.š. = 40 cm</t>
  </si>
  <si>
    <t>Limeni opšavi, okapi, kape zidova parapeta</t>
  </si>
  <si>
    <t>kape na parapetima balkona - lim r. š. 25 cm</t>
  </si>
  <si>
    <t>HI r.š. = 10 cm</t>
  </si>
  <si>
    <t>opšav vijenca ravnog krova - lim r. š. 50 cm</t>
  </si>
  <si>
    <t>HI r.š. = 32 cm</t>
  </si>
  <si>
    <t>QSB ploče š. = 32 cm</t>
  </si>
  <si>
    <t>Pokrov nadstrešnica od trapeznog lima</t>
  </si>
  <si>
    <t xml:space="preserve">Viseći horizontalni žlijeb </t>
  </si>
  <si>
    <t>Izvedba i montaža četvrtastog horizontalnog žlijeba sa zatvorenim bočnim stranicama, za odvod oborinske vode s nadstrešnice pokrivene trapeznim limom. Širina žlijeba 8 cm. r.š. = 18 cm, izveden čeličnim plastificiranim limom jednakih karaktreistika kao trapezni lim opisan u prošloj stavci. S ukapnice podvučene pod pokrov r.š. 10 cm. Svi spojevi specijalno lotani. Žlijeb pričvršćen na AB konstrukciju nadstrešnice i izveden u padu.  U cijenu uključen  spojni i priključni materijal i pribor, svi završni i prelazni elementi. Stavka uključuje sav transport, rad, materijal spojna i pomoćna sredstva</t>
  </si>
  <si>
    <t>Razni sitni radovi oko raznih prodora i sl.</t>
  </si>
  <si>
    <t>limeni "T" profili</t>
  </si>
  <si>
    <t>razni tipski limeni opšavi</t>
  </si>
  <si>
    <t>KV limar</t>
  </si>
  <si>
    <t>sati</t>
  </si>
  <si>
    <t>Dobava materijala, izrada i montaža vanjskih limenih klupčica prozora od suterena do 4. kata. Izvesti od plastificiranog al. lima deb. 0,7 mm,  razvijenih širina od cca 30 cm i 40 cm. Lim završava okapnicom odmaknutom od gotove fasade 3 cm. Lim je završno obrađen plastificiranjem u svijetlosivom tonu.</t>
  </si>
  <si>
    <r>
      <t>U stavku uključena dobava i ugradnja podložne ploče od XPS-a debljine 2-4 cm u širini špalete od cca 21 cm i 26 cm.</t>
    </r>
    <r>
      <rPr>
        <b/>
        <sz val="9"/>
        <color indexed="8"/>
        <rFont val="Calibri"/>
        <family val="2"/>
        <charset val="238"/>
      </rPr>
      <t xml:space="preserve"> </t>
    </r>
    <r>
      <rPr>
        <b/>
        <sz val="9"/>
        <color indexed="8"/>
        <rFont val="Calibri"/>
        <family val="2"/>
      </rPr>
      <t>Detalji D1, D2.</t>
    </r>
  </si>
  <si>
    <t xml:space="preserve">Podložna hidroizolacija (ljepilo, staklena mrežica, HI premaz) r.š. 26 cm i 33 cm te brtvljenje trajnoelastičnim  PU kitom, brtvena traka, galvanizirane  plosne čel. kuke, sve uključeno u stavku. Stavka obuhvaća ugradnju klamera, nosača i vodilica, te kompletnu podkonstrukciju potrebnu za izradu i ugradnju klupica. Obratiti pažnju na ugradnju dodatnih klamera na klupčicama velike duljine što ulazi u cijenu stavke.
U cijenu uključiti sav ostali pomoćni, spojni i pričvrsni materijal, te sva potrebna podešavanja i prilagođavanja. Sve točne mjere uzimati na licu mjesta. </t>
  </si>
  <si>
    <r>
      <t>Dobava materijala, izrada i montaža opšavnih limova vijenca ravnog krova i kape parapeta kod loggia. Izvesti od eloksiranog ili plastificiranog al. lima deb. 1 mm u svijetlosivom tonu. Kod kapa i opšava većih dimenzija lim dodatno učvrstiti u podlogu od OSB ploča koja je posredno ili direktno pričvršćena za nosivu konstrukciju, te preko podveza na svakih cca 40 cm razmaka, tj. pomoću galvaniziranih pocinčanih kuka od plosnog čelika 40/3 mm, usidrenih pomoću vijaka sa tiplama za ugradbu. Lim završava okapnicom s obje strane odmaknutom od gotove fasade za  3-5 cm.
Izvedba hidroizolacije na spoju s rubnim limom te brtvljenje trajnoelastičnim kitom. Plosne pocinčane kuke uključene u stavku. Izvesti prema glavnom projektu i detalju, te izmjeri na gradilištu. U cijenu je uključen sav pomoćni, spojni i pričvrsni materijal, te sva potrebna podešavanja i prilagođavanja. Sve mjere uzeti na licu mjesta. Obračun po m</t>
    </r>
    <r>
      <rPr>
        <sz val="9"/>
        <rFont val="Arial"/>
        <family val="2"/>
        <charset val="238"/>
      </rPr>
      <t>¹</t>
    </r>
    <r>
      <rPr>
        <sz val="9"/>
        <rFont val="Calibri"/>
        <family val="2"/>
        <charset val="238"/>
      </rPr>
      <t xml:space="preserve"> postavljenog opšava.</t>
    </r>
  </si>
  <si>
    <r>
      <t>Dobava i izvedba novog pokrova nadstrešnica nad ulazima na istočnom pročelju samonosivim krovnim trapeznim čeličnim plastificiranim limom minimalne debljine 0,50mm, lim pocinčan (min. 200 g/m2 cinka u skladu s HRN EN 10346:2009 ili jednakovrijedno__________, HRN ENV 1993-1-3 ili jednakovrijedno__________, HRN EN 10143:2008 ili jednakovrijedno__________, EN 10147:2008 ili jednakovrijedno__________, DIN 18807-1:1987 ili jednakovrijedno__________,DIN 18807-2:1987, DIN 18807-3:1987 ili jednakovrijedno__________) i završno obrađen plastificiranjem, u boji po odabiru projektanta na temelju predloženog uzorka. U cijeni trapeznog lima su uključeni pripadajući vijci, kalote, podloške i brtve u eventualno potrebnu dodatnu podkonstrukciju. U cijenu uključeni svi potrebni čelični pocinčani i plastificirani opšav prepusta završetka kosog krova i sl. kao i ostali spojni i priključni materijal i pribor. U cijeni su također uključeni svi završni i prelazni elementi krova kao što su: elementi za provjetravanje, spoj na etics sustav vanjskog zida s potrebnim kitanjem, mrežice protiv ptica i insekata i sl. Stavka uključuje sav transport, rad, materijal spojna i pomoćna sredstva. Nagib pokrova cca 9°. Obračun prema tlocrtnoj projekciji m</t>
    </r>
    <r>
      <rPr>
        <vertAlign val="superscript"/>
        <sz val="9"/>
        <rFont val="Calibri"/>
        <family val="2"/>
      </rPr>
      <t>2</t>
    </r>
    <r>
      <rPr>
        <sz val="9"/>
        <rFont val="Calibri"/>
        <family val="2"/>
        <charset val="238"/>
      </rPr>
      <t xml:space="preserve"> kompletno izvedenog pokrova.</t>
    </r>
  </si>
  <si>
    <t xml:space="preserve">Radovi uključuju razna limarska pripasivanja te izmjeru, izradu, dobavu i montažu svih limenih opšava i slično, sa svim potrebnim materijalom. Rad limom r.š. do 300 mm. Obračun po m¹ kompletno izvedenih opšava i slično odnosno po utrošenom radnom satu limara.  Uključena ugradnja metalnih T profila od pocinčanog lima u boji pročelja  iznad vanjskih kutija roleta kod postojeće stolarije koja se ne mijenja. U cijenu stavke je uključen sav rad, materijal i transport, te potrebna radna skela. </t>
  </si>
  <si>
    <t>VANJSKA PVC STOLARIJA (zajedničkih prostorija) ukupno</t>
  </si>
  <si>
    <t>B. OBRTNIČKI RADOVI / B.II.1. VANJSKA PVC STOLARIJA (ZAJEDNIČKE PROSTORIJE)</t>
  </si>
  <si>
    <t xml:space="preserve">VANJSKA PVC STOLARIJA (ZAJEDNIČKE PROSTORIJE) </t>
  </si>
  <si>
    <t>VANJSKA PVC STOLARIJA (ZAJEDNIČKE PROSTORIJE) UKUPNO:</t>
  </si>
  <si>
    <t>Izrada, doprema i ugradnja vanjskog jednodijelnog PVC prozora koji se sastoji od jednog otklopno-zaokretnog krila, u građevinskom otvoru cca 61x61 cm.
Karakteristike prozora:</t>
  </si>
  <si>
    <t>donji horizontalni slijepi profil dimenzije 5/7 cm</t>
  </si>
  <si>
    <t>unutarnja PVC klupčica, vanjska klupčica obrađena u limarskim radovima;</t>
  </si>
  <si>
    <t>zaštitna mreža protiv ulazaka glodavaca ispred prozora dimenzija cca 51/46 cm, razmaka rešetki cca 1 cm</t>
  </si>
  <si>
    <t>ukupni koeficijent prolaska topline cijele stijene UW ≤ 1,40 W/m2K;</t>
  </si>
  <si>
    <t>ostakljenje: dvostruko IZO staklo 4/16Ar/4, ispuna argonom, s jednim staklom niske emisije, s proračunskim dokazom koef. prolaska topline Ug ≤ 1,10 W/m2K, faktor gꞱ= 0,65;</t>
  </si>
  <si>
    <t xml:space="preserve"> rubni opšav (vanjski i unutarnji) - RAL ugradnja: vanjska hidroizolacija - paropropusna folija i unutarnja-paronepropusna (parna brana); ili brtvena ekspandirajuća traka  i unutarnji PVC kutnik.</t>
  </si>
  <si>
    <t xml:space="preserve">Izvesti prema shemi stolarije (st.  1a).                                          </t>
  </si>
  <si>
    <t xml:space="preserve">Izvesti prema shemi stolarije (st.  1b).                                          </t>
  </si>
  <si>
    <t>PROZOR - stavka 1b</t>
  </si>
  <si>
    <t>PROZOR - stavka 1a</t>
  </si>
  <si>
    <t>PROZOR - stavka 2</t>
  </si>
  <si>
    <t xml:space="preserve">Izvesti prema shemi stolarije (st.  2).                                          </t>
  </si>
  <si>
    <t>Izrada, doprema i ugradnja vanjskog jednodijelnog PVC prozora koji se sastoji od četiri otklopno-zaokretna krila, u građevinskom otvoru cca 271x121 cm.
Karakteristike prozora:</t>
  </si>
  <si>
    <t>prozorsko otklopno-zaokretno krilo od PVC profila u svijetlosivom tonu. Sistemski metalni okov za ručno otvaranje.</t>
  </si>
  <si>
    <t>prozorska otklopno-zaokretna krila od PVC profila u svijetlosivom tonu. Sistemski metalni okov za ručno otvaranje.</t>
  </si>
  <si>
    <t>VRATA - stavka 3</t>
  </si>
  <si>
    <t>Izvesti prema shemi stolarije (st. 3).</t>
  </si>
  <si>
    <t>Izrada, doprema i ugradnja vanjskih PVC vrata koja se sastoje od jednog djelomično ostakljenog zaokretnog krila, u građevinskom otvoru cca 81x221 cm.
Karakteristike vrata:</t>
  </si>
  <si>
    <t>komplet okov za jednokrilna vrata, cilindrična brava, gornji hidraulični zatvarač s polugom, graničnik-fikser;</t>
  </si>
  <si>
    <t>zaokretno vratno krilo od PVC profila u svijetlosivoj boji. Sistemski metalni okov za ručno otvaranje;</t>
  </si>
  <si>
    <t>ukupni koeficijent prolaska topline cijelih vrata UW ≤ 1,40 W/m2K;</t>
  </si>
  <si>
    <t>VANJSKA PVC STOLARIJA (STAMBENIH PROSTORA)</t>
  </si>
  <si>
    <t>B. OBRTNIČKI RADOVI / B.II.2. VANJSKA STOLARIJA (STAMBENE PROSTORIJE)</t>
  </si>
  <si>
    <t>Prozor - st. 4</t>
  </si>
  <si>
    <t>Izrada, doprema i ugradnja jednodijelnog PVC prozora koji se sastoji od jednog otklopno-zaokretnog krila, u građevinskom otvoru cca 81x157 cm. 
Karakteristike:</t>
  </si>
  <si>
    <t>ukupni koeﬁcijent prolaska topline cijelog prozora Uw ≤ 0,90 W/m2K;</t>
  </si>
  <si>
    <t>ostakljenje: trostruko IZO staklo 4/16Ar/4/16Ar/4 mm, ispuna argonom, s jednim staklom niske emisije, s 	proračunskim dokazom koef. prolaska topline Ug ≤ 0,70 W/m2K, faktor gꞱ&gt; 0,50</t>
  </si>
  <si>
    <t>Izvesti prema shemi stolarije (st. 4).</t>
  </si>
  <si>
    <t>Prozor - st. 5a</t>
  </si>
  <si>
    <t>Izrada, doprema i ugradnja dvodijelnog PVC prozora koji se sastoji od dva otklopno-zaokretna krila, u građevinskom otvoru cca 181x157  cm. 
Karakteristike:</t>
  </si>
  <si>
    <t>Izvesti prema shemi stolarije (st. 5a).</t>
  </si>
  <si>
    <t>Prozor - st. 5b</t>
  </si>
  <si>
    <t>Izvesti prema shemi stolarije (st. 5b).</t>
  </si>
  <si>
    <t>Balkonska stijena - st. 6a</t>
  </si>
  <si>
    <t>balkonska vrata i prozorska otklopno-zaokretna krila od PVC profila u bijeloj boji. Sistemski metalni okov za ručno otvaranje.</t>
  </si>
  <si>
    <t>ukupni koeﬁcijent prolaska topline cijele stijene Uw ≤ 0,90 W/m2K;</t>
  </si>
  <si>
    <t>Izvesti prema shemi stolarije (st. 6a).</t>
  </si>
  <si>
    <t>Balkonska stijena - st. 6b</t>
  </si>
  <si>
    <t>Izvesti prema shemi stolarije (st. 6b).</t>
  </si>
  <si>
    <t>Balkonska stijena - st. 7a</t>
  </si>
  <si>
    <t>Izvesti prema shemi stolarije (st. 7a).</t>
  </si>
  <si>
    <t>Balkonska stijena - st. 7b</t>
  </si>
  <si>
    <t>Izvesti prema shemi stolarije (st. 7b).</t>
  </si>
  <si>
    <t>VANJSKA PVC STOLARIJA UKUPNO (STAMBENE PROSTORIJE) :</t>
  </si>
  <si>
    <t>Izrada, doprema i ugradnja dvodijelne PVC balkonske stijene koja se sastoji od jednih dvokrilnih balkonskih vrata sa zaokretno-otklopnim krilima i jednog prozora sa dva otklopno-zaokretna krila u otvoru cca 130x157/141x237 cm.
Karakteristike:</t>
  </si>
  <si>
    <t>Izrada, doprema i ugradnja dvodijelne PVC balkonske stijene koja se sastoji od jednih zaokretno-otklopnih balkonskih vratiju i jednog prozora sa dva otklopno-zaokretna krila u otvoru cca 81x237/130x157 cm.
Karakteristike:</t>
  </si>
  <si>
    <t>pozicija stolarske stavke ST3 - dim. 81/221 cm</t>
  </si>
  <si>
    <t>pozicija stolarske stavke ST6a/b -dim. 81x237/130x157 cm</t>
  </si>
  <si>
    <t>pozicija stolarske stavke ST7a/b -dim. 130x157/141x2,37 cm</t>
  </si>
  <si>
    <r>
      <t>Izvedba ETICS-a na vanjskim zidovima MW=14 cm, MW=8cm, MW=5cm, MW=3cm, špalete MW=3cm - oznake -</t>
    </r>
    <r>
      <rPr>
        <b/>
        <sz val="9"/>
        <color indexed="10"/>
        <rFont val="Calibri"/>
        <family val="2"/>
        <charset val="238"/>
      </rPr>
      <t xml:space="preserve"> </t>
    </r>
    <r>
      <rPr>
        <b/>
        <sz val="9"/>
        <rFont val="Calibri"/>
        <family val="2"/>
        <charset val="238"/>
      </rPr>
      <t>VZ1, VZ2, VZ3, VZ4</t>
    </r>
  </si>
  <si>
    <t>Sve radove treba izvesti isključivo po uputama, koristeći materijale, alate i način izvođenja po tehnologiji proizvođača slojeva pročelja, prema gl. arhitektonskom projektu i detaljima, te projektu racionalne uporabe energije i toplinske zaštite z.o.p. SAE-168-2024.</t>
  </si>
  <si>
    <r>
      <t xml:space="preserve">vanjski zidovi pročelja </t>
    </r>
    <r>
      <rPr>
        <b/>
        <sz val="9"/>
        <rFont val="Calibri"/>
        <family val="2"/>
      </rPr>
      <t>(MW) d=14 cm</t>
    </r>
  </si>
  <si>
    <r>
      <t xml:space="preserve">vanjski zidovi lođa </t>
    </r>
    <r>
      <rPr>
        <b/>
        <sz val="9"/>
        <rFont val="Calibri"/>
        <family val="2"/>
      </rPr>
      <t>(MW) d=8 cm</t>
    </r>
  </si>
  <si>
    <r>
      <t xml:space="preserve">podgled stropne ploče lođe i nadstrešnica nad ulazom </t>
    </r>
    <r>
      <rPr>
        <b/>
        <sz val="9"/>
        <rFont val="Calibri"/>
        <family val="2"/>
      </rPr>
      <t>(MW) d=4 cm</t>
    </r>
  </si>
  <si>
    <t>završna žbuka špaleta prozora širine preko 20 cm</t>
  </si>
  <si>
    <r>
      <t>špalete prozora MW</t>
    </r>
    <r>
      <rPr>
        <b/>
        <sz val="9"/>
        <rFont val="Calibri"/>
        <family val="2"/>
      </rPr>
      <t xml:space="preserve"> d=4 cm</t>
    </r>
    <r>
      <rPr>
        <sz val="9"/>
        <rFont val="Calibri"/>
        <family val="2"/>
        <charset val="238"/>
      </rPr>
      <t xml:space="preserve"> </t>
    </r>
  </si>
  <si>
    <r>
      <t xml:space="preserve">špalete prozora MW </t>
    </r>
    <r>
      <rPr>
        <b/>
        <sz val="9"/>
        <rFont val="Calibri"/>
        <family val="2"/>
      </rPr>
      <t xml:space="preserve">d=3 cm </t>
    </r>
  </si>
  <si>
    <t>Sanacija i završna obrada dijelova koji se toplinski ne izoliraju</t>
  </si>
  <si>
    <t>zidovi i kape dimnjaka i ventilacijskih vertikala</t>
  </si>
  <si>
    <t>Obloga unutarnjih kutija za rolete gipskartonskim pločama na prozorima</t>
  </si>
  <si>
    <t>Zidarska obrada i sanacija parapetnih zidova i podgleda loggia i ostalih dijelova koji se toplinski ne izoliraju, reparaturnim mortom te bojanje. Izvesti završni dekorativni sloj od tankoslojne silikatne žbuke debljine 2 mm na prethodno impregniranu podlogu prema odabranom proizvođaču i tipu završnog sloja. Obračun je određen prema građevinskoj normi (HRN U.F2.010- Završni radovi u građevinarstvu ili jednakovrijedno_____________) .</t>
  </si>
  <si>
    <t xml:space="preserve">Doprema i ugradnja PVC fasadne zaštitne rešetke za ventilaciju promjera 15 cm. </t>
  </si>
  <si>
    <t>Prije dopreme i izvedbe potrebno je dostaviti uzorak koji treba odobriti nadzorna osoba. 
Stavka uključuje potrebni spojni materijal kao i izvedbu svih potrebnih prelaznih elemenata.
U cijenu stavke uračunato je uzimanje mjera na licu mjesta, dobava i ugradnja. Obračun prema komadu kompletno izvedene i montirane rešetke.</t>
  </si>
  <si>
    <r>
      <t xml:space="preserve">Dobava materijala i izvedba oblage od GK ploča d = 12, 5 mm unutarnjih kutija za rolete na prozorima. Jednostruko oblaganje. Fugirano, priprema za bojanje i to na način da se cijela površina prvo pregleta čistim gipsanim gletom, a zatim impregnira impregnacijom za unutrašnje površine. Sve spojeve između gips-kartonskih i drugih površina potrebno je uredno pokitati odgovarajućim akrilnim kitom. Obračun po m². </t>
    </r>
    <r>
      <rPr>
        <b/>
        <sz val="9"/>
        <rFont val="Calibri"/>
        <family val="2"/>
        <charset val="238"/>
      </rPr>
      <t>Detalj D3,D4.</t>
    </r>
  </si>
  <si>
    <t>Izvedba certificiranog ETICS (prema ETAG 004 ili jednakovrijedno) sustava toplinske izolacije vanjskih zidova sa svim potrebnim predradnjama i pripremom podloge. 
Izvedba izolacije podnožja zgrade visine cca. 30 cm, postavom ploča od ekstrudiranog polistirena (XPS) λ≤0,036 W/mK, debljine 14 cm, odnosno 14 + 3 cm na mjestima ab ploče prizemlja i temelja postavljaju se na postojeću hidroizolaciju, minimalne gustoće 30kg/m3, s tankoslojnom polimer cementnom žbukom debljine 0,5 cm armiranom staklenom alkalnootpornom mrežicom, te završnim vodoodbojnim slojem teraplasta s dodatkom fungicida na prethodno impregniranu podlogu, sve iz sustava istog proizvođača. 
Vrsta impregnacije prema vrsti završnog sloja.  
Odabri boje, granulacije i teksture žbuke uz odobrenje projektanta. U dijelu ispod nivoa terena na ploče XPS-a se sa vanjske strane postavlja čepasta folija (HDPE) s čepićima okrenutim prema XPS-u.</t>
  </si>
  <si>
    <t xml:space="preserve">čepasta folija (HDPE), v = 110 cm </t>
  </si>
  <si>
    <t xml:space="preserve">Utovar i odvoz otpadnog materijala, ambalaže i sl. na deponij udaljen do 20 km. </t>
  </si>
  <si>
    <t>Ličenje negrijanih prostora stubišta, zajedničkih prostora i spremišta koji se ne izoliraju</t>
  </si>
  <si>
    <t>zidovi i stupovi</t>
  </si>
  <si>
    <r>
      <t>m</t>
    </r>
    <r>
      <rPr>
        <vertAlign val="superscript"/>
        <sz val="11"/>
        <color indexed="8"/>
        <rFont val="Calibri"/>
        <family val="2"/>
        <charset val="238"/>
      </rPr>
      <t>2</t>
    </r>
  </si>
  <si>
    <t>stropovi i grede</t>
  </si>
  <si>
    <t>Ličenje negrijanih prostora stubišta, zajedničkih prostora i spremišta koji se ne izoliraju. Radna skela je uključena u cijenu.
Dobava materijala i obrada zidova  prvoklasnom disperzivnom bojom. Bojanje u tonu prema odbiru stanara.U cijenu su uključene sve potrebne predranje (kitanje, gletanje, višekratno brušenje, premaz impregnacije i dr.)
Obračun po m² zida.</t>
  </si>
  <si>
    <t>vidjet još za ovo??</t>
  </si>
  <si>
    <t>Ličenje kaširane toplinske izolacije stropa razizemlja</t>
  </si>
  <si>
    <t xml:space="preserve">Ličenje unutarnjih novoizvedenih obloga stropova kaširanim pločama mineralne vune - MW. Popravak boje i ličenje izvesti poludisperzivnom bojom u minimalno 2 sloja.
Priprema površina stropova za bojanje i ličenje. Pripremljena površina mora biti glatka i ravna, bez neravnina. </t>
  </si>
  <si>
    <t>Popravak  i ličenje oštećenih dijelova metalnih ograda lođa.</t>
  </si>
  <si>
    <t>cjevi pravokutnog presjeka</t>
  </si>
  <si>
    <r>
      <t>m</t>
    </r>
    <r>
      <rPr>
        <vertAlign val="superscript"/>
        <sz val="11"/>
        <color indexed="8"/>
        <rFont val="Calibri"/>
        <family val="2"/>
        <charset val="238"/>
      </rPr>
      <t>'</t>
    </r>
  </si>
  <si>
    <t>rukohvat - cijevi kružnog  presjeka</t>
  </si>
  <si>
    <t>Popravak  i ličenje oštećenih dijelova metalnih ograda francuskih prozora.</t>
  </si>
  <si>
    <t>okvir - cjevi pravokutnog presjeka</t>
  </si>
  <si>
    <t>ispuna - cijevi kružnog  presjeka</t>
  </si>
  <si>
    <t>Popravak  i ličenje oštećenih dijelova metalnih ograda ulaznog vanjskog stubišta.</t>
  </si>
  <si>
    <t xml:space="preserve"> čeličnie šipke dimenzija ø cca. 10 mm</t>
  </si>
  <si>
    <t>Popravak  i ličenje oštećenih dijelova metalnih stupova koji drže nadstrešnicu i vanjsko stubište.</t>
  </si>
  <si>
    <t>Popravak  i ličenje svih metalnih površina raznih nosača i elemenata instalacija koji se nalaze na krovu.</t>
  </si>
  <si>
    <t xml:space="preserve">Popravak oštećenih dijelova postojećih metalnih ograda lak bojom za metal u sivom tonu s potrebnim predradnjama (skidanje stare boje, čišćenje od rđe, premaz temeljnom bojom) i čišćenje nakon obavljenih radova, sav potreban rad i materijal. Uključuje bojanje u minimalno 2 sloja. Ograda je složena od metalnih profila pravokutnog presjeka dimenzija stranice cca 1x1 cm i rukohvata kružnog presjeka promjera cca 4 cm.
</t>
  </si>
  <si>
    <t xml:space="preserve">postojeći čelični profili kvadratnog presjeka 3x3cm </t>
  </si>
  <si>
    <t xml:space="preserve"> čelične šipke dimenzija ø cca. 10 mm</t>
  </si>
  <si>
    <t xml:space="preserve">Popravak oštećenih dijelova postojećih metalnih stupova pravokutnog presjeka dim 5x10cm  lak bojom za metal u sivom tonu, s potrebnim predradnjama (skidanje stare boje, čišćenje od rđe, premaz temeljnom bojom) i čišćenje nakon obavljenih radova, sav potreban rad i materijal. Uključuje bojanje u minimalno 2 sloja. Stupovi su složeni od od U čeličnih profila dimenzija 10X5cm pokrivenih s otvorene strane limom što seve čini sandučasti pravokutni presjek.
</t>
  </si>
  <si>
    <t>SOBOSLIKARSKO-LIČILAČKI RADOVI (ZAJEDNIČKE PROSTORIJE) UKUPNO:</t>
  </si>
  <si>
    <t>SOBOSLIKARSKO-LIČILAČKI RADOVI (STANOVI) UKUPNO:</t>
  </si>
  <si>
    <t>PODOPOLAGAČKI RADOVI</t>
  </si>
  <si>
    <t xml:space="preserve">Pri izvedbi podopolagačkih radova u svemu se pridržavati Tehničkih uvjeta za izvođenje podopolagačkih radova HRN U.F2.033 i HRN U.F2.034 ili jednakovrijedno __________________. </t>
  </si>
  <si>
    <t xml:space="preserve">Izvođač treba prije polaganja ispitati horizontalnost i izpravnost postojeće podloge. Ukoliko je podloga neispravna, treba se izvesti nova, ili sanirati postojeća. Izvođač je dužan dati uzorke podne obloge na izbor projektantu i investitoru. U slučaju pojave neispravnosti na položenom podu, treba se prvo ustanoviti razlog iste, tj. da li je zbog lošeg materijala, loše izrade ili lošeg rukovanja, a nakon toga pristupiti sanaciji o trošku odgovorne osobe. </t>
  </si>
  <si>
    <t>Izvođač treba upotrijebiti materijal koji po vrsti, boji i kvaliteti odgovara uzorku što ga odabere projektant. Ugrađene pločice moraju biti klase po opisu iz stavke troškovnika, a ako isto nije specificirano, moraju biti "A" klase, kako za podno tako i za zidno opločenje. Sve pločice moraju odgovarati propisanim klasama protukliznosti, vatrootpornosti i
otpornosti na mraz navedenim u stavkama troškovnika, za što je potrebno osigurati potvrde o sukladnosti (certifikate) te prije početka polaganja iste dostaviti nadzornom inženjeru. Rubovi pločica moraju biti oštri, ravni, paralelni i neoštećeni, površine pločica bez zareza i mjehurića, boja pločica ujednačena.</t>
  </si>
  <si>
    <t xml:space="preserve">U podopolagačke radove spadaju radovi s PVC i gumenim pločama i trakama, koji se lijepe neoprenskim ljepilima za suhu i čvrstu podlogu od cementne glazure, gipsanog estriha ili iverice.
Izvođač mora ploče prije polaganja zagrijati da nalegnu na podlogu. Prilikom rada s neoprenskim ljepilima osigurati ventilaciju prostorije i zaštitu maskama. Postavu linoleuma obavljati u skladu s uputama proizvođača u načelu točkastim lijepljenjem na području linoleum trake i kontinuiranim na mjestu spoja traka. Trake na spojevima prije ljepljenja zajedno krojiti rezanjem obiju traka istovremeno na mjestu spoja. Za linoleume i tepihe izvođač je dužan koristiti ljepilo koje nije otrovno i nije neoprenskog porijekla. Izvođač je dužan do primopredaje radova zaštititi postavljene podove od oštećenja i onečišćenja. Za ljepilo je potrebna cementna glazura na podu, betonski zid u glatkoj oplati ili gruba žbuka na zidu. Spojnice fugirati kako je propisano u pojedinoj stavci.
</t>
  </si>
  <si>
    <t>Sve radove treba izvesti prema detaljnim nacrtima, opisima u troškovniku, tehničkim propisima, uputama projektanta i nadzornog inženjera.</t>
  </si>
  <si>
    <t>Organizaciju rada izvođač treba provesti tako da bude u skladu s operativnim planom, te da ne dođe do zakašnjenja s vlastitim radovima ili do ometanja u odvijanju radova drugih izvođača. Izvođač će pristupiti izvedbi tek nakon što projektant potpisom potvrdi sheme polaganja i tehnološku razradu svih detalja.</t>
  </si>
  <si>
    <t>Jedinična cijena uključuje
• Dobavu / ishođenje potvrde o sukladnosti za sve ugrađene materijale (certifikat)
• uzimanje mjera na gradilištu i definiranje ugradbenih dimenzija.
• tehnološku razradu svih detalja
• izradu shema polaganja
• dobavu i ugradnju podne obloge, svog spojnog materijala (ljepilo) i materijala za fugiranje, kutnih profila
• postavu i skidanje radne skele
• sve posredne i neposredne troškove za rad, materijal, alat i građevinske strojeve
• sve transporte
• čišćenje tokom rada
• odvoz i zbrinjavanje smeća
• završno čišćenje prije primopredaje radova
• nadoknadu eventualne štete nastale iz nepažnje na svojim ili tuđim radovima</t>
  </si>
  <si>
    <t>PODOPOLAGAČKI RADOVI UKUPNO:</t>
  </si>
  <si>
    <t>B. OBRTNIČKI RADOVI / B.V. PODOPOLAGAČKI RADOVI</t>
  </si>
  <si>
    <t>Izrada klasičnih brušenih terazzo podova i stuba vanjskog stubišta</t>
  </si>
  <si>
    <t>Sve mjere provjeriti u naravi.</t>
  </si>
  <si>
    <t>terazzo pod podesta vanjskog stubišta</t>
  </si>
  <si>
    <t>terazzo obloga rubne zone i bočnih stranica podesta vanjskog stubišta</t>
  </si>
  <si>
    <t>montažne ploče stuba vanjskog stubišta</t>
  </si>
  <si>
    <t xml:space="preserve">Dobava, nabava i izvođenje klasičnih brušenih podova nanošenjem visokoopteretivne mase miješane s agregatom granulata. Potrebno je koristiti agregat boje i dimenzija što sličnijih  postojećem podu. U jediničnu cijenu uključiti brušenje, zapunjavanje pora, ponovno brušenje i poliranje do potrebne  graltkoće, te završni transparentni premaz. U stavku uključiti izradu terrazza u dvije boje (jedna boja i veličina granulata za prostor poda podesta stubišta, druga boja i veličina granula za  rubnu zona širine ca 10 cm i bočne stranice podesta širine ca 17 cm, sve prema postojećem stanju i prema odabiru projektanta. Također uračunati izradu terazzo ploča gazišta montažnog stubišta dimenzija 140X30X5cm sa svim troškovima izrade kalupa i montaže. U cijenu uključen sav potreban materijal i probor. Protukliznost završne obloge R11. </t>
  </si>
  <si>
    <t>Radove izvesti nakon uklanjanja postojećeg sloja terazza i montažnih stuba, demontaže postojeće ograde i popravka betonskih dijelova podesta stubišta. Prije radova napraviti pripremu za ponovnu postavu ograde stubišta. Paziti na dinamiku radova - u dogovoru sa stanarima omogućiti alternativni pristup stubištu. Sve u cijeni stavke.</t>
  </si>
  <si>
    <t>BRAVARSKI RADOVI ukupno</t>
  </si>
  <si>
    <t>PODOPOLAGAČKI RADOVI ukupno</t>
  </si>
  <si>
    <t>BRAVARSKI RADOVI UKUPNO:</t>
  </si>
  <si>
    <t>B. OBRTNIČKI RADOVI / B.VI.BRAVARSKI RADOVI</t>
  </si>
  <si>
    <t>Eventualne spojeve na dodiru dijelova materijala od različitih metala međusobno razdvojiti odgovarajućim sredstvima radi sprečavanja međusobne reakcije galvanske korozije.</t>
  </si>
  <si>
    <t xml:space="preserve">Ostale izvedbene detalje dogovoriti s projektantom. Prije izvedbe obavezna izrada radioničkih nacrta od strane izvođača, uz obaveznu ovjeru glavnog projektanta. </t>
  </si>
  <si>
    <t xml:space="preserve">U cijenu stavke uračunato je uzimanje mjera na licu mjesta, dobava i ugradnja sav potreban rad, materijal, spojna sredstva, kao i izrada radioničke i montažne dokumentacije.. Obračun prema kompletno izvedenoj i montiranoj stavci.  </t>
  </si>
  <si>
    <t>Bilo kakva ugradnja prije odobrenja uzorka i dokumentacije, nije dozvoljena.</t>
  </si>
  <si>
    <t>Prije izrade sve mjere i količine kontrolirati u naravi!</t>
  </si>
  <si>
    <t xml:space="preserve">U cijenu stavke uračunato je uzimanje mjera na licu mjesta, dobava i ugradnja sav potreban rad, materijal, spoja sredstva, kao i izrada radioničke i montažne dokumentacije..   </t>
  </si>
  <si>
    <t>demontiranje ograde i odvoz u radionicu</t>
  </si>
  <si>
    <t xml:space="preserve">odstranjenje postojeće metalne šipke dimenzije ø cca. 10 mm dulj. cca. 90 cm rezanjem    </t>
  </si>
  <si>
    <t xml:space="preserve">skraćivanje postojećeg donjeg i gornjeg okvira ograde za ca 6-7 cm rezanjem i naknadno spajanje varenjem     </t>
  </si>
  <si>
    <t>ponovna montaža ograde na dovršeno pročelje sa svim potrebnim priborom i spojnim sredstvima, trnovima i sl.</t>
  </si>
  <si>
    <t xml:space="preserve">Preinaka fiksne metalne ograde francuskih prozora. Zahvat se izvodi radi potrebe oslobađanja prostora za oblogu špaleta postavljanjem toplinske izolacije debljine 3 cm. Ograda je složena od okvira od metalnih profila pravokutnog presjeka dimenzija stranice cca 2x1cm i ispune od okomitih cijevi kružnog presjeka promjera cca 1 cm. Preinaka se treba izraditi u radionici a sastoji se od sljedećih radnji:                                         </t>
  </si>
  <si>
    <t>-</t>
  </si>
  <si>
    <t xml:space="preserve">    -završna obrada varova brušenjem te naknadna zaštita cinkotitom           </t>
  </si>
  <si>
    <t>završno je potrebno izvršiti popravak boje postojeće bravarije uz prethodno odstranjenje postojeće boje kako je opisano i obračunato u B.V.I.  Soboslikarsko- ličilačkim radovima</t>
  </si>
  <si>
    <t>Prije izrade sve mjere i količine kontrolirati u naravi.</t>
  </si>
  <si>
    <t xml:space="preserve">zamjena trulih dijelova ograde pravokutnim cijevima istog profila  (3x3cm) rezanjem i naknadno spajanje s ostatkom okvira varenjem (procjena da je potrebno zamijeniti ca 5% postojećih cijevi)      </t>
  </si>
  <si>
    <t xml:space="preserve">dobava materijala i montaža ispune ograde vertikalnim čeličnim šipkama dimenzija ø cca. 10 mm dulj. cca. 85 cm na razmaku od cca 10cm varenjem za postojeće okvire (vidjeti postojeće šipke za ispunu ograda francuskih prozora i lođa). </t>
  </si>
  <si>
    <t>završna obrada varova brušenjem te naknadna zaštita cinkotitom</t>
  </si>
  <si>
    <t>ponovna montaža ograde na nakon dovršenja pročelja i podopolagačkih radova uređenja vanjskog stubišta sa svim potrebnim priborom i spojnim sredstvima, trnovima i sl.</t>
  </si>
  <si>
    <t>skraćivanje postojećeg donjeg i gornjeg okvira ograde u zoni prema pročelju za cca 15 cm rezanjem i naknadno spajanje varenjem</t>
  </si>
  <si>
    <t>Dobava materijala popravak i preinaka postojeće  fiksne metalne ograde vanjskog stubišta iz čeličnih profila i cijevi</t>
  </si>
  <si>
    <t>Dobava materijala popravak i preinaka postojeće fiksne metalne ograde francuskih prozora iz čeličnih profila i cijevi</t>
  </si>
  <si>
    <t>Preinaka fiksne metalne ograde vanjskog stubišta. Zahvat se izvodi radi potrebe oslobađanja prostora za oblogu pročelja postavljanjem toplinske izolacije debljine 14 cm i radi popravka oštećene ograde, te prilagođavanja zahtjevima sigurnosti. Ograda je složena od okvira od metalnih profila pravokutnog presjeka dimenzija stranice cca 3x3cm. Preinaka se treba izraditi u radionici a sastoji se od sljedećih radnji:</t>
  </si>
  <si>
    <t>Svi bravarski radovi moraju se izvesti u skladu s važećim tehničkim propisima, HRN,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</si>
  <si>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 xml:space="preserve">Sve odredbe ovih posebnih uvjeta i općih uvjeta smatraju se sastavnim dijelom opisa svake pojedine stavke ovog troškovnika i vrijede za sve radove, osim ako ih opis stavke troškovnika ne isključuje. </t>
  </si>
  <si>
    <t>Prije izvođenja radova izvođač je u obvezi provjeriti sve mjere na licu mjesta, izraditi i dostaviti projektantu na ovjeru radioničke nacrte i detalje, te uzorke materijala. Dozvoljena je upotreba materijala i izrada bravarskih elemenata prema radioničkim nacrtima i detaljima prihvaćenim od strane projektanta.</t>
  </si>
  <si>
    <t>Za kontrolu kvalitete ugrađenih materijala i izvedenih radova primjenjuju se slijedeće norme i propisi:</t>
  </si>
  <si>
    <t>Pravilnik o tehničkim mjerama i uvjetima za zaštitu čeličnih konstrukcija od korozije</t>
  </si>
  <si>
    <t>HRN C.</t>
  </si>
  <si>
    <t>B4.111</t>
  </si>
  <si>
    <t>B4.112</t>
  </si>
  <si>
    <t>rebrasti Alu limovi</t>
  </si>
  <si>
    <t>C4.060</t>
  </si>
  <si>
    <t>Alu profili</t>
  </si>
  <si>
    <t>C3.020</t>
  </si>
  <si>
    <t>zvučna izolacija</t>
  </si>
  <si>
    <t>HRN U.</t>
  </si>
  <si>
    <t>J6.201-89</t>
  </si>
  <si>
    <t>Svi termički zahtjevi na fasadnim elementima moraju biti ispunjeni tako da zadovoljavaju traženu toplinsku izolaciju u skladu s važećim normama i projektom.</t>
  </si>
  <si>
    <t>Donjih 40 cm visine vratnih krila, ako se drugačije posebno ne navodi, izvodi se kao puni termoizolirani panel, osim ako stavkom troškovnika nije drugačije određeno.</t>
  </si>
  <si>
    <t>Pri izvođenja radova izvoditelj treba kvalitetu ugrađenih materijala i stručnost radnika dokazati certifikatima i atestnom dokumentacijom izdanim od strane ovlaštene institucije. Za materijale za koje izvoditelj nema certifikat a isti se traži treba izvoditelj osigurati uzorke i dati ih na ispitivanje. Sve troškove za dobivanje certifikata predstavljaju obvezu i trošak izvoditelja.</t>
  </si>
  <si>
    <t>Svi dijelovi bravarije prije otpreme na gradilište moraju biti ličeni olovnim minijem, očišćeni od hrđe, a očišćena mjesta ličena antikorozjskim naličem u dva premaza uz kitanje pukotina i rupica odgovarajućim kitom, a sve kompletno pripremljeno za završnu obradu prema opisu iz troškovnika.</t>
  </si>
  <si>
    <t xml:space="preserve">Ostakljenje se mora u svemu izvesti po opisu iz stavke troškovnika. Staklom koje se ugrađuje i brtvljenjem mora se postići tražena zvučna izolacija. </t>
  </si>
  <si>
    <t>Vrata i prozore treba opremiti kvalitetnim i trajnim brtvenim trakama i profilima. Isti moraju biti elastični, trajni i otporni na vanjske utjecaje, postojani na temperaturne promjene i zračenje. Kitovi koji se ugrađuju moraju biti trajno elastični, osobina kao gore navedeno.</t>
  </si>
  <si>
    <t>Fuge između zida/stropa/poda i stolarije ispuniti poliuretanskom pjenom, izvana kitati trajno elastičnim kitom a iznutra pokriti kutnim letvicama. Spajanje pojedinih elemenata u veće cjeline brtviti i vršiti po uputi proizvođača, a bez posebne naknade.</t>
  </si>
  <si>
    <t>Bravarija se izvodi iz čeličnih profila od pocinčanog lima (hladno kontinuirano profilirana čelična traka d=1 mm) kvadratnog ili pravokutnog presjeka. Spajanje profila vrši se zavarivanjem, svi varovi moraju biti fino završno obrađeni. Dimenzije šprljaka su pretpostavljene, a stvarne ovise o proizvođačkom detalju. Kutne spojeve izvesti hidrauličkim uprešavanjem, a mjesta naročito osjetljiva na popuštanje brtviti dodatno.</t>
  </si>
  <si>
    <t>Slijepe dovratnike / doprozornike izraditi od šupljih kvadratnih čeličnih profila, a montažu izvesti varenjem na već ugrađene sidrene pločice od plosnog željeza, dužine cca 10 cm, oblika prema detalju. Ugradnja sidrenih pločica vrši se istovremeno s betoniranjem. Sidrene pločice sastavni su dio bravarije i uključene su u jediničnu cijenu iste.</t>
  </si>
  <si>
    <t>Svi vijci i spojna sredstva i okov moraju obvezno biti od nehrđajućeg materijala, izvedeno u antikorozijskoj izvedbi.</t>
  </si>
  <si>
    <t>Obračun izvedenih radova izvršiti će se prema jedinici mjere definirane za svaku pojedinu stavku troškovnika i prema postojećim građevinskim normama.</t>
  </si>
  <si>
    <t>BRAVARSKI RADOVI:</t>
  </si>
  <si>
    <r>
      <t>Sav okov mora biti skriven osim ako opisom stavke troškovnika nije drugačije određeno. Sav vidljivi okov odabire projektant nakon predočenja uzoraka. Sav okov mora biti odabran u dogovoru s projektantom.. Dijelove okova od čelika izvesti s presvlakom od cinka vrućim pocinčavanjem 60 g/m</t>
    </r>
    <r>
      <rPr>
        <vertAlign val="superscript"/>
        <sz val="9"/>
        <rFont val="Calibri"/>
        <family val="2"/>
        <charset val="238"/>
        <scheme val="minor"/>
      </rPr>
      <t>2</t>
    </r>
    <r>
      <rPr>
        <sz val="9"/>
        <rFont val="Calibri"/>
        <family val="2"/>
        <charset val="238"/>
        <scheme val="minor"/>
      </rPr>
      <t>, a  ankeri presvlakom od cinka vrućim pocinčavanjem 180 g/m</t>
    </r>
    <r>
      <rPr>
        <vertAlign val="superscript"/>
        <sz val="9"/>
        <rFont val="Calibri"/>
        <family val="2"/>
        <charset val="238"/>
        <scheme val="minor"/>
      </rPr>
      <t>2</t>
    </r>
    <r>
      <rPr>
        <sz val="9"/>
        <rFont val="Calibri"/>
        <family val="2"/>
        <charset val="238"/>
        <scheme val="minor"/>
      </rPr>
      <t>.</t>
    </r>
  </si>
  <si>
    <t>kvadratno željezo HRN C.B3.024 ili jednakovrijedno</t>
  </si>
  <si>
    <t>plosno željezo HRN C.B3.025 ili jednakovrijedno</t>
  </si>
  <si>
    <t>okruglo željezo HRN C.K6.020 ili jednakovrijedno</t>
  </si>
  <si>
    <t>profilno željezo HRN C.B0.500 ili jednakovrijedno</t>
  </si>
  <si>
    <t>čelični limovi HRN C. B4.110 ili jednakovrijedno</t>
  </si>
  <si>
    <t>(stambenih i poslovnih prostorija)</t>
  </si>
  <si>
    <t>Ivan Čolić, mag. ing. aedif. 
Andrea Banić, mag. Ing. aedif.</t>
  </si>
  <si>
    <r>
      <t>Dobava i ugradnja stalaka za bicikle od pocinčanih čeličnih cijevi, dim 60x5x70 cm u biciklarnike u razizemlju zgrade. Debljina stjenke cijevi min. 2mm. 
Izvesti prema shemi bravarije</t>
    </r>
    <r>
      <rPr>
        <b/>
        <sz val="9"/>
        <rFont val="Calibri"/>
        <family val="2"/>
        <charset val="238"/>
      </rPr>
      <t xml:space="preserve"> B1</t>
    </r>
    <r>
      <rPr>
        <sz val="9"/>
        <rFont val="Calibri"/>
        <family val="2"/>
      </rPr>
      <t>.</t>
    </r>
  </si>
  <si>
    <t>Popravak oštećenih dijelova postojećih metalnih ograda lak bojom za metal u sivom tonu, s potrebnim predradnjama (skidanje stare boje, čišćenje od rđe, premaz temeljnom bojom) i čišćenje nakon obavljenih radova, sav potreban rad i materijal. Uključuje bojanje u minimalno 2 sloja. Ograda je složena od okvira od metalnih profila pravokutnog presjeka dimenzija stranice cca 2x1cm i ispune od  okomitih cijevi kružnog presjeka promjera cca 1 cm.</t>
  </si>
  <si>
    <t xml:space="preserve">Popravak oštećenih dijelova postojećih metalnih ograda lak bojom za metal u sivom tonu, s potrebnim predradnjama (skidanje stare boje, čišćenje od rđe, premaz temeljnom bojom) i čišćenje nakon obavljenih radova, sav potreban rad i materijal. Uključuje bojanje u minimalno 2 sloja. Ograda je složena od metalnih profila pravokutnog presjeka dimenzija stranice cca 2x2cm.
</t>
  </si>
  <si>
    <t>Popravak i ličenje svih metalnih površina (uključujući metalne dijelove svjetlarnika, kape dimnjaka i ventilacija)raznih nosača i elemenata instalacija koji se nalaze na krovu lak bojom za metal u sivom tonu, s potrebnim predradnjama (skidanje stare boje, čišćenje od rđe, premaz temeljnom bojom) i čišćenje nakon obavljenih radova, sav potreban rad i materijal. Uključuje bojanje u minimalno 2 sloja.</t>
  </si>
  <si>
    <t>ostakljenje: trostruko IZO staklo 4/16Ar/4/16Ar/c4, ispuna argonom, s jednim staklom niske emisije, s	 proračunskim dokazom koef. prolaska topline Ug ≤ 0,70 W/m2K, faktor gꞱ&gt; 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</si>
</sst>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kn&quot;_-;\-* #,##0.00\ &quot;kn&quot;_-;_-* &quot;-&quot;??\ &quot;kn&quot;_-;_-@_-"/>
    <numFmt numFmtId="164" formatCode="_-* #,##0.00\ _k_n_-;\-* #,##0.00\ _k_n_-;_-* &quot;-&quot;??\ _k_n_-;_-@_-"/>
    <numFmt numFmtId="165" formatCode="0.0"/>
    <numFmt numFmtId="166" formatCode="#,##0.0"/>
  </numFmts>
  <fonts count="139">
    <font>
      <sz val="11"/>
      <color theme="1"/>
      <name val="Calibri"/>
      <family val="2"/>
      <charset val="238"/>
      <scheme val="minor"/>
    </font>
    <font>
      <sz val="11"/>
      <color indexed="8"/>
      <name val="Calibri"/>
      <family val="2"/>
      <charset val="238"/>
    </font>
    <font>
      <b/>
      <sz val="9"/>
      <name val="Arial CE"/>
      <charset val="238"/>
    </font>
    <font>
      <sz val="9"/>
      <name val="Arial CE"/>
      <charset val="238"/>
    </font>
    <font>
      <sz val="9"/>
      <name val="Arial"/>
      <family val="2"/>
      <charset val="238"/>
    </font>
    <font>
      <b/>
      <sz val="9"/>
      <name val="Arial"/>
      <family val="2"/>
      <charset val="238"/>
    </font>
    <font>
      <i/>
      <sz val="9"/>
      <name val="Arial"/>
      <family val="2"/>
      <charset val="238"/>
    </font>
    <font>
      <sz val="10"/>
      <name val="Arial CE"/>
      <charset val="238"/>
    </font>
    <font>
      <b/>
      <sz val="10"/>
      <name val="Arial CE"/>
      <charset val="238"/>
    </font>
    <font>
      <b/>
      <sz val="10"/>
      <name val="Arial CE"/>
      <family val="2"/>
      <charset val="238"/>
    </font>
    <font>
      <sz val="12"/>
      <name val="Arial CE"/>
      <family val="2"/>
      <charset val="238"/>
    </font>
    <font>
      <sz val="11"/>
      <name val="Arial CE"/>
      <family val="2"/>
      <charset val="238"/>
    </font>
    <font>
      <b/>
      <sz val="11"/>
      <name val="Arial CE"/>
      <charset val="238"/>
    </font>
    <font>
      <sz val="10"/>
      <name val="Arial CE"/>
      <family val="2"/>
      <charset val="238"/>
    </font>
    <font>
      <sz val="9"/>
      <color indexed="8"/>
      <name val="Arial"/>
      <family val="2"/>
      <charset val="238"/>
    </font>
    <font>
      <sz val="10"/>
      <name val="Arial"/>
      <family val="2"/>
      <charset val="238"/>
    </font>
    <font>
      <b/>
      <sz val="12"/>
      <name val="Arial CE"/>
      <charset val="238"/>
    </font>
    <font>
      <b/>
      <sz val="11"/>
      <color indexed="8"/>
      <name val="Calibri"/>
      <family val="2"/>
      <charset val="238"/>
    </font>
    <font>
      <sz val="11"/>
      <color indexed="10"/>
      <name val="Calibri"/>
      <family val="2"/>
      <charset val="238"/>
    </font>
    <font>
      <sz val="11"/>
      <color indexed="8"/>
      <name val="Arial"/>
      <family val="2"/>
      <charset val="238"/>
    </font>
    <font>
      <sz val="9"/>
      <color indexed="8"/>
      <name val="Arial"/>
      <family val="2"/>
      <charset val="238"/>
    </font>
    <font>
      <b/>
      <sz val="9"/>
      <color indexed="8"/>
      <name val="Arial"/>
      <family val="2"/>
      <charset val="238"/>
    </font>
    <font>
      <b/>
      <sz val="10"/>
      <color indexed="10"/>
      <name val="Arial"/>
      <family val="2"/>
      <charset val="238"/>
    </font>
    <font>
      <b/>
      <sz val="12"/>
      <color indexed="8"/>
      <name val="Arial"/>
      <family val="2"/>
      <charset val="238"/>
    </font>
    <font>
      <sz val="10"/>
      <color indexed="10"/>
      <name val="Arial CE"/>
      <charset val="238"/>
    </font>
    <font>
      <b/>
      <sz val="10"/>
      <color indexed="10"/>
      <name val="Arial CE"/>
      <charset val="238"/>
    </font>
    <font>
      <sz val="10"/>
      <color indexed="10"/>
      <name val="Arial"/>
      <family val="2"/>
      <charset val="238"/>
    </font>
    <font>
      <b/>
      <sz val="12"/>
      <color indexed="10"/>
      <name val="Arial"/>
      <family val="2"/>
      <charset val="238"/>
    </font>
    <font>
      <sz val="8"/>
      <name val="Calibri"/>
      <family val="2"/>
      <charset val="238"/>
    </font>
    <font>
      <b/>
      <sz val="10"/>
      <color indexed="8"/>
      <name val="Arial Narrow"/>
      <family val="2"/>
      <charset val="238"/>
    </font>
    <font>
      <sz val="11"/>
      <color indexed="10"/>
      <name val="Calibri"/>
      <family val="2"/>
      <charset val="238"/>
    </font>
    <font>
      <sz val="11"/>
      <color indexed="10"/>
      <name val="Arial"/>
      <family val="2"/>
      <charset val="238"/>
    </font>
    <font>
      <sz val="11"/>
      <name val="Calibri"/>
      <family val="2"/>
      <charset val="238"/>
    </font>
    <font>
      <i/>
      <sz val="11"/>
      <color indexed="8"/>
      <name val="Calibri"/>
      <family val="2"/>
      <charset val="238"/>
    </font>
    <font>
      <sz val="10"/>
      <color indexed="8"/>
      <name val="Calibri"/>
      <family val="2"/>
      <charset val="238"/>
    </font>
    <font>
      <sz val="10"/>
      <name val="Calibri"/>
      <family val="2"/>
      <charset val="238"/>
    </font>
    <font>
      <b/>
      <sz val="12"/>
      <color indexed="8"/>
      <name val="Calibri"/>
      <family val="2"/>
      <charset val="238"/>
    </font>
    <font>
      <b/>
      <sz val="10"/>
      <color indexed="63"/>
      <name val="Calibri"/>
      <family val="2"/>
      <charset val="238"/>
    </font>
    <font>
      <b/>
      <sz val="10"/>
      <name val="Calibri"/>
      <family val="2"/>
      <charset val="238"/>
    </font>
    <font>
      <b/>
      <sz val="12"/>
      <name val="Calibri"/>
      <family val="2"/>
      <charset val="238"/>
    </font>
    <font>
      <b/>
      <sz val="11"/>
      <name val="Calibri"/>
      <family val="2"/>
      <charset val="238"/>
    </font>
    <font>
      <b/>
      <sz val="10"/>
      <color indexed="8"/>
      <name val="Calibri"/>
      <family val="2"/>
      <charset val="238"/>
    </font>
    <font>
      <b/>
      <sz val="10"/>
      <color indexed="10"/>
      <name val="Calibri"/>
      <family val="2"/>
      <charset val="238"/>
    </font>
    <font>
      <b/>
      <sz val="14"/>
      <color indexed="8"/>
      <name val="Calibri"/>
      <family val="2"/>
      <charset val="238"/>
    </font>
    <font>
      <b/>
      <sz val="14"/>
      <name val="Calibri"/>
      <family val="2"/>
      <charset val="238"/>
    </font>
    <font>
      <sz val="12"/>
      <name val="Calibri"/>
      <family val="2"/>
      <charset val="238"/>
    </font>
    <font>
      <b/>
      <sz val="9"/>
      <color indexed="8"/>
      <name val="Calibri"/>
      <family val="2"/>
      <charset val="238"/>
    </font>
    <font>
      <sz val="14"/>
      <color indexed="8"/>
      <name val="Calibri"/>
      <family val="2"/>
      <charset val="238"/>
    </font>
    <font>
      <b/>
      <sz val="9"/>
      <name val="Calibri"/>
      <family val="2"/>
      <charset val="238"/>
    </font>
    <font>
      <sz val="9"/>
      <name val="Calibri"/>
      <family val="2"/>
      <charset val="238"/>
    </font>
    <font>
      <sz val="9"/>
      <color indexed="10"/>
      <name val="Calibri"/>
      <family val="2"/>
      <charset val="238"/>
    </font>
    <font>
      <sz val="9"/>
      <color indexed="8"/>
      <name val="Calibri"/>
      <family val="2"/>
      <charset val="238"/>
    </font>
    <font>
      <i/>
      <sz val="9"/>
      <name val="Calibri"/>
      <family val="2"/>
      <charset val="238"/>
    </font>
    <font>
      <i/>
      <sz val="10"/>
      <name val="Calibri"/>
      <family val="2"/>
      <charset val="238"/>
    </font>
    <font>
      <sz val="11"/>
      <color indexed="8"/>
      <name val="Calibri"/>
      <family val="2"/>
      <charset val="238"/>
    </font>
    <font>
      <b/>
      <sz val="9"/>
      <name val="Calibri"/>
      <family val="2"/>
    </font>
    <font>
      <sz val="11"/>
      <name val="Arial"/>
      <family val="2"/>
      <charset val="238"/>
    </font>
    <font>
      <sz val="9"/>
      <name val="GreekC"/>
      <charset val="238"/>
    </font>
    <font>
      <b/>
      <sz val="16"/>
      <name val="Calibri"/>
      <family val="2"/>
      <charset val="238"/>
    </font>
    <font>
      <vertAlign val="superscript"/>
      <sz val="9"/>
      <name val="Calibri"/>
      <family val="2"/>
      <charset val="238"/>
    </font>
    <font>
      <sz val="10"/>
      <color indexed="8"/>
      <name val="Arial"/>
      <family val="2"/>
      <charset val="238"/>
    </font>
    <font>
      <sz val="10"/>
      <name val="Helv"/>
    </font>
    <font>
      <sz val="9"/>
      <name val="Consolas"/>
      <family val="3"/>
      <charset val="238"/>
    </font>
    <font>
      <b/>
      <i/>
      <sz val="9"/>
      <name val="Calibri"/>
      <family val="2"/>
      <charset val="238"/>
    </font>
    <font>
      <i/>
      <sz val="11"/>
      <name val="Calibri"/>
      <family val="2"/>
      <charset val="238"/>
    </font>
    <font>
      <b/>
      <sz val="8"/>
      <name val="Arial Narrow"/>
      <family val="2"/>
      <charset val="238"/>
    </font>
    <font>
      <sz val="9"/>
      <name val="Calibri"/>
      <family val="2"/>
    </font>
    <font>
      <sz val="9"/>
      <color indexed="10"/>
      <name val="Arial"/>
      <family val="2"/>
      <charset val="238"/>
    </font>
    <font>
      <b/>
      <sz val="10"/>
      <name val="Calibri"/>
      <family val="2"/>
    </font>
    <font>
      <b/>
      <sz val="10"/>
      <name val="Arial Narrow"/>
      <family val="2"/>
      <charset val="238"/>
    </font>
    <font>
      <sz val="9"/>
      <name val="Arial CE"/>
      <family val="2"/>
      <charset val="238"/>
    </font>
    <font>
      <b/>
      <sz val="9"/>
      <color indexed="8"/>
      <name val="Calibri"/>
      <family val="2"/>
    </font>
    <font>
      <b/>
      <sz val="9"/>
      <color indexed="10"/>
      <name val="Calibri"/>
      <family val="2"/>
      <charset val="238"/>
    </font>
    <font>
      <u/>
      <sz val="11"/>
      <color theme="10"/>
      <name val="Calibri"/>
      <family val="2"/>
      <charset val="238"/>
    </font>
    <font>
      <b/>
      <sz val="11"/>
      <color theme="1"/>
      <name val="Calibri"/>
      <family val="2"/>
      <charset val="238"/>
      <scheme val="minor"/>
    </font>
    <font>
      <sz val="10"/>
      <color theme="1"/>
      <name val="Calibri"/>
      <family val="2"/>
      <charset val="238"/>
      <scheme val="minor"/>
    </font>
    <font>
      <sz val="11"/>
      <name val="Calibri"/>
      <family val="2"/>
      <charset val="238"/>
      <scheme val="minor"/>
    </font>
    <font>
      <sz val="9"/>
      <name val="Calibri"/>
      <family val="2"/>
      <scheme val="minor"/>
    </font>
    <font>
      <sz val="9"/>
      <name val="Calibri"/>
      <family val="2"/>
      <charset val="238"/>
      <scheme val="minor"/>
    </font>
    <font>
      <b/>
      <sz val="9"/>
      <name val="Calibri"/>
      <family val="2"/>
      <charset val="238"/>
      <scheme val="minor"/>
    </font>
    <font>
      <i/>
      <sz val="9"/>
      <name val="Calibri"/>
      <family val="2"/>
      <charset val="238"/>
      <scheme val="minor"/>
    </font>
    <font>
      <sz val="9"/>
      <color rgb="FFFF0000"/>
      <name val="Calibri"/>
      <family val="2"/>
      <charset val="238"/>
    </font>
    <font>
      <sz val="9"/>
      <color rgb="FF00B050"/>
      <name val="Calibri"/>
      <family val="2"/>
      <charset val="238"/>
    </font>
    <font>
      <b/>
      <sz val="11"/>
      <color theme="1"/>
      <name val="Calibri"/>
      <family val="2"/>
      <charset val="238"/>
    </font>
    <font>
      <sz val="11"/>
      <color theme="1"/>
      <name val="Calibri"/>
      <family val="2"/>
      <charset val="238"/>
    </font>
    <font>
      <sz val="11"/>
      <color rgb="FFFF0000"/>
      <name val="Arial"/>
      <family val="2"/>
      <charset val="238"/>
    </font>
    <font>
      <sz val="10"/>
      <color rgb="FF0000FF"/>
      <name val="Arial"/>
      <family val="2"/>
      <charset val="238"/>
    </font>
    <font>
      <sz val="10"/>
      <color rgb="FFFF0000"/>
      <name val="Arial"/>
      <family val="2"/>
      <charset val="238"/>
    </font>
    <font>
      <sz val="9"/>
      <color theme="0" tint="-0.499984740745262"/>
      <name val="Calibri"/>
      <family val="2"/>
      <charset val="238"/>
    </font>
    <font>
      <b/>
      <sz val="9"/>
      <color theme="0" tint="-0.499984740745262"/>
      <name val="Calibri"/>
      <family val="2"/>
      <charset val="238"/>
    </font>
    <font>
      <sz val="11"/>
      <color theme="0" tint="-0.499984740745262"/>
      <name val="Arial"/>
      <family val="2"/>
      <charset val="238"/>
    </font>
    <font>
      <b/>
      <sz val="9"/>
      <color theme="1"/>
      <name val="Calibri"/>
      <family val="2"/>
      <charset val="238"/>
      <scheme val="minor"/>
    </font>
    <font>
      <sz val="9"/>
      <color rgb="FFFF0000"/>
      <name val="Arial"/>
      <family val="2"/>
      <charset val="238"/>
    </font>
    <font>
      <sz val="9"/>
      <color rgb="FF0070C0"/>
      <name val="Calibri"/>
      <family val="2"/>
      <charset val="238"/>
    </font>
    <font>
      <sz val="9"/>
      <color rgb="FFFF0000"/>
      <name val="Calibri"/>
      <family val="2"/>
    </font>
    <font>
      <b/>
      <sz val="9"/>
      <color rgb="FFFF0000"/>
      <name val="Calibri"/>
      <family val="2"/>
    </font>
    <font>
      <sz val="9"/>
      <color rgb="FF000000"/>
      <name val="Calibri"/>
      <family val="2"/>
      <charset val="238"/>
      <scheme val="minor"/>
    </font>
    <font>
      <sz val="8"/>
      <name val="Calibri"/>
      <family val="2"/>
      <charset val="238"/>
      <scheme val="minor"/>
    </font>
    <font>
      <b/>
      <sz val="11"/>
      <name val="Calibri"/>
      <family val="2"/>
      <charset val="238"/>
      <scheme val="minor"/>
    </font>
    <font>
      <b/>
      <sz val="14"/>
      <color rgb="FFFF0000"/>
      <name val="Calibri"/>
      <family val="2"/>
      <charset val="238"/>
    </font>
    <font>
      <b/>
      <sz val="14"/>
      <name val="Calibri"/>
      <family val="2"/>
    </font>
    <font>
      <i/>
      <sz val="9"/>
      <color rgb="FFFF0000"/>
      <name val="Calibri"/>
      <family val="2"/>
      <charset val="238"/>
    </font>
    <font>
      <sz val="9"/>
      <color rgb="FFFF0000"/>
      <name val="Calibri"/>
      <family val="2"/>
      <charset val="238"/>
      <scheme val="minor"/>
    </font>
    <font>
      <b/>
      <sz val="9"/>
      <color rgb="FFFF0000"/>
      <name val="Calibri"/>
      <family val="2"/>
      <charset val="238"/>
    </font>
    <font>
      <sz val="9"/>
      <color theme="5"/>
      <name val="Arial"/>
      <family val="2"/>
      <charset val="238"/>
    </font>
    <font>
      <sz val="9"/>
      <color theme="5"/>
      <name val="Calibri"/>
      <family val="2"/>
      <charset val="238"/>
    </font>
    <font>
      <i/>
      <sz val="9"/>
      <color theme="5"/>
      <name val="Calibri"/>
      <family val="2"/>
      <charset val="238"/>
    </font>
    <font>
      <sz val="9"/>
      <color theme="5"/>
      <name val="Calibri"/>
      <family val="2"/>
      <charset val="238"/>
      <scheme val="minor"/>
    </font>
    <font>
      <sz val="9"/>
      <color rgb="FF92D050"/>
      <name val="Calibri"/>
      <family val="2"/>
      <charset val="238"/>
    </font>
    <font>
      <sz val="11"/>
      <color rgb="FFFF0000"/>
      <name val="Arial"/>
      <family val="2"/>
    </font>
    <font>
      <sz val="9"/>
      <color indexed="8"/>
      <name val="Calibri"/>
      <family val="2"/>
      <scheme val="minor"/>
    </font>
    <font>
      <sz val="10"/>
      <color indexed="8"/>
      <name val="Calibri"/>
      <family val="2"/>
      <scheme val="minor"/>
    </font>
    <font>
      <b/>
      <sz val="9"/>
      <name val="Calibri"/>
      <family val="2"/>
      <scheme val="minor"/>
    </font>
    <font>
      <b/>
      <sz val="9"/>
      <color indexed="8"/>
      <name val="Calibri"/>
      <family val="2"/>
      <scheme val="minor"/>
    </font>
    <font>
      <sz val="9"/>
      <color indexed="30"/>
      <name val="Calibri"/>
      <family val="2"/>
      <charset val="238"/>
    </font>
    <font>
      <b/>
      <sz val="9"/>
      <color indexed="30"/>
      <name val="Calibri"/>
      <family val="2"/>
      <charset val="238"/>
    </font>
    <font>
      <i/>
      <sz val="9"/>
      <color indexed="30"/>
      <name val="Calibri"/>
      <family val="2"/>
      <charset val="238"/>
    </font>
    <font>
      <sz val="9"/>
      <color theme="1"/>
      <name val="Calibri"/>
      <family val="2"/>
      <charset val="238"/>
    </font>
    <font>
      <sz val="10"/>
      <name val="Arial Narrow"/>
      <family val="2"/>
      <charset val="238"/>
    </font>
    <font>
      <sz val="9"/>
      <color theme="3" tint="0.39997558519241921"/>
      <name val="Calibri"/>
      <family val="2"/>
      <charset val="238"/>
    </font>
    <font>
      <sz val="11"/>
      <color theme="1"/>
      <name val="Calibri"/>
      <family val="2"/>
      <charset val="238"/>
      <scheme val="minor"/>
    </font>
    <font>
      <b/>
      <sz val="9"/>
      <color theme="1"/>
      <name val="Calibri"/>
      <family val="2"/>
    </font>
    <font>
      <sz val="9"/>
      <color theme="1"/>
      <name val="Calibri"/>
      <family val="2"/>
    </font>
    <font>
      <b/>
      <sz val="10"/>
      <name val="Calibri"/>
      <family val="2"/>
      <charset val="238"/>
      <scheme val="minor"/>
    </font>
    <font>
      <sz val="10"/>
      <name val="Calibri"/>
      <family val="2"/>
      <charset val="238"/>
      <scheme val="minor"/>
    </font>
    <font>
      <vertAlign val="superscript"/>
      <sz val="9"/>
      <name val="Calibri"/>
      <family val="2"/>
      <scheme val="minor"/>
    </font>
    <font>
      <sz val="9"/>
      <name val="GreekC"/>
    </font>
    <font>
      <sz val="9"/>
      <color rgb="FFFF0000"/>
      <name val="Calibri"/>
      <family val="2"/>
      <scheme val="minor"/>
    </font>
    <font>
      <i/>
      <sz val="9"/>
      <name val="Calibri"/>
      <family val="2"/>
      <scheme val="minor"/>
    </font>
    <font>
      <sz val="11"/>
      <color theme="1"/>
      <name val="Calibri"/>
      <family val="2"/>
      <scheme val="minor"/>
    </font>
    <font>
      <sz val="10"/>
      <name val="Arial"/>
      <family val="2"/>
    </font>
    <font>
      <sz val="10"/>
      <name val="HRHelvetica"/>
    </font>
    <font>
      <sz val="9"/>
      <color indexed="14"/>
      <name val="Calibri"/>
      <family val="2"/>
      <charset val="238"/>
    </font>
    <font>
      <vertAlign val="superscript"/>
      <sz val="9"/>
      <color indexed="8"/>
      <name val="Calibri"/>
      <family val="2"/>
      <charset val="238"/>
    </font>
    <font>
      <sz val="11"/>
      <color rgb="FFFF0000"/>
      <name val="Calibri"/>
      <family val="2"/>
      <charset val="238"/>
    </font>
    <font>
      <vertAlign val="superscript"/>
      <sz val="9"/>
      <name val="Calibri"/>
      <family val="2"/>
    </font>
    <font>
      <vertAlign val="superscript"/>
      <sz val="11"/>
      <color indexed="8"/>
      <name val="Calibri"/>
      <family val="2"/>
      <charset val="238"/>
    </font>
    <font>
      <sz val="9"/>
      <color rgb="FF000000"/>
      <name val="Calibri"/>
      <family val="2"/>
      <charset val="238"/>
    </font>
    <font>
      <vertAlign val="superscript"/>
      <sz val="9"/>
      <name val="Calibri"/>
      <family val="2"/>
      <charset val="238"/>
      <scheme val="minor"/>
    </font>
  </fonts>
  <fills count="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92D050"/>
        <bgColor indexed="64"/>
      </patternFill>
    </fill>
  </fills>
  <borders count="19">
    <border>
      <left/>
      <right/>
      <top/>
      <bottom/>
      <diagonal/>
    </border>
    <border>
      <left/>
      <right/>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hair">
        <color indexed="8"/>
      </bottom>
      <diagonal/>
    </border>
    <border>
      <left/>
      <right/>
      <top style="hair">
        <color indexed="8"/>
      </top>
      <bottom/>
      <diagonal/>
    </border>
    <border>
      <left/>
      <right/>
      <top/>
      <bottom style="hair">
        <color indexed="64"/>
      </bottom>
      <diagonal/>
    </border>
    <border>
      <left/>
      <right/>
      <top style="medium">
        <color indexed="64"/>
      </top>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0">
    <xf numFmtId="0" fontId="0" fillId="0" borderId="0"/>
    <xf numFmtId="164" fontId="54" fillId="0" borderId="0" applyFont="0" applyFill="0" applyBorder="0" applyAlignment="0" applyProtection="0"/>
    <xf numFmtId="16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0" fontId="73" fillId="0" borderId="0" applyNumberFormat="0" applyFill="0" applyBorder="0" applyAlignment="0" applyProtection="0">
      <alignment vertical="top"/>
      <protection locked="0"/>
    </xf>
    <xf numFmtId="0" fontId="70" fillId="0" borderId="0">
      <alignment horizontal="left" vertical="top"/>
    </xf>
    <xf numFmtId="0" fontId="70" fillId="0" borderId="0">
      <alignment horizontal="left" vertical="top"/>
    </xf>
    <xf numFmtId="0" fontId="15" fillId="0" borderId="0"/>
    <xf numFmtId="0" fontId="15" fillId="0" borderId="0"/>
    <xf numFmtId="0" fontId="60" fillId="0" borderId="0"/>
    <xf numFmtId="0" fontId="15" fillId="0" borderId="0"/>
    <xf numFmtId="0" fontId="1" fillId="0" borderId="0"/>
    <xf numFmtId="0" fontId="15" fillId="0" borderId="0"/>
    <xf numFmtId="0" fontId="1" fillId="0" borderId="0"/>
    <xf numFmtId="0" fontId="61" fillId="0" borderId="0"/>
    <xf numFmtId="164" fontId="1"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0" fontId="15" fillId="0" borderId="0"/>
    <xf numFmtId="0" fontId="15" fillId="0" borderId="0"/>
    <xf numFmtId="0" fontId="129" fillId="0" borderId="0"/>
    <xf numFmtId="0" fontId="130" fillId="0" borderId="0"/>
    <xf numFmtId="0" fontId="130" fillId="0" borderId="0"/>
    <xf numFmtId="0" fontId="120" fillId="0" borderId="0"/>
    <xf numFmtId="0" fontId="130" fillId="0" borderId="0"/>
    <xf numFmtId="0" fontId="15" fillId="0" borderId="0"/>
    <xf numFmtId="0" fontId="15" fillId="0" borderId="0"/>
    <xf numFmtId="0" fontId="131" fillId="0" borderId="0"/>
    <xf numFmtId="0" fontId="61" fillId="0" borderId="0"/>
    <xf numFmtId="164" fontId="1" fillId="0" borderId="0" applyFont="0" applyFill="0" applyBorder="0" applyAlignment="0" applyProtection="0"/>
    <xf numFmtId="164" fontId="1" fillId="0" borderId="0" applyFont="0" applyFill="0" applyBorder="0" applyAlignment="0" applyProtection="0"/>
  </cellStyleXfs>
  <cellXfs count="676">
    <xf numFmtId="0" fontId="0" fillId="0" borderId="0" xfId="0"/>
    <xf numFmtId="0" fontId="19" fillId="0" borderId="0" xfId="0" applyFont="1"/>
    <xf numFmtId="2" fontId="7" fillId="0" borderId="0" xfId="0" applyNumberFormat="1" applyFont="1" applyAlignment="1">
      <alignment horizontal="left" vertical="top"/>
    </xf>
    <xf numFmtId="4" fontId="7" fillId="0" borderId="0" xfId="0" applyNumberFormat="1" applyFont="1" applyAlignment="1">
      <alignment horizontal="right" vertical="top"/>
    </xf>
    <xf numFmtId="2" fontId="8" fillId="0" borderId="0" xfId="0" applyNumberFormat="1" applyFont="1" applyAlignment="1">
      <alignment horizontal="left"/>
    </xf>
    <xf numFmtId="2" fontId="8" fillId="0" borderId="0" xfId="0" applyNumberFormat="1" applyFont="1" applyAlignment="1">
      <alignment horizontal="left" vertical="top"/>
    </xf>
    <xf numFmtId="49" fontId="7" fillId="0" borderId="0" xfId="0" applyNumberFormat="1" applyFont="1" applyAlignment="1">
      <alignment horizontal="left" vertical="top"/>
    </xf>
    <xf numFmtId="2" fontId="8" fillId="0" borderId="0" xfId="0" applyNumberFormat="1" applyFont="1" applyAlignment="1">
      <alignment horizontal="right"/>
    </xf>
    <xf numFmtId="2" fontId="7" fillId="0" borderId="0" xfId="0" applyNumberFormat="1" applyFont="1" applyAlignment="1">
      <alignment horizontal="left"/>
    </xf>
    <xf numFmtId="2" fontId="10" fillId="0" borderId="0" xfId="0" applyNumberFormat="1" applyFont="1" applyAlignment="1">
      <alignment horizontal="left" vertical="top"/>
    </xf>
    <xf numFmtId="4" fontId="10" fillId="0" borderId="0" xfId="0" applyNumberFormat="1" applyFont="1" applyAlignment="1">
      <alignment horizontal="right" vertical="top"/>
    </xf>
    <xf numFmtId="2" fontId="0" fillId="0" borderId="0" xfId="0" applyNumberFormat="1" applyAlignment="1">
      <alignment horizontal="left" vertical="top"/>
    </xf>
    <xf numFmtId="2" fontId="13" fillId="0" borderId="0" xfId="0" applyNumberFormat="1" applyFont="1" applyAlignment="1">
      <alignment horizontal="left" vertical="top"/>
    </xf>
    <xf numFmtId="2" fontId="11" fillId="0" borderId="0" xfId="0" applyNumberFormat="1" applyFont="1" applyAlignment="1">
      <alignment horizontal="right" vertical="top"/>
    </xf>
    <xf numFmtId="2" fontId="11" fillId="0" borderId="0" xfId="0" applyNumberFormat="1" applyFont="1" applyAlignment="1">
      <alignment horizontal="left" vertical="top"/>
    </xf>
    <xf numFmtId="4" fontId="2" fillId="0" borderId="0" xfId="0" applyNumberFormat="1" applyFont="1" applyAlignment="1">
      <alignment horizontal="right" vertical="top"/>
    </xf>
    <xf numFmtId="2" fontId="12" fillId="0" borderId="0" xfId="0" applyNumberFormat="1" applyFont="1" applyAlignment="1">
      <alignment horizontal="right" vertical="top"/>
    </xf>
    <xf numFmtId="2" fontId="9" fillId="0" borderId="0" xfId="0" applyNumberFormat="1" applyFont="1" applyAlignment="1">
      <alignment horizontal="left" vertical="top"/>
    </xf>
    <xf numFmtId="0" fontId="17" fillId="0" borderId="0" xfId="0" applyFont="1" applyAlignment="1">
      <alignment horizontal="center"/>
    </xf>
    <xf numFmtId="0" fontId="17" fillId="0" borderId="0" xfId="0" applyFont="1"/>
    <xf numFmtId="4" fontId="8" fillId="0" borderId="0" xfId="0" applyNumberFormat="1" applyFont="1" applyAlignment="1">
      <alignment horizontal="right" vertical="top"/>
    </xf>
    <xf numFmtId="2" fontId="16" fillId="0" borderId="0" xfId="0" applyNumberFormat="1" applyFont="1" applyAlignment="1">
      <alignment horizontal="left" vertical="top"/>
    </xf>
    <xf numFmtId="0" fontId="22" fillId="0" borderId="0" xfId="0" applyFont="1"/>
    <xf numFmtId="0" fontId="23" fillId="0" borderId="0" xfId="0" applyFont="1"/>
    <xf numFmtId="4" fontId="0" fillId="0" borderId="0" xfId="0" applyNumberFormat="1" applyAlignment="1">
      <alignment horizontal="right" vertical="top"/>
    </xf>
    <xf numFmtId="4" fontId="73" fillId="0" borderId="0" xfId="5" applyNumberFormat="1" applyAlignment="1" applyProtection="1"/>
    <xf numFmtId="4" fontId="73" fillId="0" borderId="0" xfId="5" applyNumberFormat="1" applyAlignment="1" applyProtection="1">
      <alignment horizontal="right" vertical="top"/>
    </xf>
    <xf numFmtId="4" fontId="21" fillId="0" borderId="0" xfId="0" applyNumberFormat="1" applyFont="1"/>
    <xf numFmtId="2" fontId="24" fillId="0" borderId="0" xfId="0" applyNumberFormat="1" applyFont="1" applyAlignment="1">
      <alignment horizontal="left"/>
    </xf>
    <xf numFmtId="2" fontId="25" fillId="0" borderId="0" xfId="0" applyNumberFormat="1" applyFont="1" applyAlignment="1">
      <alignment horizontal="left"/>
    </xf>
    <xf numFmtId="2" fontId="24" fillId="0" borderId="0" xfId="0" applyNumberFormat="1" applyFont="1" applyAlignment="1">
      <alignment horizontal="left" vertical="top"/>
    </xf>
    <xf numFmtId="4" fontId="24" fillId="0" borderId="0" xfId="0" applyNumberFormat="1" applyFont="1" applyAlignment="1">
      <alignment horizontal="right" vertical="top"/>
    </xf>
    <xf numFmtId="2" fontId="25" fillId="0" borderId="0" xfId="0" applyNumberFormat="1" applyFont="1" applyAlignment="1">
      <alignment horizontal="left" vertical="top"/>
    </xf>
    <xf numFmtId="0" fontId="18" fillId="0" borderId="0" xfId="0" applyFont="1"/>
    <xf numFmtId="0" fontId="22" fillId="0" borderId="0" xfId="0" applyFont="1" applyAlignment="1">
      <alignment horizontal="left"/>
    </xf>
    <xf numFmtId="4" fontId="24" fillId="0" borderId="0" xfId="0" applyNumberFormat="1" applyFont="1" applyAlignment="1">
      <alignment horizontal="left" vertical="top"/>
    </xf>
    <xf numFmtId="0" fontId="26" fillId="0" borderId="0" xfId="0" applyFont="1"/>
    <xf numFmtId="0" fontId="27" fillId="0" borderId="0" xfId="0" applyFont="1"/>
    <xf numFmtId="2" fontId="13" fillId="0" borderId="0" xfId="0" applyNumberFormat="1" applyFont="1" applyAlignment="1">
      <alignment horizontal="right" vertical="top"/>
    </xf>
    <xf numFmtId="4" fontId="5" fillId="0" borderId="0" xfId="0" applyNumberFormat="1" applyFont="1"/>
    <xf numFmtId="0" fontId="0" fillId="0" borderId="0" xfId="0" applyAlignment="1">
      <alignment horizontal="left" vertical="center"/>
    </xf>
    <xf numFmtId="0" fontId="0" fillId="0" borderId="0" xfId="0" applyAlignment="1">
      <alignment horizontal="center"/>
    </xf>
    <xf numFmtId="2" fontId="7" fillId="0" borderId="0" xfId="0" applyNumberFormat="1" applyFont="1" applyAlignment="1">
      <alignment horizontal="left" vertical="center"/>
    </xf>
    <xf numFmtId="4" fontId="7" fillId="0" borderId="0" xfId="0" applyNumberFormat="1" applyFont="1" applyAlignment="1">
      <alignment horizontal="left" vertical="center"/>
    </xf>
    <xf numFmtId="0" fontId="32" fillId="0" borderId="0" xfId="0" applyFont="1" applyAlignment="1">
      <alignment vertical="top"/>
    </xf>
    <xf numFmtId="0" fontId="30" fillId="0" borderId="0" xfId="0" applyFont="1"/>
    <xf numFmtId="2" fontId="35" fillId="0" borderId="0" xfId="0" applyNumberFormat="1" applyFont="1" applyAlignment="1">
      <alignment horizontal="left" vertical="center"/>
    </xf>
    <xf numFmtId="2" fontId="38" fillId="0" borderId="0" xfId="0" applyNumberFormat="1" applyFont="1" applyAlignment="1">
      <alignment horizontal="left" vertical="center"/>
    </xf>
    <xf numFmtId="2" fontId="40" fillId="0" borderId="0" xfId="0" applyNumberFormat="1" applyFont="1" applyAlignment="1">
      <alignment horizontal="left" vertical="center"/>
    </xf>
    <xf numFmtId="2" fontId="35" fillId="0" borderId="0" xfId="0" applyNumberFormat="1" applyFont="1" applyAlignment="1">
      <alignment horizontal="left" vertical="top"/>
    </xf>
    <xf numFmtId="4" fontId="35" fillId="0" borderId="0" xfId="0" applyNumberFormat="1" applyFont="1" applyAlignment="1">
      <alignment horizontal="right" vertical="top"/>
    </xf>
    <xf numFmtId="2" fontId="35" fillId="0" borderId="0" xfId="0" applyNumberFormat="1" applyFont="1" applyAlignment="1">
      <alignment horizontal="left"/>
    </xf>
    <xf numFmtId="0" fontId="42" fillId="0" borderId="0" xfId="0" applyFont="1"/>
    <xf numFmtId="2" fontId="38" fillId="0" borderId="0" xfId="0" applyNumberFormat="1" applyFont="1" applyAlignment="1">
      <alignment horizontal="left"/>
    </xf>
    <xf numFmtId="0" fontId="36" fillId="0" borderId="0" xfId="0" applyFont="1"/>
    <xf numFmtId="0" fontId="37" fillId="0" borderId="0" xfId="0" applyFont="1"/>
    <xf numFmtId="0" fontId="36" fillId="0" borderId="0" xfId="0" applyFont="1" applyAlignment="1">
      <alignment horizontal="center"/>
    </xf>
    <xf numFmtId="2" fontId="44" fillId="0" borderId="0" xfId="0" applyNumberFormat="1" applyFont="1" applyAlignment="1">
      <alignment horizontal="left" vertical="center"/>
    </xf>
    <xf numFmtId="2" fontId="38" fillId="0" borderId="0" xfId="0" applyNumberFormat="1" applyFont="1" applyAlignment="1">
      <alignment horizontal="left" vertical="top"/>
    </xf>
    <xf numFmtId="2" fontId="44" fillId="0" borderId="0" xfId="0" applyNumberFormat="1" applyFont="1" applyAlignment="1">
      <alignment horizontal="left"/>
    </xf>
    <xf numFmtId="2" fontId="39" fillId="0" borderId="1" xfId="0" applyNumberFormat="1" applyFont="1" applyBorder="1" applyAlignment="1">
      <alignment horizontal="left" vertical="center"/>
    </xf>
    <xf numFmtId="2" fontId="44" fillId="0" borderId="1" xfId="0" applyNumberFormat="1" applyFont="1" applyBorder="1" applyAlignment="1">
      <alignment horizontal="left" vertical="center"/>
    </xf>
    <xf numFmtId="4" fontId="44" fillId="0" borderId="1" xfId="0" applyNumberFormat="1" applyFont="1" applyBorder="1" applyAlignment="1">
      <alignment horizontal="left" vertical="center"/>
    </xf>
    <xf numFmtId="4" fontId="44" fillId="0" borderId="0" xfId="0" applyNumberFormat="1" applyFont="1" applyAlignment="1">
      <alignment horizontal="left" vertical="center"/>
    </xf>
    <xf numFmtId="2" fontId="17" fillId="0" borderId="0" xfId="0" applyNumberFormat="1" applyFont="1" applyAlignment="1">
      <alignment horizontal="left" vertical="center"/>
    </xf>
    <xf numFmtId="2" fontId="32" fillId="0" borderId="0" xfId="0" applyNumberFormat="1" applyFont="1" applyAlignment="1">
      <alignment horizontal="left" vertical="center"/>
    </xf>
    <xf numFmtId="2" fontId="45" fillId="0" borderId="0" xfId="0" applyNumberFormat="1" applyFont="1" applyAlignment="1">
      <alignment horizontal="left" vertical="center"/>
    </xf>
    <xf numFmtId="2" fontId="40" fillId="0" borderId="2" xfId="0" applyNumberFormat="1" applyFont="1" applyBorder="1" applyAlignment="1">
      <alignment horizontal="left" vertical="center"/>
    </xf>
    <xf numFmtId="2" fontId="38" fillId="0" borderId="2" xfId="0" applyNumberFormat="1" applyFont="1" applyBorder="1" applyAlignment="1">
      <alignment horizontal="left" vertical="center"/>
    </xf>
    <xf numFmtId="2" fontId="45" fillId="0" borderId="2" xfId="0" applyNumberFormat="1" applyFont="1" applyBorder="1" applyAlignment="1">
      <alignment horizontal="left" vertical="center"/>
    </xf>
    <xf numFmtId="2" fontId="32" fillId="0" borderId="2" xfId="0" applyNumberFormat="1" applyFont="1" applyBorder="1" applyAlignment="1">
      <alignment horizontal="left" vertical="center"/>
    </xf>
    <xf numFmtId="2" fontId="40" fillId="0" borderId="0" xfId="0" applyNumberFormat="1" applyFont="1" applyAlignment="1">
      <alignment horizontal="right" vertical="center"/>
    </xf>
    <xf numFmtId="2" fontId="38" fillId="0" borderId="0" xfId="0" applyNumberFormat="1" applyFont="1" applyAlignment="1">
      <alignment horizontal="right"/>
    </xf>
    <xf numFmtId="2" fontId="45" fillId="0" borderId="0" xfId="0" applyNumberFormat="1" applyFont="1" applyAlignment="1">
      <alignment horizontal="left" vertical="top"/>
    </xf>
    <xf numFmtId="2" fontId="32" fillId="0" borderId="0" xfId="0" applyNumberFormat="1" applyFont="1" applyAlignment="1">
      <alignment horizontal="right"/>
    </xf>
    <xf numFmtId="4" fontId="45" fillId="0" borderId="0" xfId="0" applyNumberFormat="1" applyFont="1" applyAlignment="1">
      <alignment horizontal="right" vertical="top"/>
    </xf>
    <xf numFmtId="2" fontId="45" fillId="0" borderId="2" xfId="0" applyNumberFormat="1" applyFont="1" applyBorder="1" applyAlignment="1">
      <alignment horizontal="left" vertical="top"/>
    </xf>
    <xf numFmtId="4" fontId="45" fillId="0" borderId="2" xfId="0" applyNumberFormat="1" applyFont="1" applyBorder="1" applyAlignment="1">
      <alignment horizontal="right" vertical="top"/>
    </xf>
    <xf numFmtId="2" fontId="32" fillId="0" borderId="0" xfId="0" applyNumberFormat="1" applyFont="1" applyAlignment="1">
      <alignment horizontal="right" vertical="top"/>
    </xf>
    <xf numFmtId="4" fontId="46" fillId="0" borderId="0" xfId="0" applyNumberFormat="1" applyFont="1"/>
    <xf numFmtId="2" fontId="32" fillId="0" borderId="0" xfId="0" applyNumberFormat="1" applyFont="1" applyAlignment="1">
      <alignment horizontal="left" vertical="top"/>
    </xf>
    <xf numFmtId="4" fontId="48" fillId="0" borderId="0" xfId="0" applyNumberFormat="1" applyFont="1"/>
    <xf numFmtId="2" fontId="49" fillId="0" borderId="0" xfId="0" applyNumberFormat="1" applyFont="1" applyAlignment="1">
      <alignment horizontal="left" vertical="top" wrapText="1"/>
    </xf>
    <xf numFmtId="2" fontId="53" fillId="0" borderId="0" xfId="0" applyNumberFormat="1" applyFont="1" applyAlignment="1">
      <alignment horizontal="left" vertical="top" wrapText="1"/>
    </xf>
    <xf numFmtId="1" fontId="49" fillId="0" borderId="0" xfId="0" applyNumberFormat="1" applyFont="1" applyAlignment="1">
      <alignment horizontal="right"/>
    </xf>
    <xf numFmtId="0" fontId="1" fillId="0" borderId="0" xfId="0" applyFont="1"/>
    <xf numFmtId="2" fontId="1" fillId="0" borderId="0" xfId="0" applyNumberFormat="1" applyFont="1" applyAlignment="1">
      <alignment horizontal="left" vertical="center"/>
    </xf>
    <xf numFmtId="2" fontId="1" fillId="0" borderId="2" xfId="0" applyNumberFormat="1" applyFont="1" applyBorder="1" applyAlignment="1">
      <alignment horizontal="left" vertical="center"/>
    </xf>
    <xf numFmtId="2" fontId="1" fillId="0" borderId="0" xfId="0" applyNumberFormat="1" applyFont="1" applyAlignment="1">
      <alignment horizontal="left" vertical="top"/>
    </xf>
    <xf numFmtId="0" fontId="1" fillId="0" borderId="2" xfId="0" applyFont="1" applyBorder="1"/>
    <xf numFmtId="2" fontId="49" fillId="0" borderId="0" xfId="0" applyNumberFormat="1" applyFont="1" applyAlignment="1">
      <alignment horizontal="right"/>
    </xf>
    <xf numFmtId="4" fontId="51" fillId="0" borderId="0" xfId="0" applyNumberFormat="1" applyFont="1" applyAlignment="1">
      <alignment horizontal="right"/>
    </xf>
    <xf numFmtId="4" fontId="45" fillId="0" borderId="0" xfId="0" applyNumberFormat="1" applyFont="1" applyAlignment="1">
      <alignment horizontal="left" vertical="top"/>
    </xf>
    <xf numFmtId="0" fontId="0" fillId="0" borderId="0" xfId="0" applyAlignment="1">
      <alignment wrapText="1"/>
    </xf>
    <xf numFmtId="2" fontId="35" fillId="0" borderId="0" xfId="0" applyNumberFormat="1" applyFont="1" applyAlignment="1">
      <alignment vertical="top"/>
    </xf>
    <xf numFmtId="2" fontId="38" fillId="0" borderId="0" xfId="0" applyNumberFormat="1" applyFont="1" applyAlignment="1">
      <alignment vertical="top"/>
    </xf>
    <xf numFmtId="2" fontId="35" fillId="0" borderId="0" xfId="0" applyNumberFormat="1" applyFont="1" applyAlignment="1">
      <alignment horizontal="right" vertical="top"/>
    </xf>
    <xf numFmtId="0" fontId="75" fillId="0" borderId="0" xfId="0" applyFont="1" applyAlignment="1">
      <alignment vertical="top"/>
    </xf>
    <xf numFmtId="2" fontId="34" fillId="0" borderId="0" xfId="0" applyNumberFormat="1" applyFont="1" applyAlignment="1">
      <alignment vertical="top"/>
    </xf>
    <xf numFmtId="4" fontId="19" fillId="0" borderId="0" xfId="0" applyNumberFormat="1" applyFont="1"/>
    <xf numFmtId="3" fontId="49" fillId="0" borderId="0" xfId="0" applyNumberFormat="1" applyFont="1" applyAlignment="1">
      <alignment horizontal="right"/>
    </xf>
    <xf numFmtId="2" fontId="38" fillId="0" borderId="3" xfId="0" applyNumberFormat="1" applyFont="1" applyBorder="1" applyAlignment="1">
      <alignment vertical="top"/>
    </xf>
    <xf numFmtId="2" fontId="38" fillId="0" borderId="4" xfId="0" applyNumberFormat="1" applyFont="1" applyBorder="1" applyAlignment="1">
      <alignment horizontal="justify" vertical="top"/>
    </xf>
    <xf numFmtId="1" fontId="51" fillId="0" borderId="4" xfId="0" applyNumberFormat="1" applyFont="1" applyBorder="1"/>
    <xf numFmtId="2" fontId="38" fillId="0" borderId="5" xfId="0" applyNumberFormat="1" applyFont="1" applyBorder="1" applyAlignment="1">
      <alignment horizontal="right"/>
    </xf>
    <xf numFmtId="0" fontId="49" fillId="0" borderId="0" xfId="0" applyFont="1" applyAlignment="1">
      <alignment horizontal="center" vertical="top" wrapText="1"/>
    </xf>
    <xf numFmtId="0" fontId="40" fillId="0" borderId="1" xfId="0" applyFont="1" applyBorder="1"/>
    <xf numFmtId="4" fontId="49" fillId="0" borderId="0" xfId="0" applyNumberFormat="1" applyFont="1" applyAlignment="1">
      <alignment horizontal="right" vertical="top"/>
    </xf>
    <xf numFmtId="4" fontId="49" fillId="0" borderId="0" xfId="0" applyNumberFormat="1" applyFont="1" applyAlignment="1" applyProtection="1">
      <alignment horizontal="right"/>
      <protection locked="0"/>
    </xf>
    <xf numFmtId="4" fontId="49" fillId="0" borderId="0" xfId="0" applyNumberFormat="1" applyFont="1" applyAlignment="1">
      <alignment horizontal="right"/>
    </xf>
    <xf numFmtId="0" fontId="49" fillId="0" borderId="0" xfId="0" applyFont="1" applyAlignment="1">
      <alignment vertical="top" wrapText="1"/>
    </xf>
    <xf numFmtId="0" fontId="49" fillId="0" borderId="0" xfId="0" applyFont="1" applyAlignment="1">
      <alignment horizontal="left" vertical="top" wrapText="1"/>
    </xf>
    <xf numFmtId="0" fontId="49" fillId="0" borderId="0" xfId="0" applyFont="1" applyAlignment="1">
      <alignment horizontal="right" wrapText="1"/>
    </xf>
    <xf numFmtId="0" fontId="51" fillId="0" borderId="0" xfId="0" applyFont="1" applyAlignment="1">
      <alignment horizontal="right"/>
    </xf>
    <xf numFmtId="0" fontId="49" fillId="0" borderId="0" xfId="0" applyFont="1" applyAlignment="1">
      <alignment horizontal="justify" vertical="top" wrapText="1"/>
    </xf>
    <xf numFmtId="0" fontId="48" fillId="0" borderId="0" xfId="0" applyFont="1" applyAlignment="1">
      <alignment vertical="top" wrapText="1"/>
    </xf>
    <xf numFmtId="0" fontId="49" fillId="0" borderId="6" xfId="0" applyFont="1" applyBorder="1" applyAlignment="1">
      <alignment horizontal="center" vertical="top" wrapText="1"/>
    </xf>
    <xf numFmtId="1" fontId="49" fillId="0" borderId="6" xfId="0" applyNumberFormat="1" applyFont="1" applyBorder="1" applyAlignment="1">
      <alignment horizontal="center" vertical="top" wrapText="1"/>
    </xf>
    <xf numFmtId="1" fontId="49" fillId="0" borderId="0" xfId="0" applyNumberFormat="1" applyFont="1" applyAlignment="1">
      <alignment horizontal="center" vertical="top" wrapText="1"/>
    </xf>
    <xf numFmtId="0" fontId="49" fillId="0" borderId="0" xfId="0" applyFont="1"/>
    <xf numFmtId="0" fontId="49" fillId="0" borderId="0" xfId="0" applyFont="1" applyAlignment="1">
      <alignment horizontal="justify" vertical="top"/>
    </xf>
    <xf numFmtId="0" fontId="49" fillId="0" borderId="0" xfId="0" applyFont="1" applyAlignment="1">
      <alignment horizontal="right"/>
    </xf>
    <xf numFmtId="0" fontId="49" fillId="0" borderId="0" xfId="0" applyFont="1" applyAlignment="1">
      <alignment horizontal="right" vertical="top"/>
    </xf>
    <xf numFmtId="0" fontId="41" fillId="0" borderId="0" xfId="0" applyFont="1"/>
    <xf numFmtId="0" fontId="49" fillId="0" borderId="0" xfId="0" applyFont="1" applyAlignment="1">
      <alignment horizontal="right" vertical="center" wrapText="1"/>
    </xf>
    <xf numFmtId="1" fontId="51" fillId="0" borderId="0" xfId="0" applyNumberFormat="1" applyFont="1"/>
    <xf numFmtId="4" fontId="51" fillId="0" borderId="0" xfId="0" applyNumberFormat="1" applyFont="1"/>
    <xf numFmtId="0" fontId="50" fillId="0" borderId="0" xfId="0" applyFont="1" applyAlignment="1">
      <alignment horizontal="left" vertical="top" wrapText="1"/>
    </xf>
    <xf numFmtId="1" fontId="50" fillId="0" borderId="0" xfId="0" applyNumberFormat="1" applyFont="1" applyAlignment="1">
      <alignment horizontal="left" vertical="top" wrapText="1"/>
    </xf>
    <xf numFmtId="1" fontId="49" fillId="0" borderId="0" xfId="0" applyNumberFormat="1" applyFont="1" applyAlignment="1">
      <alignment horizontal="left" vertical="top" wrapText="1"/>
    </xf>
    <xf numFmtId="0" fontId="56" fillId="0" borderId="0" xfId="0" applyFont="1"/>
    <xf numFmtId="0" fontId="31" fillId="0" borderId="0" xfId="0" applyFont="1"/>
    <xf numFmtId="0" fontId="19" fillId="0" borderId="0" xfId="0" applyFont="1" applyAlignment="1">
      <alignment horizontal="right"/>
    </xf>
    <xf numFmtId="1" fontId="14" fillId="0" borderId="0" xfId="0" applyNumberFormat="1" applyFont="1"/>
    <xf numFmtId="1" fontId="29" fillId="0" borderId="0" xfId="0" applyNumberFormat="1" applyFont="1" applyAlignment="1">
      <alignment horizontal="right" vertical="top" wrapText="1"/>
    </xf>
    <xf numFmtId="0" fontId="1" fillId="0" borderId="4" xfId="0" applyFont="1" applyBorder="1"/>
    <xf numFmtId="165" fontId="49" fillId="0" borderId="0" xfId="0" applyNumberFormat="1" applyFont="1" applyAlignment="1">
      <alignment horizontal="right"/>
    </xf>
    <xf numFmtId="0" fontId="32" fillId="0" borderId="0" xfId="0" applyFont="1"/>
    <xf numFmtId="166" fontId="49" fillId="0" borderId="0" xfId="0" applyNumberFormat="1" applyFont="1" applyAlignment="1">
      <alignment horizontal="right"/>
    </xf>
    <xf numFmtId="4" fontId="55" fillId="0" borderId="0" xfId="0" applyNumberFormat="1" applyFont="1" applyAlignment="1">
      <alignment horizontal="right"/>
    </xf>
    <xf numFmtId="0" fontId="76" fillId="0" borderId="0" xfId="0" applyFont="1"/>
    <xf numFmtId="2" fontId="48" fillId="0" borderId="0" xfId="0" applyNumberFormat="1" applyFont="1" applyAlignment="1">
      <alignment horizontal="left" vertical="top" wrapText="1"/>
    </xf>
    <xf numFmtId="0" fontId="51" fillId="0" borderId="0" xfId="0" applyFont="1"/>
    <xf numFmtId="2" fontId="41" fillId="0" borderId="0" xfId="0" applyNumberFormat="1" applyFont="1" applyAlignment="1">
      <alignment vertical="top"/>
    </xf>
    <xf numFmtId="4" fontId="49" fillId="0" borderId="7" xfId="0" applyNumberFormat="1" applyFont="1" applyBorder="1" applyAlignment="1" applyProtection="1">
      <alignment horizontal="right"/>
      <protection locked="0"/>
    </xf>
    <xf numFmtId="0" fontId="49" fillId="0" borderId="7" xfId="0" applyFont="1" applyBorder="1" applyAlignment="1">
      <alignment horizontal="justify" vertical="top" wrapText="1"/>
    </xf>
    <xf numFmtId="1" fontId="49" fillId="0" borderId="7" xfId="0" applyNumberFormat="1" applyFont="1" applyBorder="1" applyAlignment="1">
      <alignment horizontal="right"/>
    </xf>
    <xf numFmtId="4" fontId="49" fillId="0" borderId="7" xfId="0" applyNumberFormat="1" applyFont="1" applyBorder="1" applyAlignment="1">
      <alignment horizontal="right"/>
    </xf>
    <xf numFmtId="2" fontId="49" fillId="0" borderId="7" xfId="0" applyNumberFormat="1" applyFont="1" applyBorder="1" applyAlignment="1">
      <alignment horizontal="left" vertical="top" wrapText="1"/>
    </xf>
    <xf numFmtId="2" fontId="49" fillId="0" borderId="7" xfId="0" applyNumberFormat="1" applyFont="1" applyBorder="1" applyAlignment="1">
      <alignment horizontal="right"/>
    </xf>
    <xf numFmtId="4" fontId="49" fillId="0" borderId="0" xfId="0" applyNumberFormat="1" applyFont="1" applyAlignment="1" applyProtection="1">
      <alignment horizontal="left"/>
      <protection locked="0"/>
    </xf>
    <xf numFmtId="3" fontId="46" fillId="0" borderId="8" xfId="0" applyNumberFormat="1" applyFont="1" applyBorder="1"/>
    <xf numFmtId="0" fontId="39" fillId="0" borderId="0" xfId="0" applyFont="1" applyAlignment="1">
      <alignment horizontal="left" vertical="center" indent="1"/>
    </xf>
    <xf numFmtId="0" fontId="33" fillId="0" borderId="0" xfId="0" applyFont="1"/>
    <xf numFmtId="4" fontId="40" fillId="0" borderId="9" xfId="0" applyNumberFormat="1" applyFont="1" applyBorder="1" applyAlignment="1">
      <alignment horizontal="right" vertical="center"/>
    </xf>
    <xf numFmtId="4" fontId="35" fillId="0" borderId="10" xfId="0" applyNumberFormat="1" applyFont="1" applyBorder="1" applyAlignment="1">
      <alignment horizontal="right" vertical="center"/>
    </xf>
    <xf numFmtId="4" fontId="35" fillId="0" borderId="0" xfId="0" applyNumberFormat="1" applyFont="1" applyAlignment="1">
      <alignment horizontal="left" vertical="center"/>
    </xf>
    <xf numFmtId="4" fontId="46" fillId="0" borderId="2" xfId="0" applyNumberFormat="1" applyFont="1" applyBorder="1" applyAlignment="1">
      <alignment horizontal="left" vertical="center"/>
    </xf>
    <xf numFmtId="4" fontId="46" fillId="0" borderId="0" xfId="0" applyNumberFormat="1" applyFont="1" applyAlignment="1">
      <alignment horizontal="left" vertical="center"/>
    </xf>
    <xf numFmtId="4" fontId="41" fillId="0" borderId="0" xfId="0" applyNumberFormat="1" applyFont="1" applyAlignment="1">
      <alignment vertical="top"/>
    </xf>
    <xf numFmtId="4" fontId="34" fillId="0" borderId="11" xfId="0" applyNumberFormat="1" applyFont="1" applyBorder="1" applyAlignment="1">
      <alignment vertical="top"/>
    </xf>
    <xf numFmtId="0" fontId="58" fillId="0" borderId="0" xfId="0" applyFont="1"/>
    <xf numFmtId="0" fontId="40" fillId="0" borderId="0" xfId="0" applyFont="1"/>
    <xf numFmtId="2" fontId="15" fillId="0" borderId="0" xfId="0" applyNumberFormat="1" applyFont="1" applyAlignment="1">
      <alignment horizontal="left" vertical="top"/>
    </xf>
    <xf numFmtId="4" fontId="48" fillId="0" borderId="8" xfId="0" applyNumberFormat="1" applyFont="1" applyBorder="1"/>
    <xf numFmtId="4" fontId="44" fillId="0" borderId="0" xfId="0" applyNumberFormat="1" applyFont="1" applyAlignment="1">
      <alignment horizontal="right"/>
    </xf>
    <xf numFmtId="4" fontId="32" fillId="0" borderId="0" xfId="0" applyNumberFormat="1" applyFont="1" applyAlignment="1">
      <alignment horizontal="right" vertical="top"/>
    </xf>
    <xf numFmtId="2" fontId="40" fillId="0" borderId="1" xfId="0" applyNumberFormat="1" applyFont="1" applyBorder="1" applyAlignment="1">
      <alignment horizontal="right" vertical="top"/>
    </xf>
    <xf numFmtId="2" fontId="38" fillId="0" borderId="1" xfId="0" applyNumberFormat="1" applyFont="1" applyBorder="1" applyAlignment="1">
      <alignment horizontal="left"/>
    </xf>
    <xf numFmtId="2" fontId="32" fillId="0" borderId="1" xfId="0" applyNumberFormat="1" applyFont="1" applyBorder="1" applyAlignment="1">
      <alignment horizontal="left" vertical="top"/>
    </xf>
    <xf numFmtId="2" fontId="32" fillId="0" borderId="1" xfId="0" applyNumberFormat="1" applyFont="1" applyBorder="1" applyAlignment="1">
      <alignment horizontal="right" vertical="top"/>
    </xf>
    <xf numFmtId="4" fontId="32" fillId="0" borderId="1" xfId="0" applyNumberFormat="1" applyFont="1" applyBorder="1" applyAlignment="1">
      <alignment horizontal="right" vertical="top"/>
    </xf>
    <xf numFmtId="2" fontId="40" fillId="0" borderId="0" xfId="0" applyNumberFormat="1" applyFont="1" applyAlignment="1">
      <alignment horizontal="right" vertical="top"/>
    </xf>
    <xf numFmtId="4" fontId="32" fillId="0" borderId="12" xfId="0" applyNumberFormat="1" applyFont="1" applyBorder="1" applyAlignment="1">
      <alignment horizontal="right" vertical="top"/>
    </xf>
    <xf numFmtId="4" fontId="48" fillId="0" borderId="6" xfId="0" applyNumberFormat="1" applyFont="1" applyBorder="1"/>
    <xf numFmtId="2" fontId="45" fillId="0" borderId="1" xfId="0" applyNumberFormat="1" applyFont="1" applyBorder="1" applyAlignment="1">
      <alignment horizontal="left" vertical="top"/>
    </xf>
    <xf numFmtId="4" fontId="45" fillId="0" borderId="1" xfId="0" applyNumberFormat="1" applyFont="1" applyBorder="1" applyAlignment="1">
      <alignment horizontal="right" vertical="top"/>
    </xf>
    <xf numFmtId="4" fontId="45" fillId="0" borderId="13" xfId="0" applyNumberFormat="1" applyFont="1" applyBorder="1" applyAlignment="1">
      <alignment horizontal="right" vertical="top"/>
    </xf>
    <xf numFmtId="4" fontId="48" fillId="0" borderId="0" xfId="0" applyNumberFormat="1" applyFont="1" applyAlignment="1">
      <alignment horizontal="right" vertical="top"/>
    </xf>
    <xf numFmtId="2" fontId="40" fillId="2" borderId="3" xfId="0" applyNumberFormat="1" applyFont="1" applyFill="1" applyBorder="1" applyAlignment="1">
      <alignment horizontal="right" vertical="top"/>
    </xf>
    <xf numFmtId="2" fontId="38" fillId="2" borderId="4" xfId="0" applyNumberFormat="1" applyFont="1" applyFill="1" applyBorder="1" applyAlignment="1">
      <alignment horizontal="left" vertical="top"/>
    </xf>
    <xf numFmtId="2" fontId="45" fillId="2" borderId="4" xfId="0" applyNumberFormat="1" applyFont="1" applyFill="1" applyBorder="1" applyAlignment="1">
      <alignment horizontal="left" vertical="top"/>
    </xf>
    <xf numFmtId="2" fontId="40" fillId="2" borderId="4" xfId="0" applyNumberFormat="1" applyFont="1" applyFill="1" applyBorder="1" applyAlignment="1">
      <alignment horizontal="right" vertical="top"/>
    </xf>
    <xf numFmtId="0" fontId="17" fillId="0" borderId="0" xfId="0" applyFont="1" applyAlignment="1">
      <alignment horizontal="left" vertical="center" wrapText="1"/>
    </xf>
    <xf numFmtId="2" fontId="40" fillId="0" borderId="0" xfId="0" applyNumberFormat="1" applyFont="1" applyAlignment="1">
      <alignment horizontal="left" vertical="top" wrapText="1"/>
    </xf>
    <xf numFmtId="0" fontId="1" fillId="0" borderId="0" xfId="0" applyFont="1" applyAlignment="1">
      <alignment horizontal="left" vertical="center"/>
    </xf>
    <xf numFmtId="0" fontId="33" fillId="0" borderId="0" xfId="0" applyFont="1" applyAlignment="1">
      <alignment horizontal="left" vertical="top" wrapText="1"/>
    </xf>
    <xf numFmtId="2" fontId="64" fillId="0" borderId="0" xfId="0" applyNumberFormat="1" applyFont="1" applyAlignment="1">
      <alignment horizontal="left" vertical="top" wrapText="1"/>
    </xf>
    <xf numFmtId="0" fontId="33" fillId="0" borderId="0" xfId="0" applyFont="1" applyAlignment="1">
      <alignment horizontal="center" vertical="top" wrapText="1"/>
    </xf>
    <xf numFmtId="0" fontId="17" fillId="0" borderId="0" xfId="0" applyFont="1" applyAlignment="1">
      <alignment horizontal="left" vertical="center"/>
    </xf>
    <xf numFmtId="0" fontId="17" fillId="0" borderId="0" xfId="0" applyFont="1" applyAlignment="1">
      <alignment horizontal="left" vertical="center" indent="1"/>
    </xf>
    <xf numFmtId="0" fontId="40" fillId="0" borderId="0" xfId="0" applyFont="1" applyAlignment="1">
      <alignment horizontal="left" vertical="center" indent="1"/>
    </xf>
    <xf numFmtId="2" fontId="32" fillId="0" borderId="0" xfId="0" applyNumberFormat="1" applyFont="1" applyAlignment="1">
      <alignment horizontal="left"/>
    </xf>
    <xf numFmtId="0" fontId="17" fillId="0" borderId="0" xfId="0" applyFont="1" applyAlignment="1">
      <alignment vertical="center" wrapText="1"/>
    </xf>
    <xf numFmtId="0" fontId="35" fillId="0" borderId="0" xfId="0" applyFont="1" applyAlignment="1">
      <alignment vertical="center"/>
    </xf>
    <xf numFmtId="0" fontId="77" fillId="0" borderId="0" xfId="0" applyFont="1"/>
    <xf numFmtId="2" fontId="49" fillId="0" borderId="0" xfId="0" applyNumberFormat="1" applyFont="1" applyAlignment="1">
      <alignment horizontal="right" wrapText="1"/>
    </xf>
    <xf numFmtId="4" fontId="48" fillId="0" borderId="0" xfId="0" applyNumberFormat="1" applyFont="1" applyAlignment="1">
      <alignment horizontal="right"/>
    </xf>
    <xf numFmtId="0" fontId="14" fillId="0" borderId="0" xfId="0" applyFont="1"/>
    <xf numFmtId="4" fontId="14" fillId="0" borderId="0" xfId="0" applyNumberFormat="1" applyFont="1"/>
    <xf numFmtId="0" fontId="49" fillId="0" borderId="0" xfId="0" applyFont="1" applyAlignment="1">
      <alignment vertical="top"/>
    </xf>
    <xf numFmtId="2" fontId="49" fillId="0" borderId="0" xfId="0" applyNumberFormat="1" applyFont="1" applyAlignment="1">
      <alignment horizontal="right" vertical="top" wrapText="1"/>
    </xf>
    <xf numFmtId="49" fontId="49" fillId="0" borderId="0" xfId="0" applyNumberFormat="1" applyFont="1" applyAlignment="1">
      <alignment horizontal="justify" vertical="top" wrapText="1"/>
    </xf>
    <xf numFmtId="0" fontId="48" fillId="0" borderId="0" xfId="0" applyFont="1" applyAlignment="1">
      <alignment horizontal="left" vertical="top" wrapText="1"/>
    </xf>
    <xf numFmtId="4" fontId="48" fillId="0" borderId="14" xfId="0" applyNumberFormat="1" applyFont="1" applyBorder="1" applyAlignment="1">
      <alignment horizontal="right"/>
    </xf>
    <xf numFmtId="1" fontId="49" fillId="0" borderId="0" xfId="0" applyNumberFormat="1" applyFont="1"/>
    <xf numFmtId="4" fontId="49" fillId="0" borderId="0" xfId="0" applyNumberFormat="1" applyFont="1"/>
    <xf numFmtId="4" fontId="32" fillId="0" borderId="0" xfId="0" applyNumberFormat="1" applyFont="1"/>
    <xf numFmtId="4" fontId="52" fillId="0" borderId="0" xfId="0" applyNumberFormat="1" applyFont="1"/>
    <xf numFmtId="0" fontId="32" fillId="0" borderId="0" xfId="0" applyFont="1" applyAlignment="1">
      <alignment horizontal="right"/>
    </xf>
    <xf numFmtId="0" fontId="78" fillId="0" borderId="0" xfId="0" applyFont="1" applyAlignment="1">
      <alignment horizontal="right" wrapText="1"/>
    </xf>
    <xf numFmtId="4" fontId="78" fillId="0" borderId="0" xfId="0" applyNumberFormat="1" applyFont="1" applyAlignment="1">
      <alignment horizontal="right"/>
    </xf>
    <xf numFmtId="4" fontId="78" fillId="0" borderId="0" xfId="0" applyNumberFormat="1" applyFont="1" applyAlignment="1" applyProtection="1">
      <alignment horizontal="right"/>
      <protection locked="0"/>
    </xf>
    <xf numFmtId="0" fontId="14" fillId="0" borderId="0" xfId="0" applyFont="1" applyAlignment="1">
      <alignment horizontal="left"/>
    </xf>
    <xf numFmtId="2" fontId="49" fillId="0" borderId="0" xfId="0" applyNumberFormat="1" applyFont="1" applyAlignment="1">
      <alignment horizontal="right" vertical="top"/>
    </xf>
    <xf numFmtId="0" fontId="49" fillId="0" borderId="14" xfId="0" applyFont="1" applyBorder="1" applyAlignment="1">
      <alignment horizontal="right" wrapText="1"/>
    </xf>
    <xf numFmtId="4" fontId="49" fillId="0" borderId="14" xfId="0" applyNumberFormat="1" applyFont="1" applyBorder="1" applyAlignment="1" applyProtection="1">
      <alignment horizontal="right"/>
      <protection locked="0"/>
    </xf>
    <xf numFmtId="0" fontId="48" fillId="0" borderId="0" xfId="0" applyFont="1" applyAlignment="1">
      <alignment horizontal="left"/>
    </xf>
    <xf numFmtId="0" fontId="19" fillId="0" borderId="0" xfId="0" applyFont="1" applyAlignment="1">
      <alignment horizontal="left"/>
    </xf>
    <xf numFmtId="0" fontId="44" fillId="0" borderId="0" xfId="0" applyFont="1" applyAlignment="1">
      <alignment horizontal="right"/>
    </xf>
    <xf numFmtId="0" fontId="44" fillId="0" borderId="0" xfId="0" applyFont="1"/>
    <xf numFmtId="49" fontId="49" fillId="0" borderId="0" xfId="0" applyNumberFormat="1" applyFont="1" applyAlignment="1">
      <alignment vertical="top"/>
    </xf>
    <xf numFmtId="2" fontId="49" fillId="0" borderId="0" xfId="0" applyNumberFormat="1" applyFont="1" applyAlignment="1">
      <alignment horizontal="center" vertical="center"/>
    </xf>
    <xf numFmtId="0" fontId="4" fillId="0" borderId="0" xfId="0" applyFont="1" applyAlignment="1">
      <alignment horizontal="left"/>
    </xf>
    <xf numFmtId="0" fontId="4" fillId="0" borderId="0" xfId="0" applyFont="1"/>
    <xf numFmtId="4" fontId="49" fillId="0" borderId="0" xfId="0" applyNumberFormat="1" applyFont="1" applyAlignment="1">
      <alignment horizontal="right" vertical="top" wrapText="1"/>
    </xf>
    <xf numFmtId="2" fontId="39" fillId="0" borderId="0" xfId="0" applyNumberFormat="1" applyFont="1" applyAlignment="1">
      <alignment horizontal="left"/>
    </xf>
    <xf numFmtId="2" fontId="49" fillId="0" borderId="0" xfId="0" applyNumberFormat="1" applyFont="1" applyAlignment="1">
      <alignment horizontal="justify" vertical="top" wrapText="1"/>
    </xf>
    <xf numFmtId="4" fontId="49" fillId="0" borderId="14" xfId="0" applyNumberFormat="1" applyFont="1" applyBorder="1" applyAlignment="1">
      <alignment horizontal="right"/>
    </xf>
    <xf numFmtId="49" fontId="49" fillId="0" borderId="0" xfId="0" applyNumberFormat="1" applyFont="1" applyAlignment="1">
      <alignment vertical="top" wrapText="1"/>
    </xf>
    <xf numFmtId="4" fontId="56" fillId="0" borderId="0" xfId="0" applyNumberFormat="1" applyFont="1"/>
    <xf numFmtId="0" fontId="4" fillId="0" borderId="0" xfId="0" applyFont="1" applyAlignment="1">
      <alignment horizontal="right"/>
    </xf>
    <xf numFmtId="4" fontId="4" fillId="0" borderId="0" xfId="0" applyNumberFormat="1" applyFont="1" applyAlignment="1">
      <alignment horizontal="right"/>
    </xf>
    <xf numFmtId="4" fontId="4" fillId="0" borderId="0" xfId="0" applyNumberFormat="1" applyFont="1"/>
    <xf numFmtId="0" fontId="21" fillId="0" borderId="0" xfId="0" applyFont="1" applyAlignment="1">
      <alignment horizontal="center"/>
    </xf>
    <xf numFmtId="4" fontId="49" fillId="0" borderId="6" xfId="0" applyNumberFormat="1" applyFont="1" applyBorder="1" applyAlignment="1">
      <alignment horizontal="right" vertical="top" wrapText="1"/>
    </xf>
    <xf numFmtId="4" fontId="49" fillId="0" borderId="6" xfId="0" applyNumberFormat="1" applyFont="1" applyBorder="1" applyAlignment="1">
      <alignment vertical="top" wrapText="1"/>
    </xf>
    <xf numFmtId="0" fontId="3" fillId="0" borderId="0" xfId="0" applyFont="1" applyAlignment="1">
      <alignment horizontal="center" vertical="top" wrapText="1"/>
    </xf>
    <xf numFmtId="4" fontId="49" fillId="0" borderId="0" xfId="0" applyNumberFormat="1" applyFont="1" applyAlignment="1">
      <alignment vertical="top" wrapText="1"/>
    </xf>
    <xf numFmtId="0" fontId="38" fillId="0" borderId="1" xfId="0" applyFont="1" applyBorder="1"/>
    <xf numFmtId="0" fontId="5" fillId="0" borderId="0" xfId="0" applyFont="1" applyAlignment="1">
      <alignment horizontal="left"/>
    </xf>
    <xf numFmtId="4" fontId="49" fillId="0" borderId="0" xfId="0" applyNumberFormat="1" applyFont="1" applyAlignment="1">
      <alignment vertical="top"/>
    </xf>
    <xf numFmtId="4" fontId="4" fillId="0" borderId="0" xfId="0" applyNumberFormat="1" applyFont="1" applyAlignment="1">
      <alignment horizontal="right" vertical="top"/>
    </xf>
    <xf numFmtId="2" fontId="48" fillId="0" borderId="0" xfId="0" applyNumberFormat="1" applyFont="1" applyAlignment="1">
      <alignment horizontal="left" vertical="center" wrapText="1"/>
    </xf>
    <xf numFmtId="0" fontId="67" fillId="0" borderId="0" xfId="0" applyFont="1" applyAlignment="1">
      <alignment horizontal="left" vertical="top" wrapText="1"/>
    </xf>
    <xf numFmtId="0" fontId="14" fillId="0" borderId="0" xfId="0" applyFont="1" applyAlignment="1">
      <alignment horizontal="right"/>
    </xf>
    <xf numFmtId="4" fontId="14" fillId="0" borderId="0" xfId="0" applyNumberFormat="1" applyFont="1" applyAlignment="1">
      <alignment horizontal="right"/>
    </xf>
    <xf numFmtId="2" fontId="48" fillId="0" borderId="3" xfId="0" applyNumberFormat="1" applyFont="1" applyBorder="1" applyAlignment="1">
      <alignment vertical="top"/>
    </xf>
    <xf numFmtId="2" fontId="48" fillId="0" borderId="4" xfId="0" applyNumberFormat="1" applyFont="1" applyBorder="1" applyAlignment="1">
      <alignment horizontal="justify" vertical="top"/>
    </xf>
    <xf numFmtId="0" fontId="49" fillId="0" borderId="4" xfId="0" applyFont="1" applyBorder="1"/>
    <xf numFmtId="4" fontId="49" fillId="0" borderId="4" xfId="0" applyNumberFormat="1" applyFont="1" applyBorder="1" applyAlignment="1">
      <alignment horizontal="right"/>
    </xf>
    <xf numFmtId="4" fontId="48" fillId="0" borderId="5" xfId="0" applyNumberFormat="1" applyFont="1" applyBorder="1" applyAlignment="1">
      <alignment horizontal="right"/>
    </xf>
    <xf numFmtId="0" fontId="78" fillId="0" borderId="0" xfId="0" applyFont="1" applyAlignment="1">
      <alignment horizontal="left" vertical="top"/>
    </xf>
    <xf numFmtId="49" fontId="78" fillId="0" borderId="0" xfId="0" applyNumberFormat="1" applyFont="1" applyAlignment="1">
      <alignment horizontal="justify" vertical="top" wrapText="1"/>
    </xf>
    <xf numFmtId="0" fontId="79" fillId="0" borderId="0" xfId="0" applyFont="1" applyAlignment="1">
      <alignment horizontal="left" wrapText="1"/>
    </xf>
    <xf numFmtId="4" fontId="78" fillId="0" borderId="0" xfId="0" applyNumberFormat="1" applyFont="1" applyProtection="1">
      <protection locked="0"/>
    </xf>
    <xf numFmtId="4" fontId="78" fillId="0" borderId="0" xfId="0" applyNumberFormat="1" applyFont="1"/>
    <xf numFmtId="4" fontId="80" fillId="0" borderId="0" xfId="0" applyNumberFormat="1" applyFont="1" applyAlignment="1">
      <alignment horizontal="right"/>
    </xf>
    <xf numFmtId="4" fontId="79" fillId="0" borderId="0" xfId="0" applyNumberFormat="1" applyFont="1"/>
    <xf numFmtId="0" fontId="78" fillId="0" borderId="0" xfId="0" applyFont="1" applyAlignment="1">
      <alignment horizontal="left" wrapText="1"/>
    </xf>
    <xf numFmtId="4" fontId="49" fillId="0" borderId="0" xfId="0" applyNumberFormat="1" applyFont="1" applyProtection="1">
      <protection locked="0"/>
    </xf>
    <xf numFmtId="0" fontId="49" fillId="0" borderId="0" xfId="0" applyFont="1" applyAlignment="1">
      <alignment horizontal="right" vertical="top" wrapText="1"/>
    </xf>
    <xf numFmtId="4" fontId="81" fillId="0" borderId="0" xfId="0" applyNumberFormat="1" applyFont="1" applyAlignment="1">
      <alignment horizontal="right"/>
    </xf>
    <xf numFmtId="164" fontId="49" fillId="0" borderId="0" xfId="1" applyFont="1" applyFill="1" applyAlignment="1">
      <alignment horizontal="center" vertical="top" wrapText="1"/>
    </xf>
    <xf numFmtId="164" fontId="49" fillId="0" borderId="0" xfId="1" applyFont="1" applyFill="1" applyAlignment="1">
      <alignment horizontal="right" vertical="top" wrapText="1"/>
    </xf>
    <xf numFmtId="164" fontId="4" fillId="0" borderId="0" xfId="1" applyFont="1" applyFill="1" applyAlignment="1">
      <alignment horizontal="center"/>
    </xf>
    <xf numFmtId="4" fontId="4" fillId="0" borderId="0" xfId="1" applyNumberFormat="1" applyFont="1" applyFill="1" applyAlignment="1">
      <alignment horizontal="center"/>
    </xf>
    <xf numFmtId="0" fontId="46" fillId="0" borderId="0" xfId="0" applyFont="1" applyAlignment="1">
      <alignment horizontal="center"/>
    </xf>
    <xf numFmtId="4" fontId="49" fillId="0" borderId="6" xfId="0" applyNumberFormat="1" applyFont="1" applyBorder="1" applyAlignment="1">
      <alignment horizontal="center" vertical="top" wrapText="1"/>
    </xf>
    <xf numFmtId="4" fontId="49" fillId="0" borderId="0" xfId="0" applyNumberFormat="1" applyFont="1" applyAlignment="1">
      <alignment horizontal="center" vertical="top" wrapText="1"/>
    </xf>
    <xf numFmtId="0" fontId="40" fillId="0" borderId="0" xfId="0" applyFont="1" applyAlignment="1">
      <alignment horizontal="left"/>
    </xf>
    <xf numFmtId="4" fontId="49" fillId="0" borderId="4" xfId="0" applyNumberFormat="1" applyFont="1" applyBorder="1"/>
    <xf numFmtId="0" fontId="82" fillId="0" borderId="0" xfId="0" applyFont="1"/>
    <xf numFmtId="0" fontId="82" fillId="0" borderId="0" xfId="0" applyFont="1" applyAlignment="1">
      <alignment horizontal="right"/>
    </xf>
    <xf numFmtId="4" fontId="82" fillId="0" borderId="0" xfId="0" applyNumberFormat="1" applyFont="1"/>
    <xf numFmtId="0" fontId="56" fillId="0" borderId="0" xfId="0" applyFont="1" applyAlignment="1">
      <alignment horizontal="right"/>
    </xf>
    <xf numFmtId="0" fontId="83" fillId="0" borderId="0" xfId="0" applyFont="1" applyAlignment="1">
      <alignment vertical="center" wrapText="1"/>
    </xf>
    <xf numFmtId="0" fontId="84" fillId="0" borderId="0" xfId="0" applyFont="1"/>
    <xf numFmtId="0" fontId="84" fillId="0" borderId="0" xfId="0" applyFont="1" applyAlignment="1">
      <alignment horizontal="left" vertical="center"/>
    </xf>
    <xf numFmtId="0" fontId="83" fillId="0" borderId="0" xfId="0" applyFont="1"/>
    <xf numFmtId="0" fontId="83" fillId="0" borderId="0" xfId="0" applyFont="1" applyAlignment="1">
      <alignment horizontal="justify" vertical="center"/>
    </xf>
    <xf numFmtId="0" fontId="32" fillId="0" borderId="0" xfId="0" applyFont="1" applyAlignment="1">
      <alignment vertical="center"/>
    </xf>
    <xf numFmtId="0" fontId="32" fillId="0" borderId="0" xfId="0" applyFont="1" applyAlignment="1">
      <alignment horizontal="left" vertical="center"/>
    </xf>
    <xf numFmtId="4" fontId="32" fillId="0" borderId="0" xfId="0" applyNumberFormat="1" applyFont="1" applyAlignment="1">
      <alignment horizontal="left" vertical="center"/>
    </xf>
    <xf numFmtId="2" fontId="32" fillId="0" borderId="0" xfId="0" applyNumberFormat="1" applyFont="1" applyAlignment="1">
      <alignment horizontal="left" vertical="top" wrapText="1"/>
    </xf>
    <xf numFmtId="49" fontId="17" fillId="0" borderId="0" xfId="0" applyNumberFormat="1" applyFont="1" applyAlignment="1">
      <alignment horizontal="left" vertical="center"/>
    </xf>
    <xf numFmtId="0" fontId="78" fillId="0" borderId="0" xfId="0" applyFont="1" applyAlignment="1">
      <alignment horizontal="justify" vertical="top" wrapText="1"/>
    </xf>
    <xf numFmtId="0" fontId="78" fillId="0" borderId="0" xfId="0" applyFont="1" applyAlignment="1">
      <alignment horizontal="left" vertical="top" wrapText="1"/>
    </xf>
    <xf numFmtId="0" fontId="49" fillId="0" borderId="0" xfId="0" applyFont="1" applyAlignment="1">
      <alignment horizontal="left" vertical="top"/>
    </xf>
    <xf numFmtId="4" fontId="49" fillId="0" borderId="0" xfId="0" applyNumberFormat="1" applyFont="1" applyAlignment="1" applyProtection="1">
      <alignment horizontal="right" wrapText="1" readingOrder="1"/>
      <protection locked="0"/>
    </xf>
    <xf numFmtId="0" fontId="85" fillId="0" borderId="0" xfId="0" applyFont="1"/>
    <xf numFmtId="2" fontId="48" fillId="0" borderId="0" xfId="0" applyNumberFormat="1" applyFont="1" applyAlignment="1">
      <alignment horizontal="left" wrapText="1"/>
    </xf>
    <xf numFmtId="1" fontId="19" fillId="0" borderId="0" xfId="0" applyNumberFormat="1" applyFont="1"/>
    <xf numFmtId="0" fontId="48" fillId="0" borderId="0" xfId="8" applyFont="1" applyAlignment="1">
      <alignment vertical="top" wrapText="1"/>
    </xf>
    <xf numFmtId="0" fontId="49" fillId="0" borderId="0" xfId="8" applyFont="1" applyAlignment="1">
      <alignment vertical="top" wrapText="1"/>
    </xf>
    <xf numFmtId="0" fontId="35" fillId="0" borderId="0" xfId="0" applyFont="1" applyAlignment="1">
      <alignment vertical="top" wrapText="1"/>
    </xf>
    <xf numFmtId="4" fontId="20" fillId="0" borderId="0" xfId="0" applyNumberFormat="1" applyFont="1"/>
    <xf numFmtId="2" fontId="48" fillId="0" borderId="0" xfId="0" applyNumberFormat="1" applyFont="1" applyAlignment="1">
      <alignment horizontal="left" vertical="top"/>
    </xf>
    <xf numFmtId="4" fontId="77" fillId="0" borderId="0" xfId="0" applyNumberFormat="1" applyFont="1" applyAlignment="1">
      <alignment horizontal="center"/>
    </xf>
    <xf numFmtId="4" fontId="77" fillId="0" borderId="0" xfId="0" applyNumberFormat="1" applyFont="1"/>
    <xf numFmtId="4" fontId="13" fillId="0" borderId="0" xfId="0" applyNumberFormat="1" applyFont="1"/>
    <xf numFmtId="4" fontId="15" fillId="0" borderId="0" xfId="0" applyNumberFormat="1" applyFont="1"/>
    <xf numFmtId="4" fontId="86" fillId="0" borderId="0" xfId="0" applyNumberFormat="1" applyFont="1"/>
    <xf numFmtId="4" fontId="87" fillId="0" borderId="0" xfId="0" applyNumberFormat="1" applyFont="1"/>
    <xf numFmtId="0" fontId="78" fillId="0" borderId="0" xfId="0" applyFont="1" applyAlignment="1">
      <alignment horizontal="left"/>
    </xf>
    <xf numFmtId="0" fontId="78" fillId="0" borderId="0" xfId="0" applyFont="1"/>
    <xf numFmtId="1" fontId="56" fillId="0" borderId="0" xfId="0" applyNumberFormat="1" applyFont="1"/>
    <xf numFmtId="0" fontId="38" fillId="0" borderId="0" xfId="0" applyFont="1"/>
    <xf numFmtId="4" fontId="52" fillId="0" borderId="0" xfId="0" applyNumberFormat="1" applyFont="1" applyAlignment="1">
      <alignment horizontal="right"/>
    </xf>
    <xf numFmtId="4" fontId="66" fillId="0" borderId="0" xfId="0" applyNumberFormat="1" applyFont="1" applyAlignment="1">
      <alignment horizontal="right"/>
    </xf>
    <xf numFmtId="0" fontId="48" fillId="0" borderId="0" xfId="0" applyFont="1" applyAlignment="1">
      <alignment vertical="top"/>
    </xf>
    <xf numFmtId="0" fontId="52" fillId="0" borderId="0" xfId="0" applyFont="1" applyAlignment="1">
      <alignment horizontal="justify" vertical="top"/>
    </xf>
    <xf numFmtId="0" fontId="52" fillId="0" borderId="0" xfId="0" applyFont="1" applyAlignment="1">
      <alignment horizontal="right"/>
    </xf>
    <xf numFmtId="4" fontId="6" fillId="0" borderId="0" xfId="0" applyNumberFormat="1" applyFont="1"/>
    <xf numFmtId="4" fontId="49" fillId="0" borderId="0" xfId="0" applyNumberFormat="1" applyFont="1" applyAlignment="1">
      <alignment horizontal="left" vertical="top"/>
    </xf>
    <xf numFmtId="4" fontId="49" fillId="0" borderId="0" xfId="0" applyNumberFormat="1" applyFont="1" applyAlignment="1">
      <alignment horizontal="left" vertical="top" wrapText="1"/>
    </xf>
    <xf numFmtId="0" fontId="48" fillId="0" borderId="0" xfId="0" applyFont="1" applyAlignment="1">
      <alignment horizontal="left" wrapText="1"/>
    </xf>
    <xf numFmtId="0" fontId="49" fillId="0" borderId="0" xfId="0" applyFont="1" applyAlignment="1">
      <alignment wrapText="1"/>
    </xf>
    <xf numFmtId="0" fontId="32" fillId="0" borderId="0" xfId="0" applyFont="1" applyAlignment="1">
      <alignment wrapText="1"/>
    </xf>
    <xf numFmtId="0" fontId="76" fillId="0" borderId="0" xfId="0" applyFont="1" applyAlignment="1">
      <alignment wrapText="1"/>
    </xf>
    <xf numFmtId="4" fontId="55" fillId="0" borderId="0" xfId="0" applyNumberFormat="1" applyFont="1"/>
    <xf numFmtId="0" fontId="88" fillId="0" borderId="0" xfId="0" applyFont="1" applyAlignment="1">
      <alignment horizontal="justify" vertical="top" wrapText="1"/>
    </xf>
    <xf numFmtId="2" fontId="89" fillId="0" borderId="0" xfId="0" applyNumberFormat="1" applyFont="1" applyAlignment="1">
      <alignment horizontal="left" wrapText="1"/>
    </xf>
    <xf numFmtId="0" fontId="90" fillId="0" borderId="0" xfId="0" applyFont="1"/>
    <xf numFmtId="3" fontId="88" fillId="0" borderId="0" xfId="0" applyNumberFormat="1" applyFont="1" applyAlignment="1">
      <alignment horizontal="right"/>
    </xf>
    <xf numFmtId="0" fontId="81" fillId="0" borderId="0" xfId="0" applyFont="1" applyAlignment="1">
      <alignment horizontal="right" vertical="center" wrapText="1"/>
    </xf>
    <xf numFmtId="0" fontId="19" fillId="0" borderId="0" xfId="0" applyFont="1" applyAlignment="1">
      <alignment vertical="top"/>
    </xf>
    <xf numFmtId="0" fontId="56" fillId="0" borderId="0" xfId="0" applyFont="1" applyAlignment="1">
      <alignment vertical="top"/>
    </xf>
    <xf numFmtId="0" fontId="66" fillId="0" borderId="0" xfId="0" applyFont="1" applyAlignment="1">
      <alignment vertical="top" wrapText="1"/>
    </xf>
    <xf numFmtId="0" fontId="40" fillId="0" borderId="1" xfId="0" applyFont="1" applyBorder="1" applyAlignment="1">
      <alignment vertical="center"/>
    </xf>
    <xf numFmtId="4" fontId="40" fillId="0" borderId="1" xfId="0" applyNumberFormat="1" applyFont="1" applyBorder="1" applyAlignment="1">
      <alignment vertical="center"/>
    </xf>
    <xf numFmtId="4" fontId="49" fillId="0" borderId="0" xfId="0" applyNumberFormat="1" applyFont="1" applyAlignment="1">
      <alignment horizontal="right" wrapText="1"/>
    </xf>
    <xf numFmtId="0" fontId="40" fillId="0" borderId="0" xfId="0" applyFont="1" applyAlignment="1">
      <alignment horizontal="left" vertical="top" wrapText="1"/>
    </xf>
    <xf numFmtId="0" fontId="32" fillId="0" borderId="0" xfId="0" applyFont="1" applyAlignment="1">
      <alignment horizontal="left" vertical="top"/>
    </xf>
    <xf numFmtId="4" fontId="32" fillId="0" borderId="0" xfId="0" applyNumberFormat="1" applyFont="1" applyAlignment="1">
      <alignment horizontal="left" vertical="top"/>
    </xf>
    <xf numFmtId="4" fontId="48" fillId="0" borderId="0" xfId="0" applyNumberFormat="1" applyFont="1" applyAlignment="1">
      <alignment horizontal="left" vertical="top" wrapText="1"/>
    </xf>
    <xf numFmtId="0" fontId="76" fillId="0" borderId="0" xfId="0" applyFont="1" applyAlignment="1">
      <alignment horizontal="left" vertical="top" wrapText="1"/>
    </xf>
    <xf numFmtId="4" fontId="76" fillId="0" borderId="0" xfId="0" applyNumberFormat="1" applyFont="1" applyAlignment="1">
      <alignment horizontal="left" vertical="top" wrapText="1"/>
    </xf>
    <xf numFmtId="2" fontId="66" fillId="0" borderId="0" xfId="0" applyNumberFormat="1" applyFont="1" applyAlignment="1">
      <alignment horizontal="left" vertical="top" wrapText="1"/>
    </xf>
    <xf numFmtId="2" fontId="55" fillId="0" borderId="0" xfId="0" applyNumberFormat="1" applyFont="1" applyAlignment="1">
      <alignment horizontal="left" vertical="top" wrapText="1"/>
    </xf>
    <xf numFmtId="0" fontId="92" fillId="0" borderId="0" xfId="0" applyFont="1"/>
    <xf numFmtId="0" fontId="66" fillId="0" borderId="0" xfId="0" applyFont="1" applyAlignment="1">
      <alignment horizontal="left" vertical="top" wrapText="1"/>
    </xf>
    <xf numFmtId="0" fontId="77" fillId="0" borderId="0" xfId="0" applyFont="1" applyAlignment="1">
      <alignment horizontal="left" vertical="top" wrapText="1"/>
    </xf>
    <xf numFmtId="0" fontId="55" fillId="0" borderId="0" xfId="0" applyFont="1" applyAlignment="1">
      <alignment horizontal="left" vertical="top" wrapText="1"/>
    </xf>
    <xf numFmtId="4" fontId="48" fillId="0" borderId="14" xfId="0" applyNumberFormat="1" applyFont="1" applyBorder="1"/>
    <xf numFmtId="4" fontId="78" fillId="0" borderId="0" xfId="0" applyNumberFormat="1" applyFont="1" applyAlignment="1">
      <alignment horizontal="left" vertical="top"/>
    </xf>
    <xf numFmtId="4" fontId="78" fillId="0" borderId="0" xfId="0" applyNumberFormat="1" applyFont="1" applyAlignment="1">
      <alignment horizontal="left" vertical="top" wrapText="1"/>
    </xf>
    <xf numFmtId="4" fontId="49" fillId="0" borderId="0" xfId="0" applyNumberFormat="1" applyFont="1" applyAlignment="1">
      <alignment wrapText="1"/>
    </xf>
    <xf numFmtId="4" fontId="48" fillId="0" borderId="15" xfId="0" applyNumberFormat="1" applyFont="1" applyBorder="1"/>
    <xf numFmtId="0" fontId="49" fillId="0" borderId="0" xfId="0" applyFont="1" applyAlignment="1">
      <alignment horizontal="left" vertical="center"/>
    </xf>
    <xf numFmtId="4" fontId="49" fillId="0" borderId="0" xfId="0" applyNumberFormat="1" applyFont="1" applyAlignment="1">
      <alignment horizontal="right" vertical="center"/>
    </xf>
    <xf numFmtId="0" fontId="19" fillId="0" borderId="0" xfId="0" applyFont="1" applyAlignment="1">
      <alignment horizontal="left" vertical="top"/>
    </xf>
    <xf numFmtId="4" fontId="40" fillId="0" borderId="0" xfId="0" applyNumberFormat="1" applyFont="1" applyAlignment="1">
      <alignment horizontal="left"/>
    </xf>
    <xf numFmtId="4" fontId="52" fillId="0" borderId="0" xfId="0" applyNumberFormat="1" applyFont="1" applyProtection="1">
      <protection locked="0"/>
    </xf>
    <xf numFmtId="4" fontId="29" fillId="0" borderId="0" xfId="0" applyNumberFormat="1" applyFont="1" applyAlignment="1">
      <alignment horizontal="right" vertical="top" wrapText="1"/>
    </xf>
    <xf numFmtId="4" fontId="76" fillId="0" borderId="0" xfId="0" applyNumberFormat="1" applyFont="1"/>
    <xf numFmtId="4" fontId="88" fillId="0" borderId="0" xfId="0" applyNumberFormat="1" applyFont="1" applyAlignment="1">
      <alignment horizontal="right"/>
    </xf>
    <xf numFmtId="2" fontId="49" fillId="0" borderId="0" xfId="0" applyNumberFormat="1" applyFont="1" applyAlignment="1">
      <alignment horizontal="right" vertical="center" wrapText="1"/>
    </xf>
    <xf numFmtId="2" fontId="94" fillId="0" borderId="0" xfId="0" applyNumberFormat="1" applyFont="1" applyAlignment="1">
      <alignment horizontal="right" vertical="top" wrapText="1"/>
    </xf>
    <xf numFmtId="1" fontId="81" fillId="0" borderId="0" xfId="0" applyNumberFormat="1" applyFont="1" applyAlignment="1">
      <alignment horizontal="right" wrapText="1"/>
    </xf>
    <xf numFmtId="0" fontId="48" fillId="0" borderId="0" xfId="0" applyFont="1" applyAlignment="1">
      <alignment horizontal="left" vertical="top"/>
    </xf>
    <xf numFmtId="49" fontId="78" fillId="0" borderId="0" xfId="0" applyNumberFormat="1" applyFont="1" applyAlignment="1">
      <alignment horizontal="justify" vertical="center" wrapText="1"/>
    </xf>
    <xf numFmtId="0" fontId="79" fillId="0" borderId="0" xfId="0" applyFont="1" applyAlignment="1">
      <alignment horizontal="left" vertical="center" wrapText="1"/>
    </xf>
    <xf numFmtId="4" fontId="49" fillId="0" borderId="0" xfId="0" applyNumberFormat="1" applyFont="1" applyAlignment="1" applyProtection="1">
      <alignment horizontal="right" vertical="center"/>
      <protection locked="0"/>
    </xf>
    <xf numFmtId="2" fontId="78" fillId="0" borderId="0" xfId="0" applyNumberFormat="1" applyFont="1" applyAlignment="1">
      <alignment horizontal="right" vertical="center" wrapText="1"/>
    </xf>
    <xf numFmtId="0" fontId="52" fillId="0" borderId="0" xfId="0" applyFont="1"/>
    <xf numFmtId="4" fontId="51" fillId="0" borderId="0" xfId="0" applyNumberFormat="1" applyFont="1" applyAlignment="1" applyProtection="1">
      <alignment horizontal="right"/>
      <protection locked="0"/>
    </xf>
    <xf numFmtId="4" fontId="69" fillId="0" borderId="0" xfId="0" applyNumberFormat="1" applyFont="1" applyAlignment="1">
      <alignment horizontal="right" vertical="top" wrapText="1"/>
    </xf>
    <xf numFmtId="0" fontId="49" fillId="0" borderId="6" xfId="0" applyFont="1" applyBorder="1" applyAlignment="1">
      <alignment horizontal="left" vertical="top" wrapText="1"/>
    </xf>
    <xf numFmtId="49" fontId="49" fillId="0" borderId="0" xfId="0" applyNumberFormat="1" applyFont="1" applyAlignment="1">
      <alignment horizontal="left" vertical="top" wrapText="1"/>
    </xf>
    <xf numFmtId="0" fontId="66" fillId="0" borderId="0" xfId="0" applyFont="1" applyAlignment="1">
      <alignment horizontal="right" vertical="center" wrapText="1"/>
    </xf>
    <xf numFmtId="4" fontId="66" fillId="0" borderId="0" xfId="0" applyNumberFormat="1" applyFont="1" applyAlignment="1" applyProtection="1">
      <alignment horizontal="right" vertical="center"/>
      <protection locked="0"/>
    </xf>
    <xf numFmtId="4" fontId="55" fillId="0" borderId="0" xfId="0" applyNumberFormat="1" applyFont="1" applyAlignment="1">
      <alignment horizontal="right" vertical="center"/>
    </xf>
    <xf numFmtId="0" fontId="40" fillId="0" borderId="1" xfId="0" applyFont="1" applyBorder="1" applyAlignment="1">
      <alignment horizontal="left" vertical="top"/>
    </xf>
    <xf numFmtId="0" fontId="14" fillId="0" borderId="0" xfId="0" applyFont="1" applyAlignment="1">
      <alignment horizontal="left" vertical="top"/>
    </xf>
    <xf numFmtId="3" fontId="19" fillId="0" borderId="0" xfId="0" applyNumberFormat="1" applyFont="1"/>
    <xf numFmtId="0" fontId="78" fillId="0" borderId="0" xfId="0" applyFont="1" applyAlignment="1">
      <alignment horizontal="center" wrapText="1"/>
    </xf>
    <xf numFmtId="0" fontId="48" fillId="0" borderId="0" xfId="0" applyFont="1" applyAlignment="1">
      <alignment horizontal="right"/>
    </xf>
    <xf numFmtId="0" fontId="96" fillId="0" borderId="0" xfId="0" applyFont="1"/>
    <xf numFmtId="0" fontId="19" fillId="0" borderId="0" xfId="0" applyFont="1" applyAlignment="1">
      <alignment wrapText="1"/>
    </xf>
    <xf numFmtId="0" fontId="19" fillId="3" borderId="0" xfId="0" applyFont="1" applyFill="1"/>
    <xf numFmtId="0" fontId="19" fillId="3" borderId="0" xfId="0" applyFont="1" applyFill="1" applyAlignment="1">
      <alignment horizontal="left"/>
    </xf>
    <xf numFmtId="2" fontId="66" fillId="0" borderId="0" xfId="0" applyNumberFormat="1" applyFont="1" applyAlignment="1">
      <alignment horizontal="justify" vertical="top" wrapText="1"/>
    </xf>
    <xf numFmtId="2" fontId="49" fillId="0" borderId="0" xfId="0" applyNumberFormat="1" applyFont="1" applyAlignment="1">
      <alignment horizontal="right" vertical="center"/>
    </xf>
    <xf numFmtId="4" fontId="1" fillId="0" borderId="0" xfId="0" applyNumberFormat="1" applyFont="1"/>
    <xf numFmtId="0" fontId="49" fillId="0" borderId="0" xfId="0" applyFont="1" applyAlignment="1">
      <alignment horizontal="left" wrapText="1"/>
    </xf>
    <xf numFmtId="0" fontId="48" fillId="0" borderId="0" xfId="0" applyFont="1" applyAlignment="1">
      <alignment horizontal="left" vertical="center" wrapText="1"/>
    </xf>
    <xf numFmtId="4" fontId="71" fillId="0" borderId="0" xfId="0" applyNumberFormat="1" applyFont="1" applyAlignment="1">
      <alignment horizontal="right"/>
    </xf>
    <xf numFmtId="0" fontId="49" fillId="0" borderId="0" xfId="0" applyFont="1" applyAlignment="1">
      <alignment horizontal="center" wrapText="1"/>
    </xf>
    <xf numFmtId="49" fontId="49" fillId="0" borderId="0" xfId="0" applyNumberFormat="1" applyFont="1" applyAlignment="1">
      <alignment horizontal="left" vertical="top"/>
    </xf>
    <xf numFmtId="4" fontId="66" fillId="0" borderId="0" xfId="0" applyNumberFormat="1" applyFont="1" applyAlignment="1">
      <alignment horizontal="right" vertical="center"/>
    </xf>
    <xf numFmtId="4" fontId="48" fillId="0" borderId="0" xfId="0" applyNumberFormat="1" applyFont="1" applyAlignment="1">
      <alignment horizontal="right" vertical="center"/>
    </xf>
    <xf numFmtId="0" fontId="66" fillId="0" borderId="0" xfId="0" applyFont="1" applyAlignment="1">
      <alignment horizontal="right" wrapText="1"/>
    </xf>
    <xf numFmtId="4" fontId="66" fillId="0" borderId="0" xfId="0" applyNumberFormat="1" applyFont="1"/>
    <xf numFmtId="4" fontId="66" fillId="0" borderId="0" xfId="0" applyNumberFormat="1" applyFont="1" applyProtection="1">
      <protection locked="0"/>
    </xf>
    <xf numFmtId="4" fontId="66" fillId="0" borderId="0" xfId="0" applyNumberFormat="1" applyFont="1" applyAlignment="1" applyProtection="1">
      <alignment horizontal="right"/>
      <protection locked="0"/>
    </xf>
    <xf numFmtId="4" fontId="92" fillId="0" borderId="0" xfId="0" applyNumberFormat="1" applyFont="1"/>
    <xf numFmtId="4" fontId="66" fillId="0" borderId="2" xfId="0" applyNumberFormat="1" applyFont="1" applyBorder="1" applyAlignment="1">
      <alignment horizontal="right" vertical="center"/>
    </xf>
    <xf numFmtId="4" fontId="67" fillId="0" borderId="0" xfId="0" applyNumberFormat="1" applyFont="1" applyAlignment="1">
      <alignment horizontal="left" vertical="top" wrapText="1"/>
    </xf>
    <xf numFmtId="2" fontId="99" fillId="0" borderId="0" xfId="0" applyNumberFormat="1" applyFont="1" applyAlignment="1">
      <alignment horizontal="left" wrapText="1"/>
    </xf>
    <xf numFmtId="4" fontId="0" fillId="0" borderId="0" xfId="0" applyNumberFormat="1"/>
    <xf numFmtId="0" fontId="49" fillId="0" borderId="2" xfId="0" applyFont="1" applyBorder="1" applyAlignment="1">
      <alignment horizontal="right" wrapText="1"/>
    </xf>
    <xf numFmtId="4" fontId="49" fillId="0" borderId="2" xfId="0" applyNumberFormat="1" applyFont="1" applyBorder="1" applyAlignment="1">
      <alignment horizontal="right"/>
    </xf>
    <xf numFmtId="4" fontId="49" fillId="0" borderId="2" xfId="0" applyNumberFormat="1" applyFont="1" applyBorder="1" applyAlignment="1" applyProtection="1">
      <alignment horizontal="right"/>
      <protection locked="0"/>
    </xf>
    <xf numFmtId="0" fontId="83" fillId="0" borderId="0" xfId="0" applyFont="1" applyAlignment="1">
      <alignment wrapText="1"/>
    </xf>
    <xf numFmtId="4" fontId="92" fillId="0" borderId="0" xfId="0" applyNumberFormat="1" applyFont="1" applyAlignment="1">
      <alignment horizontal="right"/>
    </xf>
    <xf numFmtId="4" fontId="81" fillId="0" borderId="0" xfId="0" applyNumberFormat="1" applyFont="1" applyAlignment="1">
      <alignment horizontal="right" vertical="top" wrapText="1"/>
    </xf>
    <xf numFmtId="4" fontId="101" fillId="0" borderId="0" xfId="0" applyNumberFormat="1" applyFont="1" applyAlignment="1">
      <alignment horizontal="right"/>
    </xf>
    <xf numFmtId="4" fontId="81" fillId="0" borderId="0" xfId="0" applyNumberFormat="1" applyFont="1" applyAlignment="1">
      <alignment horizontal="right" vertical="top"/>
    </xf>
    <xf numFmtId="4" fontId="102" fillId="0" borderId="0" xfId="0" applyNumberFormat="1" applyFont="1" applyAlignment="1">
      <alignment horizontal="right"/>
    </xf>
    <xf numFmtId="4" fontId="81" fillId="0" borderId="0" xfId="0" applyNumberFormat="1" applyFont="1" applyAlignment="1" applyProtection="1">
      <alignment horizontal="right"/>
      <protection locked="0"/>
    </xf>
    <xf numFmtId="4" fontId="103" fillId="0" borderId="0" xfId="0" applyNumberFormat="1" applyFont="1" applyAlignment="1" applyProtection="1">
      <alignment horizontal="right"/>
      <protection locked="0"/>
    </xf>
    <xf numFmtId="0" fontId="55" fillId="0" borderId="0" xfId="0" applyFont="1" applyAlignment="1">
      <alignment horizontal="left" vertical="center"/>
    </xf>
    <xf numFmtId="0" fontId="85" fillId="0" borderId="0" xfId="0" applyFont="1" applyAlignment="1">
      <alignment horizontal="left"/>
    </xf>
    <xf numFmtId="0" fontId="109" fillId="0" borderId="0" xfId="0" applyFont="1"/>
    <xf numFmtId="0" fontId="110" fillId="0" borderId="0" xfId="0" applyFont="1"/>
    <xf numFmtId="0" fontId="110" fillId="0" borderId="0" xfId="0" applyFont="1" applyAlignment="1">
      <alignment horizontal="left"/>
    </xf>
    <xf numFmtId="0" fontId="77" fillId="0" borderId="0" xfId="0" applyFont="1" applyAlignment="1">
      <alignment horizontal="left"/>
    </xf>
    <xf numFmtId="4" fontId="77" fillId="0" borderId="0" xfId="0" applyNumberFormat="1" applyFont="1" applyAlignment="1">
      <alignment horizontal="left"/>
    </xf>
    <xf numFmtId="1" fontId="77" fillId="0" borderId="0" xfId="0" applyNumberFormat="1" applyFont="1"/>
    <xf numFmtId="0" fontId="110" fillId="0" borderId="0" xfId="0" applyFont="1" applyAlignment="1">
      <alignment vertical="top"/>
    </xf>
    <xf numFmtId="0" fontId="77" fillId="0" borderId="0" xfId="0" applyFont="1" applyAlignment="1">
      <alignment vertical="top"/>
    </xf>
    <xf numFmtId="0" fontId="111" fillId="0" borderId="16" xfId="0" applyFont="1" applyBorder="1" applyAlignment="1">
      <alignment vertical="top"/>
    </xf>
    <xf numFmtId="0" fontId="19" fillId="0" borderId="17" xfId="0" applyFont="1" applyBorder="1"/>
    <xf numFmtId="0" fontId="111" fillId="0" borderId="18" xfId="0" applyFont="1" applyBorder="1" applyAlignment="1">
      <alignment vertical="top"/>
    </xf>
    <xf numFmtId="4" fontId="112" fillId="0" borderId="0" xfId="0" applyNumberFormat="1" applyFont="1" applyAlignment="1">
      <alignment horizontal="left"/>
    </xf>
    <xf numFmtId="0" fontId="113" fillId="0" borderId="0" xfId="0" applyFont="1" applyAlignment="1">
      <alignment horizontal="left"/>
    </xf>
    <xf numFmtId="0" fontId="78" fillId="0" borderId="0" xfId="0" applyFont="1" applyAlignment="1">
      <alignment horizontal="right"/>
    </xf>
    <xf numFmtId="2" fontId="78" fillId="0" borderId="0" xfId="0" applyNumberFormat="1" applyFont="1" applyAlignment="1">
      <alignment horizontal="center"/>
    </xf>
    <xf numFmtId="2" fontId="78" fillId="0" borderId="0" xfId="0" applyNumberFormat="1" applyFont="1" applyAlignment="1">
      <alignment horizontal="right"/>
    </xf>
    <xf numFmtId="1" fontId="32" fillId="0" borderId="0" xfId="0" applyNumberFormat="1" applyFont="1"/>
    <xf numFmtId="1" fontId="40" fillId="0" borderId="1" xfId="0" applyNumberFormat="1" applyFont="1" applyBorder="1"/>
    <xf numFmtId="1" fontId="49" fillId="0" borderId="0" xfId="0" applyNumberFormat="1" applyFont="1" applyAlignment="1">
      <alignment horizontal="justify" vertical="top" wrapText="1"/>
    </xf>
    <xf numFmtId="1" fontId="88" fillId="0" borderId="0" xfId="0" applyNumberFormat="1" applyFont="1" applyAlignment="1">
      <alignment horizontal="justify" vertical="top" wrapText="1"/>
    </xf>
    <xf numFmtId="1" fontId="35" fillId="0" borderId="0" xfId="0" applyNumberFormat="1" applyFont="1" applyAlignment="1">
      <alignment vertical="top"/>
    </xf>
    <xf numFmtId="1" fontId="49" fillId="0" borderId="0" xfId="0" applyNumberFormat="1" applyFont="1" applyAlignment="1">
      <alignment horizontal="right" vertical="top"/>
    </xf>
    <xf numFmtId="0" fontId="66" fillId="0" borderId="0" xfId="0" applyFont="1" applyAlignment="1">
      <alignment horizontal="justify" vertical="top" wrapText="1"/>
    </xf>
    <xf numFmtId="0" fontId="48" fillId="0" borderId="0" xfId="0" applyFont="1" applyAlignment="1">
      <alignment wrapText="1"/>
    </xf>
    <xf numFmtId="0" fontId="103" fillId="0" borderId="0" xfId="0" applyFont="1" applyAlignment="1">
      <alignment horizontal="left" vertical="top" wrapText="1"/>
    </xf>
    <xf numFmtId="1" fontId="52" fillId="0" borderId="0" xfId="0" applyNumberFormat="1" applyFont="1" applyAlignment="1">
      <alignment horizontal="right"/>
    </xf>
    <xf numFmtId="0" fontId="114" fillId="0" borderId="0" xfId="0" applyFont="1" applyAlignment="1">
      <alignment vertical="top"/>
    </xf>
    <xf numFmtId="0" fontId="115" fillId="0" borderId="0" xfId="0" applyFont="1" applyAlignment="1">
      <alignment horizontal="left" vertical="top" wrapText="1"/>
    </xf>
    <xf numFmtId="1" fontId="116" fillId="0" borderId="0" xfId="0" applyNumberFormat="1" applyFont="1" applyAlignment="1">
      <alignment horizontal="right"/>
    </xf>
    <xf numFmtId="0" fontId="116" fillId="0" borderId="0" xfId="0" applyFont="1"/>
    <xf numFmtId="4" fontId="116" fillId="0" borderId="0" xfId="0" applyNumberFormat="1" applyFont="1"/>
    <xf numFmtId="0" fontId="101" fillId="0" borderId="0" xfId="0" applyFont="1"/>
    <xf numFmtId="2" fontId="117" fillId="0" borderId="0" xfId="0" applyNumberFormat="1" applyFont="1" applyAlignment="1">
      <alignment horizontal="justify" vertical="top" wrapText="1"/>
    </xf>
    <xf numFmtId="4" fontId="49" fillId="3" borderId="0" xfId="0" applyNumberFormat="1" applyFont="1" applyFill="1" applyAlignment="1">
      <alignment horizontal="right"/>
    </xf>
    <xf numFmtId="4" fontId="79" fillId="0" borderId="0" xfId="0" applyNumberFormat="1" applyFont="1" applyAlignment="1">
      <alignment horizontal="right"/>
    </xf>
    <xf numFmtId="49" fontId="49" fillId="0" borderId="0" xfId="0" applyNumberFormat="1" applyFont="1" applyAlignment="1">
      <alignment horizontal="left" vertical="center" wrapText="1"/>
    </xf>
    <xf numFmtId="0" fontId="49" fillId="0" borderId="0" xfId="0" applyFont="1" applyAlignment="1">
      <alignment horizontal="left" vertical="center" wrapText="1"/>
    </xf>
    <xf numFmtId="0" fontId="48" fillId="0" borderId="0" xfId="0" applyFont="1" applyAlignment="1">
      <alignment horizontal="left" vertical="center"/>
    </xf>
    <xf numFmtId="0" fontId="49" fillId="0" borderId="0" xfId="0" applyFont="1" applyAlignment="1">
      <alignment horizontal="justify" vertical="center" wrapText="1"/>
    </xf>
    <xf numFmtId="2" fontId="55" fillId="0" borderId="0" xfId="0" applyNumberFormat="1" applyFont="1" applyAlignment="1">
      <alignment horizontal="left" vertical="center"/>
    </xf>
    <xf numFmtId="49" fontId="66" fillId="0" borderId="0" xfId="0" applyNumberFormat="1" applyFont="1" applyAlignment="1">
      <alignment horizontal="left" vertical="center" wrapText="1"/>
    </xf>
    <xf numFmtId="4" fontId="48" fillId="0" borderId="8" xfId="0" applyNumberFormat="1" applyFont="1" applyBorder="1" applyAlignment="1">
      <alignment horizontal="right"/>
    </xf>
    <xf numFmtId="4" fontId="49" fillId="0" borderId="2" xfId="0" applyNumberFormat="1" applyFont="1" applyBorder="1"/>
    <xf numFmtId="2" fontId="35" fillId="0" borderId="0" xfId="0" applyNumberFormat="1" applyFont="1" applyAlignment="1">
      <alignment vertical="top" wrapText="1"/>
    </xf>
    <xf numFmtId="4" fontId="48" fillId="0" borderId="4" xfId="0" applyNumberFormat="1" applyFont="1" applyBorder="1" applyAlignment="1">
      <alignment vertical="center"/>
    </xf>
    <xf numFmtId="4" fontId="48" fillId="0" borderId="5" xfId="0" applyNumberFormat="1" applyFont="1" applyBorder="1" applyAlignment="1">
      <alignment horizontal="right" vertical="center"/>
    </xf>
    <xf numFmtId="4" fontId="48" fillId="0" borderId="8" xfId="0" applyNumberFormat="1" applyFont="1" applyBorder="1" applyAlignment="1">
      <alignment horizontal="right" vertical="center"/>
    </xf>
    <xf numFmtId="0" fontId="118" fillId="0" borderId="0" xfId="0" applyFont="1"/>
    <xf numFmtId="2" fontId="49" fillId="0" borderId="0" xfId="0" applyNumberFormat="1" applyFont="1" applyAlignment="1">
      <alignment horizontal="left" vertical="center"/>
    </xf>
    <xf numFmtId="4" fontId="48" fillId="0" borderId="4" xfId="0" applyNumberFormat="1" applyFont="1" applyBorder="1" applyAlignment="1">
      <alignment horizontal="right"/>
    </xf>
    <xf numFmtId="2" fontId="48" fillId="0" borderId="3" xfId="0" applyNumberFormat="1" applyFont="1" applyBorder="1" applyAlignment="1">
      <alignment vertical="center"/>
    </xf>
    <xf numFmtId="2" fontId="48" fillId="0" borderId="4" xfId="0" applyNumberFormat="1" applyFont="1" applyBorder="1" applyAlignment="1">
      <alignment horizontal="justify" vertical="center"/>
    </xf>
    <xf numFmtId="0" fontId="49" fillId="0" borderId="4" xfId="0" applyFont="1" applyBorder="1" applyAlignment="1">
      <alignment vertical="center"/>
    </xf>
    <xf numFmtId="4" fontId="49" fillId="0" borderId="4" xfId="0" applyNumberFormat="1" applyFont="1" applyBorder="1" applyAlignment="1">
      <alignment vertical="center"/>
    </xf>
    <xf numFmtId="4" fontId="48" fillId="0" borderId="8" xfId="0" applyNumberFormat="1" applyFont="1" applyBorder="1" applyAlignment="1">
      <alignment vertical="center"/>
    </xf>
    <xf numFmtId="2" fontId="48" fillId="0" borderId="4" xfId="0" applyNumberFormat="1" applyFont="1" applyBorder="1" applyAlignment="1">
      <alignment horizontal="left"/>
    </xf>
    <xf numFmtId="1" fontId="48" fillId="0" borderId="3" xfId="0" applyNumberFormat="1" applyFont="1" applyBorder="1" applyAlignment="1">
      <alignment vertical="center"/>
    </xf>
    <xf numFmtId="2" fontId="48" fillId="0" borderId="4" xfId="0" applyNumberFormat="1" applyFont="1" applyBorder="1" applyAlignment="1">
      <alignment horizontal="left" vertical="center"/>
    </xf>
    <xf numFmtId="0" fontId="92" fillId="0" borderId="4" xfId="0" applyFont="1" applyBorder="1" applyAlignment="1">
      <alignment vertical="center"/>
    </xf>
    <xf numFmtId="2" fontId="48" fillId="0" borderId="5" xfId="0" applyNumberFormat="1" applyFont="1" applyBorder="1" applyAlignment="1">
      <alignment horizontal="right" vertical="center"/>
    </xf>
    <xf numFmtId="4" fontId="91" fillId="0" borderId="8" xfId="0" applyNumberFormat="1" applyFont="1" applyBorder="1" applyAlignment="1">
      <alignment vertical="center"/>
    </xf>
    <xf numFmtId="0" fontId="49" fillId="0" borderId="4" xfId="0" applyFont="1" applyBorder="1" applyAlignment="1">
      <alignment horizontal="right" vertical="center" wrapText="1"/>
    </xf>
    <xf numFmtId="4" fontId="49" fillId="0" borderId="4" xfId="0" applyNumberFormat="1" applyFont="1" applyBorder="1" applyAlignment="1">
      <alignment horizontal="right" vertical="center"/>
    </xf>
    <xf numFmtId="0" fontId="48" fillId="0" borderId="3" xfId="0" applyFont="1" applyBorder="1" applyAlignment="1">
      <alignment vertical="center"/>
    </xf>
    <xf numFmtId="0" fontId="48" fillId="0" borderId="4" xfId="0" applyFont="1" applyBorder="1" applyAlignment="1">
      <alignment vertical="center"/>
    </xf>
    <xf numFmtId="2" fontId="79" fillId="0" borderId="3" xfId="0" applyNumberFormat="1" applyFont="1" applyBorder="1" applyAlignment="1">
      <alignment vertical="center"/>
    </xf>
    <xf numFmtId="2" fontId="79" fillId="0" borderId="4" xfId="0" applyNumberFormat="1" applyFont="1" applyBorder="1" applyAlignment="1">
      <alignment horizontal="justify" vertical="center"/>
    </xf>
    <xf numFmtId="0" fontId="78" fillId="0" borderId="4" xfId="0" applyFont="1" applyBorder="1" applyAlignment="1">
      <alignment vertical="center"/>
    </xf>
    <xf numFmtId="4" fontId="78" fillId="0" borderId="4" xfId="0" applyNumberFormat="1" applyFont="1" applyBorder="1" applyAlignment="1">
      <alignment vertical="center"/>
    </xf>
    <xf numFmtId="4" fontId="79" fillId="0" borderId="5" xfId="0" applyNumberFormat="1" applyFont="1" applyBorder="1" applyAlignment="1">
      <alignment horizontal="right" vertical="center"/>
    </xf>
    <xf numFmtId="4" fontId="79" fillId="0" borderId="8" xfId="0" applyNumberFormat="1" applyFont="1" applyBorder="1" applyAlignment="1">
      <alignment vertical="center"/>
    </xf>
    <xf numFmtId="2" fontId="48" fillId="0" borderId="3" xfId="0" applyNumberFormat="1" applyFont="1" applyBorder="1" applyAlignment="1">
      <alignment horizontal="left" vertical="center"/>
    </xf>
    <xf numFmtId="0" fontId="83" fillId="0" borderId="0" xfId="0" applyFont="1" applyAlignment="1">
      <alignment horizontal="left" vertical="center" wrapText="1"/>
    </xf>
    <xf numFmtId="0" fontId="14" fillId="0" borderId="0" xfId="0" applyFont="1" applyAlignment="1">
      <alignment wrapText="1"/>
    </xf>
    <xf numFmtId="2" fontId="48" fillId="0" borderId="4" xfId="0" applyNumberFormat="1" applyFont="1" applyBorder="1" applyAlignment="1">
      <alignment horizontal="justify" vertical="center" wrapText="1"/>
    </xf>
    <xf numFmtId="4" fontId="4" fillId="4" borderId="0" xfId="0" applyNumberFormat="1" applyFont="1" applyFill="1"/>
    <xf numFmtId="4" fontId="4" fillId="4" borderId="0" xfId="0" applyNumberFormat="1" applyFont="1" applyFill="1" applyAlignment="1">
      <alignment horizontal="right"/>
    </xf>
    <xf numFmtId="0" fontId="49" fillId="0" borderId="0" xfId="0" applyFont="1" applyAlignment="1">
      <alignment horizontal="justify" wrapText="1"/>
    </xf>
    <xf numFmtId="0" fontId="49" fillId="0" borderId="0" xfId="0" applyFont="1" applyAlignment="1">
      <alignment horizontal="right" wrapText="1" indent="1"/>
    </xf>
    <xf numFmtId="0" fontId="48" fillId="0" borderId="0" xfId="0" applyFont="1" applyAlignment="1">
      <alignment horizontal="right" wrapText="1" indent="1"/>
    </xf>
    <xf numFmtId="2" fontId="119" fillId="0" borderId="0" xfId="0" applyNumberFormat="1" applyFont="1" applyAlignment="1">
      <alignment horizontal="right"/>
    </xf>
    <xf numFmtId="2" fontId="49" fillId="0" borderId="0" xfId="0" applyNumberFormat="1" applyFont="1" applyAlignment="1">
      <alignment horizontal="justify" vertical="top"/>
    </xf>
    <xf numFmtId="4" fontId="93" fillId="0" borderId="0" xfId="0" applyNumberFormat="1" applyFont="1" applyAlignment="1">
      <alignment horizontal="right"/>
    </xf>
    <xf numFmtId="2" fontId="49" fillId="0" borderId="2" xfId="0" applyNumberFormat="1" applyFont="1" applyBorder="1" applyAlignment="1">
      <alignment horizontal="right"/>
    </xf>
    <xf numFmtId="4" fontId="66" fillId="0" borderId="2" xfId="0" applyNumberFormat="1" applyFont="1" applyBorder="1" applyAlignment="1" applyProtection="1">
      <alignment horizontal="right"/>
      <protection locked="0"/>
    </xf>
    <xf numFmtId="49" fontId="49" fillId="0" borderId="0" xfId="0" applyNumberFormat="1" applyFont="1" applyAlignment="1">
      <alignment horizontal="center" vertical="top" wrapText="1"/>
    </xf>
    <xf numFmtId="1" fontId="49" fillId="0" borderId="0" xfId="0" applyNumberFormat="1" applyFont="1" applyAlignment="1">
      <alignment horizontal="right" vertical="center"/>
    </xf>
    <xf numFmtId="4" fontId="121" fillId="0" borderId="0" xfId="0" applyNumberFormat="1" applyFont="1" applyAlignment="1">
      <alignment horizontal="right" vertical="center"/>
    </xf>
    <xf numFmtId="4" fontId="121" fillId="0" borderId="0" xfId="0" applyNumberFormat="1" applyFont="1" applyAlignment="1">
      <alignment horizontal="right"/>
    </xf>
    <xf numFmtId="49" fontId="49" fillId="0" borderId="0" xfId="0" applyNumberFormat="1" applyFont="1" applyAlignment="1">
      <alignment horizontal="center" wrapText="1"/>
    </xf>
    <xf numFmtId="4" fontId="122" fillId="0" borderId="2" xfId="0" applyNumberFormat="1" applyFont="1" applyBorder="1" applyAlignment="1">
      <alignment horizontal="right"/>
    </xf>
    <xf numFmtId="0" fontId="79" fillId="0" borderId="0" xfId="0" applyFont="1" applyAlignment="1">
      <alignment horizontal="justify" vertical="top" wrapText="1"/>
    </xf>
    <xf numFmtId="0" fontId="123" fillId="0" borderId="0" xfId="0" applyFont="1" applyAlignment="1">
      <alignment vertical="top"/>
    </xf>
    <xf numFmtId="0" fontId="123" fillId="0" borderId="0" xfId="0" applyFont="1" applyAlignment="1">
      <alignment horizontal="center" vertical="top"/>
    </xf>
    <xf numFmtId="0" fontId="124" fillId="0" borderId="0" xfId="0" applyFont="1" applyAlignment="1">
      <alignment vertical="center"/>
    </xf>
    <xf numFmtId="0" fontId="124" fillId="0" borderId="0" xfId="0" applyFont="1" applyAlignment="1">
      <alignment horizontal="center" vertical="center" wrapText="1"/>
    </xf>
    <xf numFmtId="0" fontId="78" fillId="0" borderId="0" xfId="0" applyFont="1" applyAlignment="1">
      <alignment horizontal="right" vertical="justify"/>
    </xf>
    <xf numFmtId="0" fontId="0" fillId="0" borderId="0" xfId="0" applyAlignment="1">
      <alignment vertical="center" wrapText="1"/>
    </xf>
    <xf numFmtId="2" fontId="0" fillId="0" borderId="0" xfId="0" applyNumberFormat="1" applyAlignment="1">
      <alignment vertical="center" wrapText="1"/>
    </xf>
    <xf numFmtId="3" fontId="52" fillId="0" borderId="0" xfId="0" applyNumberFormat="1" applyFont="1" applyAlignment="1">
      <alignment horizontal="right" vertical="center"/>
    </xf>
    <xf numFmtId="2" fontId="0" fillId="0" borderId="0" xfId="0" applyNumberFormat="1" applyAlignment="1">
      <alignment wrapText="1"/>
    </xf>
    <xf numFmtId="3" fontId="52" fillId="0" borderId="0" xfId="0" applyNumberFormat="1" applyFont="1" applyAlignment="1">
      <alignment horizontal="right" vertical="top"/>
    </xf>
    <xf numFmtId="0" fontId="49" fillId="0" borderId="0" xfId="0" applyFont="1" applyAlignment="1">
      <alignment horizontal="center" vertical="top"/>
    </xf>
    <xf numFmtId="2" fontId="101" fillId="0" borderId="0" xfId="0" applyNumberFormat="1" applyFont="1" applyAlignment="1">
      <alignment horizontal="right"/>
    </xf>
    <xf numFmtId="3" fontId="101" fillId="0" borderId="0" xfId="0" applyNumberFormat="1" applyFont="1" applyAlignment="1">
      <alignment horizontal="right" vertical="top"/>
    </xf>
    <xf numFmtId="3" fontId="49" fillId="0" borderId="0" xfId="0" applyNumberFormat="1" applyFont="1" applyAlignment="1">
      <alignment horizontal="right" vertical="top"/>
    </xf>
    <xf numFmtId="1" fontId="49" fillId="0" borderId="14" xfId="0" applyNumberFormat="1" applyFont="1" applyBorder="1" applyAlignment="1">
      <alignment horizontal="right"/>
    </xf>
    <xf numFmtId="4" fontId="93" fillId="0" borderId="0" xfId="0" applyNumberFormat="1" applyFont="1"/>
    <xf numFmtId="1" fontId="49" fillId="0" borderId="2" xfId="0" applyNumberFormat="1" applyFont="1" applyBorder="1" applyAlignment="1">
      <alignment horizontal="right"/>
    </xf>
    <xf numFmtId="0" fontId="49" fillId="0" borderId="0" xfId="0" applyFont="1" applyAlignment="1">
      <alignment horizontal="right" vertical="top" wrapText="1" indent="1"/>
    </xf>
    <xf numFmtId="4" fontId="104" fillId="0" borderId="0" xfId="0" applyNumberFormat="1" applyFont="1" applyAlignment="1">
      <alignment horizontal="right"/>
    </xf>
    <xf numFmtId="4" fontId="105" fillId="0" borderId="0" xfId="0" applyNumberFormat="1" applyFont="1" applyAlignment="1">
      <alignment horizontal="right" vertical="top" wrapText="1"/>
    </xf>
    <xf numFmtId="4" fontId="105" fillId="0" borderId="0" xfId="0" applyNumberFormat="1" applyFont="1" applyAlignment="1">
      <alignment horizontal="right"/>
    </xf>
    <xf numFmtId="4" fontId="106" fillId="0" borderId="0" xfId="0" applyNumberFormat="1" applyFont="1" applyAlignment="1">
      <alignment horizontal="right"/>
    </xf>
    <xf numFmtId="4" fontId="105" fillId="0" borderId="0" xfId="0" applyNumberFormat="1" applyFont="1" applyAlignment="1">
      <alignment horizontal="right" vertical="top"/>
    </xf>
    <xf numFmtId="4" fontId="107" fillId="0" borderId="0" xfId="0" applyNumberFormat="1" applyFont="1" applyAlignment="1">
      <alignment horizontal="right"/>
    </xf>
    <xf numFmtId="4" fontId="108" fillId="0" borderId="0" xfId="0" applyNumberFormat="1" applyFont="1" applyAlignment="1">
      <alignment horizontal="left"/>
    </xf>
    <xf numFmtId="4" fontId="108" fillId="0" borderId="0" xfId="0" applyNumberFormat="1" applyFont="1" applyAlignment="1">
      <alignment horizontal="right"/>
    </xf>
    <xf numFmtId="4" fontId="105" fillId="0" borderId="4" xfId="0" applyNumberFormat="1" applyFont="1" applyBorder="1" applyAlignment="1">
      <alignment horizontal="right"/>
    </xf>
    <xf numFmtId="4" fontId="104" fillId="0" borderId="0" xfId="0" applyNumberFormat="1" applyFont="1"/>
    <xf numFmtId="0" fontId="77" fillId="0" borderId="0" xfId="0" applyFont="1" applyAlignment="1">
      <alignment horizontal="right" wrapText="1"/>
    </xf>
    <xf numFmtId="4" fontId="112" fillId="0" borderId="0" xfId="0" applyNumberFormat="1" applyFont="1"/>
    <xf numFmtId="0" fontId="127" fillId="0" borderId="0" xfId="0" applyFont="1" applyAlignment="1">
      <alignment horizontal="left" vertical="top" wrapText="1"/>
    </xf>
    <xf numFmtId="4" fontId="77" fillId="0" borderId="0" xfId="0" applyNumberFormat="1" applyFont="1" applyProtection="1">
      <protection locked="0"/>
    </xf>
    <xf numFmtId="0" fontId="78" fillId="0" borderId="0" xfId="0" applyFont="1" applyAlignment="1">
      <alignment horizontal="right" vertical="top" wrapText="1"/>
    </xf>
    <xf numFmtId="49" fontId="77" fillId="0" borderId="0" xfId="0" applyNumberFormat="1" applyFont="1" applyAlignment="1">
      <alignment horizontal="justify" vertical="center" wrapText="1"/>
    </xf>
    <xf numFmtId="0" fontId="112" fillId="0" borderId="0" xfId="0" applyFont="1" applyAlignment="1">
      <alignment horizontal="left" vertical="center" wrapText="1"/>
    </xf>
    <xf numFmtId="0" fontId="77" fillId="0" borderId="0" xfId="0" applyFont="1" applyAlignment="1">
      <alignment horizontal="right" vertical="center" wrapText="1"/>
    </xf>
    <xf numFmtId="4" fontId="77" fillId="0" borderId="0" xfId="0" applyNumberFormat="1" applyFont="1" applyAlignment="1">
      <alignment vertical="center"/>
    </xf>
    <xf numFmtId="0" fontId="77" fillId="0" borderId="0" xfId="0" applyFont="1" applyAlignment="1">
      <alignment horizontal="left" vertical="center" wrapText="1"/>
    </xf>
    <xf numFmtId="0" fontId="77" fillId="0" borderId="0" xfId="0" applyFont="1" applyAlignment="1">
      <alignment horizontal="justify" vertical="center" wrapText="1"/>
    </xf>
    <xf numFmtId="0" fontId="77" fillId="0" borderId="0" xfId="0" applyFont="1" applyAlignment="1">
      <alignment horizontal="left" vertical="center"/>
    </xf>
    <xf numFmtId="4" fontId="77" fillId="0" borderId="0" xfId="0" applyNumberFormat="1" applyFont="1" applyAlignment="1">
      <alignment horizontal="right" vertical="center"/>
    </xf>
    <xf numFmtId="4" fontId="128" fillId="0" borderId="0" xfId="0" applyNumberFormat="1" applyFont="1" applyAlignment="1">
      <alignment horizontal="right" vertical="center"/>
    </xf>
    <xf numFmtId="2" fontId="66" fillId="0" borderId="0" xfId="0" applyNumberFormat="1" applyFont="1" applyAlignment="1">
      <alignment horizontal="right" vertical="center" wrapText="1"/>
    </xf>
    <xf numFmtId="4" fontId="77" fillId="0" borderId="0" xfId="0" applyNumberFormat="1" applyFont="1" applyAlignment="1" applyProtection="1">
      <alignment vertical="center"/>
      <protection locked="0"/>
    </xf>
    <xf numFmtId="4" fontId="112" fillId="0" borderId="0" xfId="0" applyNumberFormat="1" applyFont="1" applyAlignment="1">
      <alignment vertical="center"/>
    </xf>
    <xf numFmtId="0" fontId="132" fillId="0" borderId="0" xfId="0" applyFont="1" applyAlignment="1">
      <alignment horizontal="right" wrapText="1"/>
    </xf>
    <xf numFmtId="1" fontId="49" fillId="0" borderId="0" xfId="0" applyNumberFormat="1" applyFont="1" applyAlignment="1">
      <alignment wrapText="1"/>
    </xf>
    <xf numFmtId="4" fontId="49" fillId="0" borderId="0" xfId="0" applyNumberFormat="1" applyFont="1" applyAlignment="1" applyProtection="1">
      <alignment wrapText="1"/>
      <protection locked="0"/>
    </xf>
    <xf numFmtId="4" fontId="51" fillId="0" borderId="0" xfId="0" applyNumberFormat="1" applyFont="1" applyAlignment="1" applyProtection="1">
      <alignment wrapText="1"/>
      <protection locked="0"/>
    </xf>
    <xf numFmtId="4" fontId="51" fillId="0" borderId="0" xfId="0" applyNumberFormat="1" applyFont="1" applyAlignment="1">
      <alignment wrapText="1"/>
    </xf>
    <xf numFmtId="4" fontId="51" fillId="0" borderId="0" xfId="0" applyNumberFormat="1" applyFont="1" applyAlignment="1" applyProtection="1">
      <alignment horizontal="right" wrapText="1"/>
      <protection locked="0"/>
    </xf>
    <xf numFmtId="4" fontId="48" fillId="0" borderId="0" xfId="0" applyNumberFormat="1" applyFont="1" applyAlignment="1">
      <alignment horizontal="right" wrapText="1"/>
    </xf>
    <xf numFmtId="1" fontId="49" fillId="0" borderId="0" xfId="0" applyNumberFormat="1" applyFont="1" applyAlignment="1">
      <alignment horizontal="right" wrapText="1"/>
    </xf>
    <xf numFmtId="4" fontId="51" fillId="0" borderId="0" xfId="0" applyNumberFormat="1" applyFont="1" applyAlignment="1">
      <alignment horizontal="right" wrapText="1"/>
    </xf>
    <xf numFmtId="2" fontId="132" fillId="0" borderId="0" xfId="0" applyNumberFormat="1" applyFont="1" applyAlignment="1">
      <alignment horizontal="right" vertical="top" wrapText="1"/>
    </xf>
    <xf numFmtId="0" fontId="1" fillId="0" borderId="0" xfId="0" applyFont="1" applyAlignment="1">
      <alignment horizontal="center" vertical="top"/>
    </xf>
    <xf numFmtId="4" fontId="49" fillId="0" borderId="0" xfId="0" applyNumberFormat="1" applyFont="1" applyAlignment="1" applyProtection="1">
      <alignment horizontal="right" vertical="top"/>
      <protection locked="0"/>
    </xf>
    <xf numFmtId="0" fontId="51" fillId="0" borderId="0" xfId="0" applyFont="1" applyAlignment="1">
      <alignment horizontal="center" vertical="top"/>
    </xf>
    <xf numFmtId="4" fontId="81" fillId="0" borderId="0" xfId="0" applyNumberFormat="1" applyFont="1" applyAlignment="1" applyProtection="1">
      <alignment horizontal="right" vertical="top"/>
      <protection locked="0"/>
    </xf>
    <xf numFmtId="0" fontId="134" fillId="0" borderId="0" xfId="0" applyFont="1"/>
    <xf numFmtId="0" fontId="134" fillId="0" borderId="0" xfId="0" applyFont="1" applyAlignment="1">
      <alignment horizontal="left"/>
    </xf>
    <xf numFmtId="4" fontId="49" fillId="0" borderId="0" xfId="0" applyNumberFormat="1" applyFont="1" applyAlignment="1">
      <alignment horizontal="left"/>
    </xf>
    <xf numFmtId="4" fontId="48" fillId="0" borderId="0" xfId="0" applyNumberFormat="1" applyFont="1" applyAlignment="1">
      <alignment horizontal="left"/>
    </xf>
    <xf numFmtId="0" fontId="0" fillId="0" borderId="0" xfId="0" applyAlignment="1">
      <alignment vertical="center"/>
    </xf>
    <xf numFmtId="4" fontId="0" fillId="0" borderId="0" xfId="0" applyNumberFormat="1" applyAlignment="1">
      <alignment vertical="center"/>
    </xf>
    <xf numFmtId="3" fontId="0" fillId="0" borderId="0" xfId="0" applyNumberFormat="1" applyAlignment="1">
      <alignment vertical="center"/>
    </xf>
    <xf numFmtId="49" fontId="49" fillId="0" borderId="0" xfId="0" applyNumberFormat="1" applyFont="1" applyAlignment="1">
      <alignment horizontal="justify" wrapText="1"/>
    </xf>
    <xf numFmtId="4" fontId="66" fillId="0" borderId="2" xfId="0" applyNumberFormat="1" applyFont="1" applyBorder="1" applyAlignment="1">
      <alignment horizontal="right"/>
    </xf>
    <xf numFmtId="49" fontId="49" fillId="0" borderId="0" xfId="0" applyNumberFormat="1" applyFont="1" applyAlignment="1">
      <alignment horizontal="left" wrapText="1"/>
    </xf>
    <xf numFmtId="2" fontId="48" fillId="0" borderId="3" xfId="0" applyNumberFormat="1" applyFont="1" applyBorder="1"/>
    <xf numFmtId="0" fontId="92" fillId="0" borderId="4" xfId="0" applyFont="1" applyBorder="1"/>
    <xf numFmtId="4" fontId="91" fillId="0" borderId="8" xfId="0" applyNumberFormat="1" applyFont="1" applyBorder="1"/>
    <xf numFmtId="2" fontId="49" fillId="0" borderId="0" xfId="0" applyNumberFormat="1" applyFont="1"/>
    <xf numFmtId="2" fontId="49" fillId="0" borderId="6" xfId="0" applyNumberFormat="1" applyFont="1" applyBorder="1" applyAlignment="1">
      <alignment horizontal="center" vertical="top" wrapText="1"/>
    </xf>
    <xf numFmtId="2" fontId="49" fillId="0" borderId="0" xfId="0" applyNumberFormat="1" applyFont="1" applyAlignment="1">
      <alignment horizontal="center" vertical="top" wrapText="1"/>
    </xf>
    <xf numFmtId="2" fontId="88" fillId="0" borderId="0" xfId="0" applyNumberFormat="1" applyFont="1" applyAlignment="1">
      <alignment horizontal="right"/>
    </xf>
    <xf numFmtId="2" fontId="81" fillId="0" borderId="0" xfId="0" applyNumberFormat="1" applyFont="1" applyAlignment="1">
      <alignment horizontal="right" wrapText="1"/>
    </xf>
    <xf numFmtId="2" fontId="81" fillId="0" borderId="4" xfId="0" applyNumberFormat="1" applyFont="1" applyBorder="1" applyAlignment="1">
      <alignment horizontal="right" vertical="center"/>
    </xf>
    <xf numFmtId="2" fontId="14" fillId="0" borderId="0" xfId="0" applyNumberFormat="1" applyFont="1"/>
    <xf numFmtId="1" fontId="49" fillId="0" borderId="0" xfId="0" applyNumberFormat="1" applyFont="1" applyAlignment="1">
      <alignment horizontal="justify" vertical="center" wrapText="1"/>
    </xf>
    <xf numFmtId="0" fontId="48" fillId="0" borderId="0" xfId="0" applyFont="1" applyAlignment="1">
      <alignment vertical="center" wrapText="1"/>
    </xf>
    <xf numFmtId="2" fontId="95" fillId="0" borderId="0" xfId="0" applyNumberFormat="1" applyFont="1" applyAlignment="1">
      <alignment horizontal="left" vertical="top" wrapText="1"/>
    </xf>
    <xf numFmtId="2" fontId="49" fillId="0" borderId="2" xfId="0" applyNumberFormat="1" applyFont="1" applyBorder="1" applyAlignment="1">
      <alignment horizontal="right" vertical="center"/>
    </xf>
    <xf numFmtId="0" fontId="117" fillId="0" borderId="0" xfId="0" applyFont="1" applyAlignment="1">
      <alignment horizontal="right" wrapText="1"/>
    </xf>
    <xf numFmtId="2" fontId="55" fillId="0" borderId="0" xfId="0" applyNumberFormat="1" applyFont="1" applyAlignment="1">
      <alignment horizontal="right" wrapText="1"/>
    </xf>
    <xf numFmtId="2" fontId="55" fillId="0" borderId="0" xfId="0" applyNumberFormat="1" applyFont="1" applyAlignment="1">
      <alignment horizontal="right" vertical="top" wrapText="1"/>
    </xf>
    <xf numFmtId="3" fontId="48" fillId="0" borderId="0" xfId="0" applyNumberFormat="1" applyFont="1" applyAlignment="1">
      <alignment horizontal="right" vertical="center"/>
    </xf>
    <xf numFmtId="3" fontId="48" fillId="0" borderId="0" xfId="0" applyNumberFormat="1" applyFont="1" applyAlignment="1">
      <alignment horizontal="right"/>
    </xf>
    <xf numFmtId="4" fontId="49" fillId="0" borderId="0" xfId="0" applyNumberFormat="1" applyFont="1" applyAlignment="1" applyProtection="1">
      <alignment horizontal="right" wrapText="1"/>
      <protection locked="0"/>
    </xf>
    <xf numFmtId="4" fontId="55" fillId="0" borderId="0" xfId="0" applyNumberFormat="1" applyFont="1" applyAlignment="1">
      <alignment horizontal="right" wrapText="1"/>
    </xf>
    <xf numFmtId="4" fontId="55" fillId="0" borderId="0" xfId="0" applyNumberFormat="1" applyFont="1" applyAlignment="1">
      <alignment horizontal="right" vertical="top"/>
    </xf>
    <xf numFmtId="0" fontId="32" fillId="0" borderId="0" xfId="0" applyFont="1" applyAlignment="1">
      <alignment horizontal="center" vertical="top"/>
    </xf>
    <xf numFmtId="49" fontId="49" fillId="0" borderId="0" xfId="0" applyNumberFormat="1" applyFont="1" applyAlignment="1">
      <alignment horizontal="right" vertical="center" wrapText="1"/>
    </xf>
    <xf numFmtId="49" fontId="49" fillId="0" borderId="0" xfId="0" applyNumberFormat="1" applyFont="1" applyAlignment="1">
      <alignment horizontal="right" wrapText="1"/>
    </xf>
    <xf numFmtId="2" fontId="48" fillId="0" borderId="4" xfId="0" applyNumberFormat="1" applyFont="1" applyBorder="1" applyAlignment="1">
      <alignment horizontal="left" vertical="top"/>
    </xf>
    <xf numFmtId="1" fontId="49" fillId="0" borderId="4" xfId="0" applyNumberFormat="1" applyFont="1" applyBorder="1" applyAlignment="1">
      <alignment vertical="center"/>
    </xf>
    <xf numFmtId="0" fontId="52" fillId="0" borderId="0" xfId="0" applyFont="1" applyAlignment="1" applyProtection="1">
      <alignment vertical="center"/>
      <protection locked="0"/>
    </xf>
    <xf numFmtId="4" fontId="52" fillId="0" borderId="0" xfId="0" applyNumberFormat="1" applyFont="1" applyAlignment="1">
      <alignment vertical="center"/>
    </xf>
    <xf numFmtId="4" fontId="49" fillId="0" borderId="2" xfId="0" applyNumberFormat="1" applyFont="1" applyBorder="1" applyAlignment="1" applyProtection="1">
      <alignment horizontal="right" vertical="center"/>
      <protection locked="0"/>
    </xf>
    <xf numFmtId="0" fontId="137" fillId="0" borderId="0" xfId="0" applyFont="1" applyAlignment="1">
      <alignment horizontal="left" vertical="top" wrapText="1"/>
    </xf>
    <xf numFmtId="49" fontId="15" fillId="0" borderId="0" xfId="0" applyNumberFormat="1" applyFont="1" applyAlignment="1">
      <alignment horizontal="left" vertical="center" wrapText="1" indent="2"/>
    </xf>
    <xf numFmtId="0" fontId="137" fillId="0" borderId="0" xfId="0" applyFont="1" applyAlignment="1">
      <alignment vertical="top" wrapText="1"/>
    </xf>
    <xf numFmtId="4" fontId="48" fillId="0" borderId="4" xfId="0" applyNumberFormat="1" applyFont="1" applyBorder="1" applyAlignment="1">
      <alignment horizontal="right" vertical="center"/>
    </xf>
    <xf numFmtId="0" fontId="84" fillId="0" borderId="0" xfId="0" applyFont="1" applyAlignment="1">
      <alignment vertical="top"/>
    </xf>
    <xf numFmtId="4" fontId="49" fillId="0" borderId="0" xfId="1" applyNumberFormat="1" applyFont="1" applyAlignment="1">
      <alignment horizontal="right" wrapText="1"/>
    </xf>
    <xf numFmtId="0" fontId="78" fillId="0" borderId="0" xfId="0" applyFont="1" applyAlignment="1">
      <alignment vertical="top" wrapText="1"/>
    </xf>
    <xf numFmtId="2" fontId="97" fillId="0" borderId="0" xfId="0" applyNumberFormat="1" applyFont="1" applyAlignment="1">
      <alignment horizontal="left" vertical="center" wrapText="1"/>
    </xf>
    <xf numFmtId="0" fontId="0" fillId="0" borderId="0" xfId="0" applyAlignment="1">
      <alignment horizontal="left" vertical="center"/>
    </xf>
    <xf numFmtId="2" fontId="65" fillId="0" borderId="0" xfId="0" applyNumberFormat="1" applyFont="1" applyAlignment="1">
      <alignment horizontal="left" vertical="center" wrapText="1"/>
    </xf>
    <xf numFmtId="0" fontId="83" fillId="0" borderId="0" xfId="0" applyFont="1" applyAlignment="1">
      <alignment horizontal="left" vertical="center" wrapText="1"/>
    </xf>
    <xf numFmtId="2" fontId="40" fillId="0" borderId="0" xfId="0" applyNumberFormat="1" applyFont="1" applyAlignment="1">
      <alignment horizontal="left" vertical="center" wrapText="1"/>
    </xf>
    <xf numFmtId="2" fontId="35" fillId="0" borderId="0" xfId="0" applyNumberFormat="1" applyFont="1" applyAlignment="1">
      <alignment horizontal="left" vertical="top" wrapText="1"/>
    </xf>
    <xf numFmtId="0" fontId="1" fillId="0" borderId="0" xfId="0" applyFont="1" applyAlignment="1">
      <alignment horizontal="left" vertical="top" wrapText="1"/>
    </xf>
    <xf numFmtId="0" fontId="100" fillId="0" borderId="0" xfId="0" applyFont="1" applyAlignment="1">
      <alignment horizontal="left" vertical="center" wrapText="1"/>
    </xf>
    <xf numFmtId="0" fontId="43" fillId="0" borderId="0" xfId="0" applyFont="1" applyAlignment="1">
      <alignment horizontal="left" vertical="center" wrapText="1"/>
    </xf>
    <xf numFmtId="0" fontId="47" fillId="0" borderId="0" xfId="0" applyFont="1" applyAlignment="1">
      <alignment horizontal="left" vertical="center" wrapText="1"/>
    </xf>
    <xf numFmtId="0" fontId="74" fillId="0" borderId="0" xfId="0" applyFont="1" applyAlignment="1">
      <alignment horizontal="left" vertical="center" wrapText="1"/>
    </xf>
    <xf numFmtId="0" fontId="83" fillId="0" borderId="0" xfId="0" applyFont="1" applyAlignment="1">
      <alignment horizontal="left" wrapText="1"/>
    </xf>
    <xf numFmtId="0" fontId="83" fillId="0" borderId="0" xfId="0" applyFont="1" applyAlignment="1">
      <alignment horizontal="left"/>
    </xf>
    <xf numFmtId="0" fontId="74" fillId="0" borderId="0" xfId="0" applyFont="1" applyAlignment="1">
      <alignment vertical="top"/>
    </xf>
    <xf numFmtId="0" fontId="44" fillId="0" borderId="0" xfId="0" applyFont="1" applyAlignment="1">
      <alignment horizontal="left" vertical="top" wrapText="1"/>
    </xf>
    <xf numFmtId="0" fontId="76" fillId="0" borderId="0" xfId="0" applyFont="1" applyAlignment="1">
      <alignment horizontal="left" vertical="top"/>
    </xf>
    <xf numFmtId="2" fontId="66" fillId="0" borderId="0" xfId="0" applyNumberFormat="1" applyFont="1" applyAlignment="1">
      <alignment horizontal="left" vertical="top" wrapText="1"/>
    </xf>
    <xf numFmtId="0" fontId="77" fillId="0" borderId="0" xfId="0" applyFont="1" applyAlignment="1">
      <alignment horizontal="left" vertical="top" wrapText="1"/>
    </xf>
    <xf numFmtId="0" fontId="77" fillId="4" borderId="0" xfId="0" applyFont="1" applyFill="1" applyAlignment="1">
      <alignment horizontal="left" vertical="top" wrapText="1"/>
    </xf>
    <xf numFmtId="0" fontId="66" fillId="0" borderId="0" xfId="0" applyFont="1" applyAlignment="1">
      <alignment horizontal="left" vertical="top" wrapText="1"/>
    </xf>
    <xf numFmtId="0" fontId="66" fillId="4" borderId="0" xfId="0" applyFont="1" applyFill="1" applyAlignment="1">
      <alignment horizontal="left" vertical="top" wrapText="1"/>
    </xf>
    <xf numFmtId="2" fontId="55" fillId="0" borderId="0" xfId="0" applyNumberFormat="1" applyFont="1" applyAlignment="1">
      <alignment horizontal="left" vertical="top" wrapText="1"/>
    </xf>
    <xf numFmtId="2" fontId="66" fillId="0" borderId="0" xfId="0" applyNumberFormat="1" applyFont="1" applyAlignment="1">
      <alignment vertical="top" wrapText="1"/>
    </xf>
    <xf numFmtId="0" fontId="66" fillId="0" borderId="0" xfId="0" applyFont="1" applyAlignment="1">
      <alignment vertical="top" wrapText="1"/>
    </xf>
    <xf numFmtId="0" fontId="49" fillId="0" borderId="0" xfId="0" applyFont="1" applyAlignment="1">
      <alignment horizontal="justify" vertical="top" wrapText="1"/>
    </xf>
    <xf numFmtId="0" fontId="49" fillId="0" borderId="0" xfId="0" applyFont="1" applyAlignment="1">
      <alignment horizontal="justify" vertical="top"/>
    </xf>
    <xf numFmtId="0" fontId="48" fillId="0" borderId="16" xfId="0" applyFont="1" applyBorder="1" applyAlignment="1">
      <alignment horizontal="center"/>
    </xf>
    <xf numFmtId="0" fontId="48" fillId="0" borderId="17" xfId="0" applyFont="1" applyBorder="1" applyAlignment="1">
      <alignment horizontal="center"/>
    </xf>
    <xf numFmtId="0" fontId="48" fillId="0" borderId="18" xfId="0" applyFont="1" applyBorder="1" applyAlignment="1">
      <alignment horizontal="center"/>
    </xf>
    <xf numFmtId="0" fontId="68" fillId="0" borderId="1" xfId="0" applyFont="1" applyBorder="1" applyAlignment="1">
      <alignment horizontal="left"/>
    </xf>
    <xf numFmtId="0" fontId="49" fillId="0" borderId="17" xfId="0" applyFont="1" applyBorder="1"/>
    <xf numFmtId="0" fontId="38" fillId="0" borderId="1" xfId="0" applyFont="1" applyBorder="1" applyAlignment="1">
      <alignment horizontal="left"/>
    </xf>
    <xf numFmtId="0" fontId="40" fillId="0" borderId="1" xfId="0" applyFont="1" applyBorder="1" applyAlignment="1">
      <alignment horizontal="left"/>
    </xf>
    <xf numFmtId="0" fontId="78" fillId="0" borderId="0" xfId="0" applyFont="1" applyAlignment="1">
      <alignment horizontal="justify" vertical="top" wrapText="1"/>
    </xf>
    <xf numFmtId="0" fontId="78" fillId="0" borderId="0" xfId="0" applyFont="1" applyAlignment="1">
      <alignment horizontal="justify" vertical="top"/>
    </xf>
    <xf numFmtId="0" fontId="78" fillId="0" borderId="0" xfId="0" applyFont="1" applyAlignment="1">
      <alignment horizontal="left" vertical="top" wrapText="1"/>
    </xf>
    <xf numFmtId="0" fontId="49" fillId="0" borderId="6" xfId="0" applyFont="1" applyBorder="1"/>
    <xf numFmtId="0" fontId="49" fillId="0" borderId="0" xfId="0" applyFont="1" applyAlignment="1">
      <alignment vertical="top" wrapText="1"/>
    </xf>
    <xf numFmtId="0" fontId="32" fillId="0" borderId="0" xfId="0" applyFont="1" applyAlignment="1">
      <alignment wrapText="1"/>
    </xf>
    <xf numFmtId="0" fontId="49" fillId="4" borderId="0" xfId="0" applyFont="1" applyFill="1" applyAlignment="1">
      <alignment horizontal="justify" vertical="top"/>
    </xf>
    <xf numFmtId="0" fontId="49" fillId="0" borderId="2" xfId="0" applyFont="1" applyBorder="1"/>
    <xf numFmtId="0" fontId="49" fillId="0" borderId="0" xfId="0" applyFont="1" applyAlignment="1">
      <alignment wrapText="1"/>
    </xf>
    <xf numFmtId="0" fontId="19" fillId="0" borderId="0" xfId="0" applyFont="1" applyAlignment="1">
      <alignment horizontal="center" wrapText="1"/>
    </xf>
    <xf numFmtId="0" fontId="19" fillId="0" borderId="0" xfId="0" applyFont="1" applyAlignment="1">
      <alignment horizontal="center"/>
    </xf>
    <xf numFmtId="0" fontId="49" fillId="0" borderId="0" xfId="0" applyFont="1" applyAlignment="1">
      <alignment horizontal="left" vertical="top" wrapText="1"/>
    </xf>
    <xf numFmtId="0" fontId="48" fillId="0" borderId="0" xfId="0" applyFont="1" applyAlignment="1">
      <alignment horizontal="left" vertical="top" wrapText="1"/>
    </xf>
    <xf numFmtId="0" fontId="46" fillId="0" borderId="16" xfId="0" applyFont="1" applyBorder="1" applyAlignment="1">
      <alignment horizontal="center"/>
    </xf>
    <xf numFmtId="0" fontId="46" fillId="0" borderId="17" xfId="0" applyFont="1" applyBorder="1" applyAlignment="1">
      <alignment horizontal="center"/>
    </xf>
    <xf numFmtId="0" fontId="46" fillId="0" borderId="18" xfId="0" applyFont="1" applyBorder="1" applyAlignment="1">
      <alignment horizontal="center"/>
    </xf>
    <xf numFmtId="0" fontId="51" fillId="0" borderId="17" xfId="0" applyFont="1" applyBorder="1"/>
    <xf numFmtId="0" fontId="50" fillId="0" borderId="0" xfId="0" applyFont="1" applyAlignment="1">
      <alignment horizontal="left" vertical="top" wrapText="1"/>
    </xf>
    <xf numFmtId="0" fontId="40" fillId="0" borderId="0" xfId="0" applyFont="1" applyAlignment="1">
      <alignment horizontal="left" vertical="top" wrapText="1"/>
    </xf>
    <xf numFmtId="0" fontId="49" fillId="0" borderId="0" xfId="0" applyFont="1" applyAlignment="1">
      <alignment horizontal="left" vertical="top"/>
    </xf>
    <xf numFmtId="0" fontId="48" fillId="0" borderId="0" xfId="0" applyFont="1" applyAlignment="1">
      <alignment vertical="top" wrapText="1"/>
    </xf>
    <xf numFmtId="0" fontId="98" fillId="0" borderId="0" xfId="0" applyFont="1" applyAlignment="1">
      <alignment wrapText="1"/>
    </xf>
    <xf numFmtId="0" fontId="76" fillId="4" borderId="0" xfId="0" applyFont="1" applyFill="1" applyAlignment="1">
      <alignment horizontal="left" vertical="top"/>
    </xf>
    <xf numFmtId="0" fontId="32" fillId="4" borderId="0" xfId="0" applyFont="1" applyFill="1" applyAlignment="1">
      <alignment wrapText="1"/>
    </xf>
    <xf numFmtId="0" fontId="32" fillId="0" borderId="0" xfId="0" applyFont="1"/>
    <xf numFmtId="0" fontId="76" fillId="0" borderId="0" xfId="0" applyFont="1" applyAlignment="1">
      <alignment horizontal="left" vertical="top" wrapText="1"/>
    </xf>
    <xf numFmtId="0" fontId="32" fillId="0" borderId="0" xfId="0" applyFont="1" applyAlignment="1">
      <alignment horizontal="left" vertical="top" wrapText="1"/>
    </xf>
    <xf numFmtId="0" fontId="76" fillId="0" borderId="0" xfId="0" applyFont="1"/>
    <xf numFmtId="0" fontId="76" fillId="4" borderId="0" xfId="0" applyFont="1" applyFill="1"/>
    <xf numFmtId="0" fontId="49" fillId="0" borderId="0" xfId="0" applyFont="1"/>
    <xf numFmtId="4" fontId="14" fillId="0" borderId="0" xfId="0" applyNumberFormat="1" applyFont="1" applyFill="1"/>
  </cellXfs>
  <cellStyles count="50">
    <cellStyle name="Comma 2" xfId="16" xr:uid="{00000000-0005-0000-0000-000001000000}"/>
    <cellStyle name="Comma 2 2" xfId="2" xr:uid="{00000000-0005-0000-0000-000002000000}"/>
    <cellStyle name="Currency 2" xfId="3" xr:uid="{00000000-0005-0000-0000-000003000000}"/>
    <cellStyle name="Currency 2 2" xfId="17" xr:uid="{00000000-0005-0000-0000-000004000000}"/>
    <cellStyle name="Currency 2 2 2" xfId="18" xr:uid="{00000000-0005-0000-0000-000005000000}"/>
    <cellStyle name="Currency 2 2 3" xfId="19" xr:uid="{00000000-0005-0000-0000-000006000000}"/>
    <cellStyle name="Currency 2 3" xfId="20" xr:uid="{00000000-0005-0000-0000-000007000000}"/>
    <cellStyle name="Currency 2 3 2" xfId="21" xr:uid="{00000000-0005-0000-0000-000008000000}"/>
    <cellStyle name="Currency 2 3 3" xfId="22" xr:uid="{00000000-0005-0000-0000-000009000000}"/>
    <cellStyle name="Currency 2 4" xfId="23" xr:uid="{00000000-0005-0000-0000-00000A000000}"/>
    <cellStyle name="Currency 2 5" xfId="24" xr:uid="{00000000-0005-0000-0000-00000B000000}"/>
    <cellStyle name="Currency 2 6" xfId="25" xr:uid="{00000000-0005-0000-0000-00000C000000}"/>
    <cellStyle name="Currency 2 7" xfId="26" xr:uid="{00000000-0005-0000-0000-00000D000000}"/>
    <cellStyle name="Currency 3" xfId="4" xr:uid="{00000000-0005-0000-0000-00000E000000}"/>
    <cellStyle name="Currency 3 2" xfId="27" xr:uid="{00000000-0005-0000-0000-00000F000000}"/>
    <cellStyle name="Currency 3 2 2" xfId="28" xr:uid="{00000000-0005-0000-0000-000010000000}"/>
    <cellStyle name="Currency 3 2 3" xfId="29" xr:uid="{00000000-0005-0000-0000-000011000000}"/>
    <cellStyle name="Currency 3 3" xfId="30" xr:uid="{00000000-0005-0000-0000-000012000000}"/>
    <cellStyle name="Currency 3 3 2" xfId="31" xr:uid="{00000000-0005-0000-0000-000013000000}"/>
    <cellStyle name="Currency 3 3 3" xfId="32" xr:uid="{00000000-0005-0000-0000-000014000000}"/>
    <cellStyle name="Currency 3 4" xfId="33" xr:uid="{00000000-0005-0000-0000-000015000000}"/>
    <cellStyle name="Currency 3 5" xfId="34" xr:uid="{00000000-0005-0000-0000-000016000000}"/>
    <cellStyle name="Currency 3 6" xfId="35" xr:uid="{00000000-0005-0000-0000-000017000000}"/>
    <cellStyle name="Currency 3 7" xfId="36" xr:uid="{00000000-0005-0000-0000-000018000000}"/>
    <cellStyle name="Hiperveza" xfId="5" builtinId="8"/>
    <cellStyle name="Normal 10 2" xfId="37" xr:uid="{00000000-0005-0000-0000-00001B000000}"/>
    <cellStyle name="Normal 10 2 2 2" xfId="38" xr:uid="{00000000-0005-0000-0000-00001C000000}"/>
    <cellStyle name="Normal 11" xfId="6" xr:uid="{00000000-0005-0000-0000-00001D000000}"/>
    <cellStyle name="Normal 12" xfId="7" xr:uid="{00000000-0005-0000-0000-00001E000000}"/>
    <cellStyle name="Normal 2" xfId="8" xr:uid="{00000000-0005-0000-0000-00001F000000}"/>
    <cellStyle name="Normal 2 2" xfId="9" xr:uid="{00000000-0005-0000-0000-000020000000}"/>
    <cellStyle name="Normal 2 2 2" xfId="39" xr:uid="{00000000-0005-0000-0000-000021000000}"/>
    <cellStyle name="Normal 2 3" xfId="10" xr:uid="{00000000-0005-0000-0000-000022000000}"/>
    <cellStyle name="Normal 2 6" xfId="11" xr:uid="{00000000-0005-0000-0000-000023000000}"/>
    <cellStyle name="Normal 3" xfId="12" xr:uid="{00000000-0005-0000-0000-000024000000}"/>
    <cellStyle name="Normal 3 2" xfId="40" xr:uid="{00000000-0005-0000-0000-000025000000}"/>
    <cellStyle name="Normal 4" xfId="41" xr:uid="{00000000-0005-0000-0000-000026000000}"/>
    <cellStyle name="Normal 5" xfId="13" xr:uid="{00000000-0005-0000-0000-000027000000}"/>
    <cellStyle name="Normalno" xfId="0" builtinId="0"/>
    <cellStyle name="Normalno 2" xfId="14" xr:uid="{00000000-0005-0000-0000-000028000000}"/>
    <cellStyle name="Normalno 2 2" xfId="42" xr:uid="{00000000-0005-0000-0000-000029000000}"/>
    <cellStyle name="Normalno 3" xfId="43" xr:uid="{00000000-0005-0000-0000-00002A000000}"/>
    <cellStyle name="Normalno 5" xfId="44" xr:uid="{00000000-0005-0000-0000-00002B000000}"/>
    <cellStyle name="Obično 2" xfId="45" xr:uid="{00000000-0005-0000-0000-00002C000000}"/>
    <cellStyle name="Obično_tablica materijala 3" xfId="46" xr:uid="{00000000-0005-0000-0000-00002D000000}"/>
    <cellStyle name="Stil 1" xfId="15" xr:uid="{00000000-0005-0000-0000-00002E000000}"/>
    <cellStyle name="Style 1" xfId="47" xr:uid="{00000000-0005-0000-0000-00002F000000}"/>
    <cellStyle name="Zarez" xfId="1" builtinId="3"/>
    <cellStyle name="Zarez 2" xfId="48" xr:uid="{00000000-0005-0000-0000-000030000000}"/>
    <cellStyle name="Zarez 3" xfId="49"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1</xdr:col>
      <xdr:colOff>1247775</xdr:colOff>
      <xdr:row>6</xdr:row>
      <xdr:rowOff>152400</xdr:rowOff>
    </xdr:to>
    <xdr:pic>
      <xdr:nvPicPr>
        <xdr:cNvPr id="117941" name="Picture 3">
          <a:extLst>
            <a:ext uri="{FF2B5EF4-FFF2-40B4-BE49-F238E27FC236}">
              <a16:creationId xmlns:a16="http://schemas.microsoft.com/office/drawing/2014/main" id="{ACDF9686-065B-46DB-8734-1F8A7C57B9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 y="228600"/>
          <a:ext cx="2771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1393135</xdr:colOff>
      <xdr:row>31</xdr:row>
      <xdr:rowOff>180974</xdr:rowOff>
    </xdr:from>
    <xdr:to>
      <xdr:col>1</xdr:col>
      <xdr:colOff>3533775</xdr:colOff>
      <xdr:row>36</xdr:row>
      <xdr:rowOff>171449</xdr:rowOff>
    </xdr:to>
    <xdr:pic>
      <xdr:nvPicPr>
        <xdr:cNvPr id="117942" name="Picture 4">
          <a:extLst>
            <a:ext uri="{FF2B5EF4-FFF2-40B4-BE49-F238E27FC236}">
              <a16:creationId xmlns:a16="http://schemas.microsoft.com/office/drawing/2014/main" id="{3C36C1CE-CDC7-4446-BE2E-D30010E14CF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4469" b="11501"/>
        <a:stretch/>
      </xdr:blipFill>
      <xdr:spPr bwMode="auto">
        <a:xfrm>
          <a:off x="3088585" y="8020049"/>
          <a:ext cx="214064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866775</xdr:colOff>
      <xdr:row>5</xdr:row>
      <xdr:rowOff>104775</xdr:rowOff>
    </xdr:to>
    <xdr:pic>
      <xdr:nvPicPr>
        <xdr:cNvPr id="88681" name="Picture 3">
          <a:extLst>
            <a:ext uri="{FF2B5EF4-FFF2-40B4-BE49-F238E27FC236}">
              <a16:creationId xmlns:a16="http://schemas.microsoft.com/office/drawing/2014/main" id="{CC3BA8C2-F8FC-4193-BD15-EDAAD4857E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527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22860</xdr:rowOff>
    </xdr:from>
    <xdr:to>
      <xdr:col>2</xdr:col>
      <xdr:colOff>866775</xdr:colOff>
      <xdr:row>5</xdr:row>
      <xdr:rowOff>127635</xdr:rowOff>
    </xdr:to>
    <xdr:pic>
      <xdr:nvPicPr>
        <xdr:cNvPr id="42833" name="Picture 3">
          <a:extLst>
            <a:ext uri="{FF2B5EF4-FFF2-40B4-BE49-F238E27FC236}">
              <a16:creationId xmlns:a16="http://schemas.microsoft.com/office/drawing/2014/main" id="{1C375CDC-F940-44F1-80BB-7DF53D553F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2860"/>
          <a:ext cx="289369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39997558519241921"/>
  </sheetPr>
  <dimension ref="A3:E184"/>
  <sheetViews>
    <sheetView tabSelected="1" view="pageBreakPreview" topLeftCell="A13" zoomScaleNormal="90" zoomScaleSheetLayoutView="100" zoomScalePageLayoutView="90" workbookViewId="0">
      <selection activeCell="B41" sqref="B41"/>
    </sheetView>
  </sheetViews>
  <sheetFormatPr defaultRowHeight="15"/>
  <cols>
    <col min="1" max="1" width="25.42578125" customWidth="1"/>
    <col min="2" max="2" width="55.140625" customWidth="1"/>
    <col min="3" max="3" width="17.7109375" customWidth="1"/>
    <col min="4" max="4" width="22.85546875" customWidth="1"/>
    <col min="5" max="5" width="13" customWidth="1"/>
    <col min="6" max="6" width="24.42578125" customWidth="1"/>
    <col min="7" max="7" width="32.7109375" customWidth="1"/>
  </cols>
  <sheetData>
    <row r="3" spans="1:5">
      <c r="A3" s="2"/>
      <c r="B3" s="2"/>
      <c r="C3" s="2"/>
      <c r="D3" s="2"/>
      <c r="E3" s="3"/>
    </row>
    <row r="4" spans="1:5">
      <c r="A4" s="2"/>
      <c r="B4" s="2"/>
      <c r="C4" s="2"/>
      <c r="D4" s="2"/>
      <c r="E4" s="3"/>
    </row>
    <row r="5" spans="1:5">
      <c r="A5" s="2"/>
      <c r="B5" s="2"/>
      <c r="C5" s="2"/>
      <c r="D5" s="2"/>
      <c r="E5" s="3"/>
    </row>
    <row r="6" spans="1:5">
      <c r="A6" s="2"/>
      <c r="B6" s="2"/>
      <c r="C6" s="2"/>
      <c r="D6" s="2"/>
      <c r="E6" s="3"/>
    </row>
    <row r="7" spans="1:5">
      <c r="A7" s="2"/>
      <c r="B7" s="2"/>
      <c r="C7" s="2"/>
      <c r="D7" s="2"/>
      <c r="E7" s="3"/>
    </row>
    <row r="8" spans="1:5">
      <c r="A8" s="8"/>
      <c r="B8" s="2"/>
      <c r="C8" s="2"/>
      <c r="D8" s="2"/>
      <c r="E8" s="3"/>
    </row>
    <row r="9" spans="1:5" s="40" customFormat="1" ht="14.45" customHeight="1">
      <c r="A9" s="65" t="s">
        <v>0</v>
      </c>
      <c r="B9" s="615" t="s">
        <v>392</v>
      </c>
      <c r="C9" s="276"/>
      <c r="D9" s="276"/>
      <c r="E9" s="276"/>
    </row>
    <row r="10" spans="1:5" s="40" customFormat="1" ht="78" customHeight="1">
      <c r="A10" s="65"/>
      <c r="B10" s="615"/>
      <c r="C10" s="276"/>
      <c r="D10" s="183"/>
      <c r="E10" s="183"/>
    </row>
    <row r="11" spans="1:5" s="40" customFormat="1">
      <c r="A11" s="65"/>
      <c r="B11" s="486"/>
      <c r="C11" s="276"/>
      <c r="D11" s="183"/>
      <c r="E11" s="183"/>
    </row>
    <row r="12" spans="1:5" s="40" customFormat="1" ht="30">
      <c r="A12" s="80" t="s">
        <v>1</v>
      </c>
      <c r="B12" s="486" t="s">
        <v>393</v>
      </c>
      <c r="C12" s="276"/>
      <c r="D12" s="183"/>
      <c r="E12" s="183"/>
    </row>
    <row r="13" spans="1:5" s="40" customFormat="1">
      <c r="A13" s="65"/>
      <c r="B13" s="278"/>
      <c r="C13" s="281"/>
      <c r="D13" s="80"/>
      <c r="E13" s="166"/>
    </row>
    <row r="14" spans="1:5" s="40" customFormat="1" ht="30">
      <c r="A14" s="80" t="s">
        <v>2</v>
      </c>
      <c r="B14" s="404" t="s">
        <v>394</v>
      </c>
      <c r="C14" s="80"/>
      <c r="D14" s="80"/>
      <c r="E14" s="166"/>
    </row>
    <row r="15" spans="1:5" s="40" customFormat="1">
      <c r="A15" s="65"/>
      <c r="B15" s="282"/>
      <c r="C15" s="65"/>
      <c r="D15" s="65"/>
      <c r="E15" s="283"/>
    </row>
    <row r="16" spans="1:5" s="40" customFormat="1">
      <c r="A16" s="65" t="s">
        <v>3</v>
      </c>
      <c r="B16" s="285" t="s">
        <v>395</v>
      </c>
      <c r="C16" s="65"/>
      <c r="D16" s="65"/>
      <c r="E16" s="283"/>
    </row>
    <row r="17" spans="1:5" s="40" customFormat="1">
      <c r="A17" s="65"/>
      <c r="B17" s="285"/>
      <c r="C17" s="65"/>
      <c r="D17" s="65"/>
      <c r="E17" s="283"/>
    </row>
    <row r="18" spans="1:5" s="40" customFormat="1">
      <c r="A18" s="65" t="s">
        <v>4</v>
      </c>
      <c r="B18" s="189" t="s">
        <v>396</v>
      </c>
      <c r="C18" s="65"/>
      <c r="D18" s="185"/>
      <c r="E18" s="283"/>
    </row>
    <row r="19" spans="1:5" s="40" customFormat="1">
      <c r="A19" s="65"/>
      <c r="B19" s="189"/>
      <c r="C19" s="65"/>
      <c r="D19" s="48"/>
      <c r="E19" s="48"/>
    </row>
    <row r="20" spans="1:5" s="40" customFormat="1">
      <c r="A20" s="277" t="s">
        <v>5</v>
      </c>
      <c r="B20" s="279" t="s">
        <v>6</v>
      </c>
      <c r="C20" s="65"/>
      <c r="D20" s="65"/>
      <c r="E20" s="283"/>
    </row>
    <row r="21" spans="1:5" s="40" customFormat="1">
      <c r="A21" s="65"/>
      <c r="B21" s="278"/>
      <c r="C21" s="48"/>
      <c r="D21" s="48"/>
      <c r="E21" s="48"/>
    </row>
    <row r="22" spans="1:5" s="40" customFormat="1" ht="30">
      <c r="A22" s="80" t="s">
        <v>7</v>
      </c>
      <c r="B22" s="183" t="s">
        <v>8</v>
      </c>
      <c r="C22" s="48"/>
      <c r="D22" s="48"/>
      <c r="E22" s="48"/>
    </row>
    <row r="23" spans="1:5" s="40" customFormat="1">
      <c r="A23" s="65"/>
      <c r="B23" s="183" t="s">
        <v>9</v>
      </c>
      <c r="C23" s="65"/>
      <c r="D23" s="185"/>
      <c r="E23" s="283"/>
    </row>
    <row r="24" spans="1:5" s="40" customFormat="1">
      <c r="A24" s="65"/>
      <c r="B24" s="65"/>
      <c r="C24" s="65"/>
      <c r="D24" s="65"/>
      <c r="E24" s="283"/>
    </row>
    <row r="25" spans="1:5" s="40" customFormat="1">
      <c r="A25" s="65" t="s">
        <v>10</v>
      </c>
      <c r="B25" s="48" t="s">
        <v>11</v>
      </c>
      <c r="C25" s="65"/>
      <c r="D25" s="65"/>
      <c r="E25" s="283"/>
    </row>
    <row r="26" spans="1:5" s="40" customFormat="1">
      <c r="A26" s="65"/>
      <c r="B26" s="48"/>
      <c r="C26" s="65"/>
      <c r="D26" s="65"/>
      <c r="E26" s="283"/>
    </row>
    <row r="27" spans="1:5" s="40" customFormat="1" ht="30">
      <c r="A27" s="609" t="s">
        <v>12</v>
      </c>
      <c r="B27" s="404" t="s">
        <v>722</v>
      </c>
      <c r="C27" s="65"/>
      <c r="D27" s="65"/>
      <c r="E27" s="283"/>
    </row>
    <row r="28" spans="1:5" s="40" customFormat="1">
      <c r="A28" s="277"/>
      <c r="B28" s="279"/>
      <c r="C28" s="65"/>
      <c r="D28" s="65"/>
      <c r="E28" s="283"/>
    </row>
    <row r="29" spans="1:5" s="40" customFormat="1">
      <c r="A29" s="277" t="s">
        <v>13</v>
      </c>
      <c r="B29" s="280" t="s">
        <v>11</v>
      </c>
      <c r="C29" s="65"/>
      <c r="D29" s="65"/>
      <c r="E29" s="283"/>
    </row>
    <row r="30" spans="1:5" s="40" customFormat="1">
      <c r="A30" s="65"/>
      <c r="B30" s="65"/>
      <c r="C30" s="65"/>
      <c r="D30" s="65"/>
      <c r="E30" s="65"/>
    </row>
    <row r="31" spans="1:5" s="40" customFormat="1" ht="34.5" customHeight="1">
      <c r="A31" s="80" t="s">
        <v>14</v>
      </c>
      <c r="B31" s="184" t="s">
        <v>397</v>
      </c>
      <c r="C31" s="65"/>
      <c r="D31" s="65"/>
      <c r="E31" s="65"/>
    </row>
    <row r="32" spans="1:5" s="40" customFormat="1" ht="18" customHeight="1">
      <c r="A32" s="65" t="s">
        <v>15</v>
      </c>
      <c r="B32" s="184" t="s">
        <v>16</v>
      </c>
      <c r="C32" s="65"/>
      <c r="D32" s="65"/>
      <c r="E32" s="283"/>
    </row>
    <row r="33" spans="1:5" s="40" customFormat="1">
      <c r="A33" s="65"/>
      <c r="B33" s="284"/>
      <c r="C33" s="65"/>
      <c r="D33" s="65"/>
      <c r="E33" s="283"/>
    </row>
    <row r="34" spans="1:5" s="40" customFormat="1">
      <c r="A34" s="277"/>
      <c r="B34" s="65"/>
      <c r="C34" s="65"/>
      <c r="D34" s="65"/>
      <c r="E34" s="283"/>
    </row>
    <row r="35" spans="1:5" s="40" customFormat="1">
      <c r="A35" s="65" t="s">
        <v>17</v>
      </c>
      <c r="B35" s="65" t="s">
        <v>398</v>
      </c>
      <c r="C35" s="65"/>
      <c r="D35" s="65"/>
      <c r="E35" s="283"/>
    </row>
    <row r="36" spans="1:5" s="40" customFormat="1">
      <c r="A36" s="65"/>
      <c r="B36" s="65"/>
      <c r="C36" s="65"/>
      <c r="D36" s="65"/>
      <c r="E36" s="283"/>
    </row>
    <row r="37" spans="1:5" s="40" customFormat="1" ht="13.5" customHeight="1">
      <c r="A37" s="46"/>
      <c r="B37" s="65"/>
      <c r="C37" s="42"/>
      <c r="D37" s="42"/>
      <c r="E37" s="43"/>
    </row>
    <row r="38" spans="1:5" s="40" customFormat="1" ht="38.450000000000003" customHeight="1">
      <c r="A38" s="614" t="s">
        <v>399</v>
      </c>
      <c r="B38" s="613"/>
      <c r="C38" s="42"/>
      <c r="D38" s="42"/>
      <c r="E38" s="43"/>
    </row>
    <row r="39" spans="1:5" s="40" customFormat="1">
      <c r="A39" s="614"/>
      <c r="B39" s="613"/>
      <c r="C39" s="42"/>
      <c r="D39" s="42"/>
      <c r="E39" s="43"/>
    </row>
    <row r="40" spans="1:5" s="40" customFormat="1" ht="14.25" customHeight="1">
      <c r="C40" s="42"/>
      <c r="D40" s="42"/>
      <c r="E40" s="43"/>
    </row>
    <row r="41" spans="1:5" s="40" customFormat="1">
      <c r="A41" s="46"/>
      <c r="B41" s="47"/>
      <c r="C41" s="42"/>
      <c r="D41" s="42"/>
      <c r="E41" s="43"/>
    </row>
    <row r="42" spans="1:5" s="40" customFormat="1" ht="15" customHeight="1">
      <c r="A42" s="5"/>
      <c r="B42" s="612"/>
      <c r="C42" s="613"/>
      <c r="D42" s="42"/>
      <c r="E42" s="43"/>
    </row>
    <row r="43" spans="1:5">
      <c r="A43" s="4"/>
      <c r="B43" s="2"/>
      <c r="C43" s="2"/>
      <c r="D43" s="2"/>
      <c r="E43" s="3"/>
    </row>
    <row r="44" spans="1:5">
      <c r="A44" s="4"/>
      <c r="B44" s="2"/>
      <c r="C44" s="2"/>
      <c r="D44" s="2"/>
      <c r="E44" s="3"/>
    </row>
    <row r="45" spans="1:5">
      <c r="A45" s="4"/>
      <c r="B45" s="2"/>
      <c r="C45" s="2"/>
      <c r="D45" s="2"/>
      <c r="E45" s="3"/>
    </row>
    <row r="46" spans="1:5">
      <c r="A46" s="4"/>
      <c r="B46" s="2"/>
      <c r="C46" s="2"/>
      <c r="D46" s="2"/>
      <c r="E46" s="3"/>
    </row>
    <row r="47" spans="1:5">
      <c r="A47" s="4"/>
      <c r="B47" s="2"/>
      <c r="C47" s="2"/>
      <c r="D47" s="2"/>
      <c r="E47" s="3"/>
    </row>
    <row r="48" spans="1:5">
      <c r="A48" s="4"/>
      <c r="B48" s="2"/>
      <c r="C48" s="2"/>
      <c r="D48" s="2"/>
      <c r="E48" s="3"/>
    </row>
    <row r="49" spans="1:5">
      <c r="A49" s="189" t="s">
        <v>19</v>
      </c>
      <c r="B49" s="85"/>
      <c r="E49" s="3"/>
    </row>
    <row r="50" spans="1:5">
      <c r="A50" s="189"/>
      <c r="B50" s="80"/>
      <c r="C50" s="2"/>
      <c r="D50" s="2"/>
      <c r="E50" s="3"/>
    </row>
    <row r="51" spans="1:5">
      <c r="A51" s="189"/>
      <c r="B51" s="80"/>
      <c r="C51" s="2"/>
      <c r="D51" s="2"/>
      <c r="E51" s="3"/>
    </row>
    <row r="52" spans="1:5">
      <c r="A52" s="189"/>
      <c r="B52" s="80"/>
      <c r="C52" s="2"/>
      <c r="D52" s="2"/>
      <c r="E52" s="3"/>
    </row>
    <row r="53" spans="1:5">
      <c r="A53" s="190" t="s">
        <v>20</v>
      </c>
      <c r="B53" s="85"/>
    </row>
    <row r="54" spans="1:5">
      <c r="A54" s="191"/>
      <c r="B54" s="80"/>
      <c r="C54" s="2"/>
      <c r="D54" s="2"/>
      <c r="E54" s="3"/>
    </row>
    <row r="55" spans="1:5">
      <c r="A55" s="191"/>
      <c r="B55" s="80"/>
      <c r="C55" s="2"/>
      <c r="D55" s="2"/>
      <c r="E55" s="3"/>
    </row>
    <row r="56" spans="1:5">
      <c r="A56" s="191"/>
      <c r="B56" s="80"/>
      <c r="C56" s="2"/>
      <c r="D56" s="2"/>
      <c r="E56" s="3"/>
    </row>
    <row r="57" spans="1:5" ht="15.75">
      <c r="A57" s="152"/>
      <c r="B57" s="49"/>
      <c r="C57" s="2"/>
      <c r="D57" s="2"/>
      <c r="E57" s="3"/>
    </row>
    <row r="58" spans="1:5" ht="15.75" customHeight="1">
      <c r="A58" s="188" t="s">
        <v>21</v>
      </c>
      <c r="B58" s="186" t="s">
        <v>22</v>
      </c>
      <c r="C58" s="30"/>
      <c r="D58" s="30"/>
      <c r="E58" s="31"/>
    </row>
    <row r="59" spans="1:5" ht="60.75" customHeight="1">
      <c r="A59" s="153"/>
      <c r="B59" s="187" t="s">
        <v>23</v>
      </c>
      <c r="C59" s="30"/>
      <c r="D59" s="30"/>
      <c r="E59" s="31"/>
    </row>
    <row r="60" spans="1:5" ht="45">
      <c r="A60" s="153"/>
      <c r="B60" s="187" t="s">
        <v>24</v>
      </c>
      <c r="C60" s="30"/>
      <c r="D60" s="30"/>
      <c r="E60" s="31"/>
    </row>
    <row r="61" spans="1:5" ht="15.75" customHeight="1">
      <c r="A61" s="28"/>
      <c r="B61" s="187" t="s">
        <v>25</v>
      </c>
      <c r="C61" s="30"/>
      <c r="D61" s="33"/>
      <c r="E61" s="31"/>
    </row>
    <row r="62" spans="1:5" ht="13.5" customHeight="1">
      <c r="A62" s="28"/>
      <c r="B62" s="83"/>
      <c r="C62" s="30"/>
      <c r="D62" s="30"/>
      <c r="E62" s="31"/>
    </row>
    <row r="63" spans="1:5">
      <c r="A63" s="28"/>
      <c r="B63" s="83"/>
      <c r="C63" s="34"/>
      <c r="D63" s="34"/>
      <c r="E63" s="35"/>
    </row>
    <row r="64" spans="1:5">
      <c r="A64" s="28"/>
      <c r="B64" s="83"/>
      <c r="C64" s="34"/>
      <c r="D64" s="34"/>
      <c r="E64" s="35"/>
    </row>
    <row r="65" spans="1:5">
      <c r="A65" s="28"/>
      <c r="B65" s="34"/>
      <c r="C65" s="22"/>
      <c r="D65" s="22"/>
      <c r="E65" s="31"/>
    </row>
    <row r="66" spans="1:5">
      <c r="A66" s="28"/>
      <c r="B66" s="34"/>
      <c r="C66" s="22"/>
      <c r="D66" s="22"/>
      <c r="E66" s="31"/>
    </row>
    <row r="67" spans="1:5">
      <c r="A67" s="28"/>
      <c r="B67" s="34"/>
      <c r="C67" s="22"/>
      <c r="D67" s="36"/>
      <c r="E67" s="31"/>
    </row>
    <row r="68" spans="1:5">
      <c r="A68" s="8"/>
      <c r="B68" s="5"/>
      <c r="C68" s="2"/>
      <c r="D68" s="2"/>
      <c r="E68" s="3"/>
    </row>
    <row r="69" spans="1:5">
      <c r="A69" s="8"/>
      <c r="B69" s="5"/>
      <c r="C69" s="2"/>
      <c r="D69" s="2"/>
      <c r="E69" s="3"/>
    </row>
    <row r="70" spans="1:5">
      <c r="A70" s="8"/>
      <c r="B70" s="5"/>
      <c r="C70" s="2"/>
      <c r="D70" s="2"/>
      <c r="E70" s="3"/>
    </row>
    <row r="71" spans="1:5">
      <c r="A71" s="8"/>
      <c r="B71" s="2"/>
      <c r="C71" s="2"/>
      <c r="D71" s="2"/>
      <c r="E71" s="3"/>
    </row>
    <row r="72" spans="1:5">
      <c r="A72" s="8"/>
      <c r="B72" s="2"/>
      <c r="C72" s="2"/>
      <c r="D72" s="2"/>
      <c r="E72" s="2"/>
    </row>
    <row r="73" spans="1:5">
      <c r="A73" s="8"/>
      <c r="B73" s="2"/>
      <c r="C73" s="2"/>
      <c r="D73" s="2"/>
      <c r="E73" s="3"/>
    </row>
    <row r="74" spans="1:5">
      <c r="A74" s="8"/>
      <c r="B74" s="2"/>
      <c r="C74" s="2"/>
      <c r="D74" s="2"/>
      <c r="E74" s="3"/>
    </row>
    <row r="75" spans="1:5">
      <c r="A75" s="8"/>
      <c r="B75" s="5"/>
      <c r="C75" s="2"/>
      <c r="D75" s="2"/>
      <c r="E75" s="3"/>
    </row>
    <row r="76" spans="1:5">
      <c r="A76" s="8"/>
      <c r="B76" s="5"/>
      <c r="C76" s="2"/>
      <c r="D76" s="2"/>
      <c r="E76" s="3"/>
    </row>
    <row r="77" spans="1:5">
      <c r="A77" s="8"/>
      <c r="B77" s="5"/>
      <c r="C77" s="2"/>
      <c r="D77" s="2"/>
      <c r="E77" s="3"/>
    </row>
    <row r="78" spans="1:5">
      <c r="A78" s="8"/>
      <c r="B78" s="2"/>
      <c r="C78" s="2"/>
      <c r="D78" s="2"/>
      <c r="E78" s="3"/>
    </row>
    <row r="79" spans="1:5">
      <c r="A79" s="8"/>
      <c r="B79" s="2"/>
      <c r="C79" s="2"/>
      <c r="D79" s="2"/>
      <c r="E79" s="3"/>
    </row>
    <row r="80" spans="1:5">
      <c r="A80" s="8"/>
      <c r="B80" s="5"/>
      <c r="C80" s="2"/>
      <c r="D80" s="2"/>
      <c r="E80" s="3"/>
    </row>
    <row r="81" spans="1:5">
      <c r="A81" s="8"/>
      <c r="B81" s="6"/>
      <c r="C81" s="2"/>
      <c r="D81" s="2"/>
      <c r="E81" s="3"/>
    </row>
    <row r="82" spans="1:5">
      <c r="A82" s="2"/>
      <c r="B82" s="5"/>
      <c r="C82" s="2"/>
      <c r="D82" s="2"/>
      <c r="E82" s="3"/>
    </row>
    <row r="83" spans="1:5">
      <c r="A83" s="2"/>
      <c r="B83" s="2"/>
      <c r="C83" s="2"/>
      <c r="D83" s="2"/>
      <c r="E83" s="3"/>
    </row>
    <row r="84" spans="1:5">
      <c r="A84" s="2"/>
      <c r="B84" s="2"/>
      <c r="C84" s="2"/>
      <c r="D84" s="2"/>
      <c r="E84" s="3"/>
    </row>
    <row r="85" spans="1:5">
      <c r="A85" s="2"/>
      <c r="B85" s="2"/>
      <c r="C85" s="2"/>
      <c r="D85" s="2"/>
      <c r="E85" s="3"/>
    </row>
    <row r="86" spans="1:5">
      <c r="A86" s="2"/>
      <c r="B86" s="2"/>
      <c r="C86" s="2"/>
      <c r="D86" s="2"/>
      <c r="E86" s="3"/>
    </row>
    <row r="87" spans="1:5">
      <c r="A87" s="8"/>
      <c r="B87" s="4"/>
      <c r="C87" s="2"/>
      <c r="D87" s="2"/>
      <c r="E87" s="3"/>
    </row>
    <row r="88" spans="1:5">
      <c r="A88" s="8"/>
      <c r="B88" s="8"/>
      <c r="C88" s="2"/>
      <c r="D88" s="2"/>
      <c r="E88" s="3"/>
    </row>
    <row r="89" spans="1:5">
      <c r="A89" s="8"/>
      <c r="B89" s="2"/>
      <c r="C89" s="2"/>
      <c r="D89" s="5"/>
      <c r="E89" s="5"/>
    </row>
    <row r="90" spans="1:5">
      <c r="A90" s="8"/>
      <c r="B90" s="2"/>
      <c r="C90" s="2"/>
      <c r="D90" s="5"/>
      <c r="E90" s="5"/>
    </row>
    <row r="91" spans="1:5">
      <c r="A91" s="8"/>
      <c r="B91" s="2"/>
      <c r="C91" s="2"/>
      <c r="D91" s="2"/>
      <c r="E91" s="3"/>
    </row>
    <row r="92" spans="1:5">
      <c r="A92" s="8"/>
      <c r="B92" s="8"/>
      <c r="C92" s="2"/>
      <c r="D92" s="2"/>
      <c r="E92" s="3"/>
    </row>
    <row r="93" spans="1:5">
      <c r="A93" s="8"/>
      <c r="B93" s="4"/>
      <c r="C93" s="2"/>
      <c r="D93" s="2"/>
      <c r="E93" s="3"/>
    </row>
    <row r="94" spans="1:5">
      <c r="A94" s="8"/>
      <c r="B94" s="8"/>
      <c r="C94" s="2"/>
      <c r="D94" s="2"/>
      <c r="E94" s="3"/>
    </row>
    <row r="95" spans="1:5">
      <c r="A95" s="8"/>
      <c r="B95" s="2"/>
      <c r="C95" s="2"/>
      <c r="D95" s="2"/>
      <c r="E95" s="3"/>
    </row>
    <row r="96" spans="1:5">
      <c r="A96" s="8"/>
      <c r="B96" s="2"/>
      <c r="C96" s="2"/>
      <c r="D96" s="2"/>
      <c r="E96" s="3"/>
    </row>
    <row r="97" spans="1:5" ht="15.75">
      <c r="A97" s="8"/>
      <c r="B97" s="23"/>
      <c r="C97" s="8"/>
      <c r="D97" s="4"/>
      <c r="E97" s="4"/>
    </row>
    <row r="98" spans="1:5">
      <c r="A98" s="8"/>
      <c r="B98" s="8"/>
      <c r="C98" s="4"/>
      <c r="D98" s="4"/>
      <c r="E98" s="4"/>
    </row>
    <row r="99" spans="1:5">
      <c r="B99" s="8"/>
      <c r="C99" s="4"/>
      <c r="D99" s="8"/>
      <c r="E99" s="4"/>
    </row>
    <row r="100" spans="1:5">
      <c r="A100" s="8"/>
      <c r="C100" s="2"/>
      <c r="E100" s="3"/>
    </row>
    <row r="101" spans="1:5">
      <c r="A101" s="8"/>
      <c r="B101" s="2"/>
      <c r="C101" s="2"/>
      <c r="D101" s="2"/>
      <c r="E101" s="3"/>
    </row>
    <row r="102" spans="1:5">
      <c r="A102" s="8"/>
      <c r="B102" s="2"/>
      <c r="C102" s="2"/>
      <c r="D102" s="2"/>
      <c r="E102" s="3"/>
    </row>
    <row r="103" spans="1:5">
      <c r="A103" s="8"/>
      <c r="B103" s="5"/>
      <c r="C103" s="2"/>
      <c r="D103" s="2"/>
      <c r="E103" s="3"/>
    </row>
    <row r="104" spans="1:5" ht="15.75">
      <c r="A104" s="8"/>
      <c r="B104" s="21"/>
      <c r="C104" s="2"/>
      <c r="D104" s="2"/>
      <c r="E104" s="3"/>
    </row>
    <row r="105" spans="1:5" ht="15.75">
      <c r="A105" s="8"/>
      <c r="B105" s="21"/>
      <c r="C105" s="2"/>
      <c r="D105" s="2"/>
      <c r="E105" s="3"/>
    </row>
    <row r="106" spans="1:5">
      <c r="A106" s="8"/>
      <c r="B106" s="5"/>
      <c r="C106" s="2"/>
      <c r="D106" s="2"/>
      <c r="E106" s="3"/>
    </row>
    <row r="107" spans="1:5">
      <c r="A107" s="8"/>
      <c r="B107" s="5"/>
      <c r="C107" s="2"/>
      <c r="D107" s="2"/>
      <c r="E107" s="3"/>
    </row>
    <row r="108" spans="1:5">
      <c r="A108" s="8"/>
      <c r="B108" s="5"/>
      <c r="C108" s="2"/>
      <c r="D108" s="2"/>
      <c r="E108" s="3"/>
    </row>
    <row r="109" spans="1:5">
      <c r="A109" s="8"/>
      <c r="B109" s="5"/>
      <c r="C109" s="2"/>
      <c r="D109" s="2"/>
      <c r="E109" s="3"/>
    </row>
    <row r="110" spans="1:5">
      <c r="A110" s="8"/>
      <c r="B110" s="2"/>
      <c r="C110" s="2"/>
      <c r="D110" s="2"/>
      <c r="E110" s="3"/>
    </row>
    <row r="111" spans="1:5">
      <c r="A111" s="8"/>
      <c r="B111" s="2"/>
      <c r="C111" s="2"/>
      <c r="D111" s="2"/>
      <c r="E111" s="3"/>
    </row>
    <row r="112" spans="1:5">
      <c r="A112" s="8"/>
      <c r="B112" s="2"/>
      <c r="C112" s="2"/>
      <c r="D112" s="2"/>
      <c r="E112" s="3"/>
    </row>
    <row r="113" spans="1:5">
      <c r="A113" s="8"/>
      <c r="B113" s="2"/>
      <c r="C113" s="2"/>
      <c r="D113" s="2"/>
      <c r="E113" s="3"/>
    </row>
    <row r="114" spans="1:5">
      <c r="A114" s="8"/>
      <c r="B114" s="2"/>
      <c r="C114" s="2"/>
      <c r="D114" s="2"/>
      <c r="E114" s="2"/>
    </row>
    <row r="115" spans="1:5">
      <c r="A115" s="8"/>
      <c r="B115" s="2"/>
      <c r="C115" s="2"/>
      <c r="D115" s="2"/>
      <c r="E115" s="2"/>
    </row>
    <row r="116" spans="1:5">
      <c r="A116" s="8"/>
      <c r="B116" s="2"/>
      <c r="C116" s="2"/>
      <c r="D116" s="2"/>
      <c r="E116" s="3"/>
    </row>
    <row r="117" spans="1:5">
      <c r="A117" s="8"/>
      <c r="B117" s="2"/>
      <c r="C117" s="2"/>
      <c r="D117" s="2"/>
      <c r="E117" s="3"/>
    </row>
    <row r="118" spans="1:5">
      <c r="A118" s="8"/>
      <c r="B118" s="2"/>
      <c r="C118" s="2"/>
      <c r="D118" s="2"/>
      <c r="E118" s="3"/>
    </row>
    <row r="119" spans="1:5">
      <c r="A119" s="8"/>
      <c r="B119" s="2"/>
      <c r="C119" s="2"/>
      <c r="D119" s="2"/>
      <c r="E119" s="3"/>
    </row>
    <row r="120" spans="1:5">
      <c r="A120" s="8"/>
      <c r="B120" s="2"/>
      <c r="C120" s="2"/>
      <c r="D120" s="2"/>
      <c r="E120" s="3"/>
    </row>
    <row r="121" spans="1:5">
      <c r="A121" s="8"/>
      <c r="B121" s="2"/>
      <c r="C121" s="2"/>
      <c r="D121" s="2"/>
      <c r="E121" s="3"/>
    </row>
    <row r="122" spans="1:5">
      <c r="A122" s="8"/>
      <c r="B122" s="2"/>
      <c r="C122" s="2"/>
      <c r="D122" s="2"/>
      <c r="E122" s="3"/>
    </row>
    <row r="123" spans="1:5">
      <c r="A123" s="8"/>
      <c r="B123" s="2"/>
      <c r="C123" s="2"/>
      <c r="D123" s="2"/>
      <c r="E123" s="3"/>
    </row>
    <row r="124" spans="1:5">
      <c r="A124" s="8"/>
      <c r="B124" s="6"/>
      <c r="C124" s="2"/>
      <c r="D124" s="2"/>
      <c r="E124" s="3"/>
    </row>
    <row r="125" spans="1:5">
      <c r="A125" s="2"/>
      <c r="B125" s="2"/>
      <c r="C125" s="2"/>
      <c r="D125" s="2"/>
      <c r="E125" s="3"/>
    </row>
    <row r="126" spans="1:5">
      <c r="A126" s="5"/>
      <c r="B126" s="2"/>
      <c r="C126" s="2"/>
      <c r="D126" s="2"/>
      <c r="E126" s="3"/>
    </row>
    <row r="127" spans="1:5">
      <c r="A127" s="4"/>
      <c r="B127" s="2"/>
      <c r="C127" s="2"/>
      <c r="D127" s="2"/>
      <c r="E127" s="3"/>
    </row>
    <row r="128" spans="1:5">
      <c r="A128" s="4"/>
      <c r="B128" s="2"/>
      <c r="C128" s="2"/>
      <c r="D128" s="2"/>
      <c r="E128" s="3"/>
    </row>
    <row r="129" spans="1:5">
      <c r="A129" s="4"/>
      <c r="B129" s="2"/>
      <c r="C129" s="2"/>
      <c r="D129" s="2"/>
      <c r="E129" s="3"/>
    </row>
    <row r="130" spans="1:5">
      <c r="E130" s="3"/>
    </row>
    <row r="131" spans="1:5">
      <c r="A131" s="7"/>
      <c r="B131" s="2"/>
      <c r="C131" s="2"/>
      <c r="D131" s="2"/>
      <c r="E131" s="3"/>
    </row>
    <row r="132" spans="1:5">
      <c r="A132" s="7"/>
      <c r="B132" s="2"/>
      <c r="C132" s="2"/>
      <c r="D132" s="2"/>
      <c r="E132" s="3"/>
    </row>
    <row r="133" spans="1:5">
      <c r="B133" s="2"/>
      <c r="C133" s="2"/>
      <c r="D133" s="2"/>
      <c r="E133" s="3"/>
    </row>
    <row r="135" spans="1:5">
      <c r="A135" s="8"/>
    </row>
    <row r="136" spans="1:5">
      <c r="A136" s="2"/>
      <c r="B136" s="2"/>
      <c r="C136" s="2"/>
      <c r="D136" s="2"/>
      <c r="E136" s="3"/>
    </row>
    <row r="137" spans="1:5">
      <c r="A137" s="2"/>
      <c r="B137" s="2"/>
      <c r="C137" s="2"/>
      <c r="D137" s="2"/>
      <c r="E137" s="3"/>
    </row>
    <row r="138" spans="1:5">
      <c r="A138" s="2"/>
      <c r="B138" s="2"/>
      <c r="C138" s="2"/>
      <c r="D138" s="2"/>
      <c r="E138" s="3"/>
    </row>
    <row r="139" spans="1:5">
      <c r="A139" s="30"/>
      <c r="B139" s="30"/>
      <c r="C139" s="30"/>
      <c r="D139" s="30"/>
      <c r="E139" s="31"/>
    </row>
    <row r="140" spans="1:5">
      <c r="A140" s="28"/>
      <c r="B140" s="29"/>
      <c r="C140" s="30"/>
      <c r="D140" s="30"/>
      <c r="E140" s="31"/>
    </row>
    <row r="141" spans="1:5">
      <c r="A141" s="28"/>
      <c r="B141" s="28"/>
      <c r="C141" s="30"/>
      <c r="D141" s="30"/>
      <c r="E141" s="31"/>
    </row>
    <row r="142" spans="1:5">
      <c r="A142" s="28"/>
      <c r="B142" s="30"/>
      <c r="C142" s="30"/>
      <c r="D142" s="32"/>
      <c r="E142" s="32"/>
    </row>
    <row r="143" spans="1:5">
      <c r="A143" s="28"/>
      <c r="B143" s="30"/>
      <c r="C143" s="30"/>
      <c r="D143" s="32"/>
      <c r="E143" s="32"/>
    </row>
    <row r="144" spans="1:5">
      <c r="A144" s="28"/>
      <c r="B144" s="30"/>
      <c r="C144" s="30"/>
      <c r="D144" s="30"/>
      <c r="E144" s="31"/>
    </row>
    <row r="145" spans="1:5">
      <c r="A145" s="28"/>
      <c r="B145" s="28"/>
      <c r="C145" s="30"/>
      <c r="D145" s="30"/>
      <c r="E145" s="31"/>
    </row>
    <row r="146" spans="1:5">
      <c r="A146" s="28"/>
      <c r="B146" s="29"/>
      <c r="C146" s="30"/>
      <c r="D146" s="30"/>
      <c r="E146" s="31"/>
    </row>
    <row r="147" spans="1:5">
      <c r="A147" s="28"/>
      <c r="B147" s="28"/>
      <c r="C147" s="30"/>
      <c r="D147" s="30"/>
      <c r="E147" s="31"/>
    </row>
    <row r="148" spans="1:5">
      <c r="A148" s="28"/>
      <c r="B148" s="30"/>
      <c r="C148" s="30"/>
      <c r="D148" s="30"/>
      <c r="E148" s="31"/>
    </row>
    <row r="149" spans="1:5">
      <c r="A149" s="28"/>
      <c r="B149" s="30"/>
      <c r="C149" s="30"/>
      <c r="D149" s="30"/>
      <c r="E149" s="31"/>
    </row>
    <row r="150" spans="1:5" ht="15.75">
      <c r="A150" s="28"/>
      <c r="B150" s="37"/>
      <c r="C150" s="29"/>
      <c r="D150" s="29"/>
      <c r="E150" s="29"/>
    </row>
    <row r="151" spans="1:5">
      <c r="A151" s="28"/>
      <c r="B151" s="28"/>
      <c r="C151" s="29"/>
      <c r="D151" s="29"/>
      <c r="E151" s="29"/>
    </row>
    <row r="152" spans="1:5">
      <c r="A152" s="33"/>
      <c r="B152" s="28"/>
      <c r="C152" s="29"/>
      <c r="D152" s="29"/>
      <c r="E152" s="29"/>
    </row>
    <row r="153" spans="1:5">
      <c r="A153" s="8"/>
      <c r="C153" s="2"/>
      <c r="E153" s="3"/>
    </row>
    <row r="154" spans="1:5">
      <c r="A154" s="8"/>
      <c r="C154" s="2"/>
      <c r="E154" s="3"/>
    </row>
    <row r="155" spans="1:5">
      <c r="A155" s="8"/>
      <c r="C155" s="2"/>
      <c r="E155" s="3"/>
    </row>
    <row r="156" spans="1:5">
      <c r="A156" s="8"/>
      <c r="C156" s="2"/>
      <c r="E156" s="3"/>
    </row>
    <row r="157" spans="1:5">
      <c r="A157" s="8"/>
      <c r="C157" s="2"/>
      <c r="E157" s="3"/>
    </row>
    <row r="158" spans="1:5">
      <c r="A158" s="8"/>
      <c r="C158" s="2"/>
      <c r="E158" s="3"/>
    </row>
    <row r="159" spans="1:5">
      <c r="A159" s="8"/>
      <c r="B159" s="2"/>
      <c r="C159" s="2"/>
      <c r="D159" s="2"/>
      <c r="E159" s="3"/>
    </row>
    <row r="160" spans="1:5">
      <c r="A160" s="28"/>
      <c r="B160" s="34"/>
      <c r="C160" s="34"/>
      <c r="D160" s="34"/>
      <c r="E160" s="35"/>
    </row>
    <row r="161" spans="1:5">
      <c r="A161" s="28"/>
      <c r="B161" s="34"/>
      <c r="C161" s="34"/>
      <c r="D161" s="34"/>
      <c r="E161" s="35"/>
    </row>
    <row r="162" spans="1:5">
      <c r="A162" s="28"/>
      <c r="B162" s="34"/>
      <c r="C162" s="22"/>
      <c r="D162" s="22"/>
      <c r="E162" s="31"/>
    </row>
    <row r="163" spans="1:5">
      <c r="A163" s="28"/>
      <c r="B163" s="34"/>
      <c r="C163" s="22"/>
      <c r="D163" s="22"/>
      <c r="E163" s="31"/>
    </row>
    <row r="164" spans="1:5">
      <c r="A164" s="28"/>
      <c r="B164" s="34"/>
      <c r="C164" s="22"/>
      <c r="D164" s="22"/>
      <c r="E164" s="31"/>
    </row>
    <row r="165" spans="1:5">
      <c r="A165" s="28"/>
      <c r="B165" s="34"/>
      <c r="C165" s="22"/>
      <c r="D165" s="22"/>
      <c r="E165" s="31"/>
    </row>
    <row r="166" spans="1:5">
      <c r="A166" s="28"/>
      <c r="B166" s="34"/>
      <c r="C166" s="22"/>
      <c r="D166" s="22"/>
      <c r="E166" s="31"/>
    </row>
    <row r="167" spans="1:5">
      <c r="A167" s="28"/>
      <c r="B167" s="34"/>
      <c r="C167" s="22"/>
      <c r="D167" s="36"/>
      <c r="E167" s="31"/>
    </row>
    <row r="168" spans="1:5">
      <c r="A168" s="8"/>
      <c r="B168" s="5"/>
      <c r="C168" s="2"/>
      <c r="D168" s="2"/>
      <c r="E168" s="3"/>
    </row>
    <row r="169" spans="1:5">
      <c r="A169" s="8"/>
      <c r="B169" s="5"/>
      <c r="C169" s="2"/>
      <c r="D169" s="2"/>
      <c r="E169" s="3"/>
    </row>
    <row r="170" spans="1:5">
      <c r="A170" s="8"/>
      <c r="B170" s="5"/>
      <c r="C170" s="2"/>
      <c r="D170" s="2"/>
      <c r="E170" s="3"/>
    </row>
    <row r="171" spans="1:5">
      <c r="A171" s="8"/>
      <c r="B171" s="2"/>
      <c r="C171" s="2"/>
      <c r="D171" s="2"/>
      <c r="E171" s="3"/>
    </row>
    <row r="172" spans="1:5">
      <c r="A172" s="8"/>
      <c r="B172" s="5"/>
      <c r="C172" s="2"/>
      <c r="D172" s="2"/>
      <c r="E172" s="2"/>
    </row>
    <row r="173" spans="1:5">
      <c r="A173" s="8"/>
      <c r="B173" s="2"/>
      <c r="C173" s="2"/>
      <c r="D173" s="2"/>
      <c r="E173" s="2"/>
    </row>
    <row r="174" spans="1:5">
      <c r="A174" s="8"/>
      <c r="B174" s="2"/>
      <c r="C174" s="2"/>
      <c r="D174" s="2"/>
      <c r="E174" s="3"/>
    </row>
    <row r="175" spans="1:5">
      <c r="A175" s="8"/>
      <c r="B175" s="2"/>
      <c r="C175" s="2"/>
      <c r="D175" s="2"/>
      <c r="E175" s="3"/>
    </row>
    <row r="176" spans="1:5">
      <c r="A176" s="8"/>
      <c r="B176" s="5"/>
      <c r="C176" s="2"/>
      <c r="D176" s="2"/>
      <c r="E176" s="3"/>
    </row>
    <row r="177" spans="1:5">
      <c r="A177" s="8"/>
      <c r="B177" s="5"/>
      <c r="C177" s="2"/>
      <c r="D177" s="2"/>
      <c r="E177" s="3"/>
    </row>
    <row r="178" spans="1:5">
      <c r="A178" s="8"/>
      <c r="B178" s="5"/>
      <c r="C178" s="2"/>
      <c r="D178" s="2"/>
      <c r="E178" s="3"/>
    </row>
    <row r="179" spans="1:5">
      <c r="A179" s="8"/>
      <c r="B179" s="2"/>
      <c r="C179" s="2"/>
      <c r="D179" s="2"/>
      <c r="E179" s="3"/>
    </row>
    <row r="180" spans="1:5">
      <c r="A180" s="8"/>
      <c r="B180" s="2"/>
      <c r="C180" s="2"/>
      <c r="D180" s="2"/>
      <c r="E180" s="3"/>
    </row>
    <row r="181" spans="1:5">
      <c r="A181" s="8"/>
      <c r="B181" s="5"/>
      <c r="C181" s="2"/>
      <c r="D181" s="2"/>
      <c r="E181" s="3"/>
    </row>
    <row r="182" spans="1:5">
      <c r="A182" s="8"/>
      <c r="B182" s="6"/>
      <c r="C182" s="2"/>
      <c r="D182" s="2"/>
      <c r="E182" s="3"/>
    </row>
    <row r="183" spans="1:5">
      <c r="A183" s="2"/>
      <c r="B183" s="5"/>
      <c r="C183" s="2"/>
      <c r="D183" s="2"/>
      <c r="E183" s="3"/>
    </row>
    <row r="184" spans="1:5">
      <c r="A184" s="2"/>
      <c r="B184" s="2"/>
      <c r="C184" s="2"/>
      <c r="D184" s="2"/>
      <c r="E184" s="3"/>
    </row>
  </sheetData>
  <mergeCells count="4">
    <mergeCell ref="B42:C42"/>
    <mergeCell ref="A39:B39"/>
    <mergeCell ref="B9:B10"/>
    <mergeCell ref="A38:B38"/>
  </mergeCells>
  <phoneticPr fontId="28" type="noConversion"/>
  <printOptions horizontalCentered="1"/>
  <pageMargins left="0.7" right="0.7" top="0.75" bottom="0.75" header="0.3" footer="0.3"/>
  <pageSetup paperSize="9" fitToHeight="0"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1" manualBreakCount="1">
    <brk id="38" max="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2:F92"/>
  <sheetViews>
    <sheetView view="pageLayout" zoomScaleNormal="90" zoomScaleSheetLayoutView="115" workbookViewId="0">
      <selection activeCell="B18" sqref="B18:F18"/>
    </sheetView>
  </sheetViews>
  <sheetFormatPr defaultColWidth="8.85546875" defaultRowHeight="15"/>
  <cols>
    <col min="1" max="1" width="13" customWidth="1"/>
    <col min="2" max="4" width="15.28515625" customWidth="1"/>
    <col min="5" max="5" width="12.28515625" customWidth="1"/>
    <col min="6" max="6" width="15.7109375" customWidth="1"/>
  </cols>
  <sheetData>
    <row r="2" spans="1:6">
      <c r="B2" s="93"/>
    </row>
    <row r="3" spans="1:6">
      <c r="B3" s="93"/>
    </row>
    <row r="4" spans="1:6">
      <c r="B4" s="93"/>
    </row>
    <row r="5" spans="1:6">
      <c r="B5" s="93"/>
    </row>
    <row r="6" spans="1:6">
      <c r="A6" s="1"/>
      <c r="B6" s="1"/>
      <c r="C6" s="1"/>
      <c r="D6" s="1"/>
      <c r="E6" s="1"/>
      <c r="F6" s="1"/>
    </row>
    <row r="7" spans="1:6" ht="84" customHeight="1">
      <c r="A7" s="80" t="s">
        <v>0</v>
      </c>
      <c r="B7" s="622" t="s">
        <v>392</v>
      </c>
      <c r="C7" s="622"/>
      <c r="D7" s="622"/>
      <c r="E7" s="622"/>
      <c r="F7" s="85"/>
    </row>
    <row r="8" spans="1:6">
      <c r="C8" s="52"/>
      <c r="D8" s="49"/>
      <c r="E8" s="50"/>
      <c r="F8" s="85"/>
    </row>
    <row r="9" spans="1:6">
      <c r="A9" s="65" t="s">
        <v>1</v>
      </c>
      <c r="B9" s="623" t="s">
        <v>393</v>
      </c>
      <c r="C9" s="624"/>
      <c r="D9" s="624"/>
      <c r="E9" s="624"/>
      <c r="F9" s="85"/>
    </row>
    <row r="10" spans="1:6">
      <c r="A10" s="65"/>
      <c r="B10" s="40"/>
      <c r="C10" s="194"/>
      <c r="D10" s="49"/>
      <c r="E10" s="50"/>
      <c r="F10" s="85"/>
    </row>
    <row r="11" spans="1:6">
      <c r="A11" s="65" t="s">
        <v>2</v>
      </c>
      <c r="B11" s="625" t="s">
        <v>400</v>
      </c>
      <c r="C11" s="625"/>
      <c r="D11" s="625"/>
      <c r="E11" s="625"/>
      <c r="F11" s="625"/>
    </row>
    <row r="12" spans="1:6" ht="14.25" customHeight="1">
      <c r="A12" s="65"/>
      <c r="C12" s="49"/>
      <c r="D12" s="49"/>
      <c r="E12" s="50"/>
      <c r="F12" s="85"/>
    </row>
    <row r="13" spans="1:6" ht="16.5" customHeight="1">
      <c r="A13" s="65"/>
      <c r="B13" s="193"/>
      <c r="C13" s="193"/>
      <c r="D13" s="193"/>
      <c r="E13" s="53"/>
      <c r="F13" s="85"/>
    </row>
    <row r="14" spans="1:6">
      <c r="A14" s="192"/>
      <c r="B14" s="55"/>
      <c r="C14" s="49"/>
      <c r="D14" s="85"/>
      <c r="E14" s="50"/>
      <c r="F14" s="85"/>
    </row>
    <row r="15" spans="1:6" ht="44.25" customHeight="1">
      <c r="A15" s="284" t="s">
        <v>14</v>
      </c>
      <c r="B15" s="616" t="s">
        <v>401</v>
      </c>
      <c r="C15" s="616"/>
      <c r="D15" s="616"/>
      <c r="E15" s="616"/>
      <c r="F15" s="85"/>
    </row>
    <row r="16" spans="1:6">
      <c r="A16" s="51"/>
      <c r="B16" s="617"/>
      <c r="C16" s="618"/>
      <c r="D16" s="49"/>
      <c r="E16" s="50"/>
      <c r="F16" s="85"/>
    </row>
    <row r="17" spans="1:6">
      <c r="A17" s="49"/>
      <c r="B17" s="53"/>
      <c r="C17" s="49"/>
      <c r="D17" s="49"/>
      <c r="E17" s="49"/>
      <c r="F17" s="50"/>
    </row>
    <row r="18" spans="1:6" s="41" customFormat="1" ht="43.5" customHeight="1">
      <c r="A18" s="56"/>
      <c r="B18" s="619" t="s">
        <v>402</v>
      </c>
      <c r="C18" s="620"/>
      <c r="D18" s="620"/>
      <c r="E18" s="620"/>
      <c r="F18" s="621"/>
    </row>
    <row r="19" spans="1:6">
      <c r="A19" s="49"/>
      <c r="B19" s="53"/>
      <c r="C19" s="58"/>
      <c r="D19" s="49"/>
      <c r="E19" s="49"/>
      <c r="F19" s="50"/>
    </row>
    <row r="20" spans="1:6" ht="18.75">
      <c r="A20" s="59"/>
      <c r="B20" s="85"/>
      <c r="C20" s="85"/>
      <c r="D20" s="85"/>
      <c r="E20" s="85"/>
      <c r="F20" s="85"/>
    </row>
    <row r="21" spans="1:6" s="40" customFormat="1" ht="26.25" customHeight="1" thickBot="1">
      <c r="A21" s="60" t="s">
        <v>26</v>
      </c>
      <c r="B21" s="61"/>
      <c r="C21" s="61"/>
      <c r="D21" s="61"/>
      <c r="E21" s="61"/>
      <c r="F21" s="62"/>
    </row>
    <row r="22" spans="1:6" s="40" customFormat="1" ht="18.75">
      <c r="A22" s="57"/>
      <c r="B22" s="57"/>
      <c r="C22" s="57"/>
      <c r="D22" s="57"/>
      <c r="E22" s="57"/>
      <c r="F22" s="63"/>
    </row>
    <row r="23" spans="1:6" s="40" customFormat="1" ht="20.100000000000001" customHeight="1">
      <c r="A23" s="64" t="s">
        <v>39</v>
      </c>
      <c r="B23" s="48" t="s">
        <v>40</v>
      </c>
      <c r="C23" s="86"/>
      <c r="D23" s="86"/>
      <c r="E23" s="71" t="s">
        <v>28</v>
      </c>
      <c r="F23" s="154">
        <f>rekap!F31</f>
        <v>0</v>
      </c>
    </row>
    <row r="24" spans="1:6" s="40" customFormat="1" ht="20.100000000000001" customHeight="1">
      <c r="A24" s="64"/>
      <c r="B24" s="48"/>
      <c r="C24" s="86"/>
      <c r="D24" s="86"/>
      <c r="E24" s="86"/>
      <c r="F24" s="155"/>
    </row>
    <row r="25" spans="1:6" s="40" customFormat="1" ht="20.100000000000001" customHeight="1">
      <c r="A25" s="64"/>
      <c r="B25" s="47"/>
      <c r="C25" s="86"/>
      <c r="D25" s="66"/>
      <c r="E25" s="65"/>
      <c r="F25" s="156"/>
    </row>
    <row r="26" spans="1:6" s="40" customFormat="1" ht="20.100000000000001" customHeight="1">
      <c r="A26" s="67"/>
      <c r="B26" s="68"/>
      <c r="C26" s="87"/>
      <c r="D26" s="69"/>
      <c r="E26" s="70"/>
      <c r="F26" s="157"/>
    </row>
    <row r="27" spans="1:6" s="40" customFormat="1" ht="20.100000000000001" customHeight="1">
      <c r="A27" s="46"/>
      <c r="B27" s="46"/>
      <c r="C27" s="86"/>
      <c r="D27" s="86"/>
      <c r="E27" s="65"/>
      <c r="F27" s="158"/>
    </row>
    <row r="28" spans="1:6" s="97" customFormat="1" ht="12.75">
      <c r="A28" s="94"/>
      <c r="B28" s="95"/>
      <c r="C28" s="143" t="s">
        <v>30</v>
      </c>
      <c r="D28" s="94"/>
      <c r="E28" s="96" t="s">
        <v>28</v>
      </c>
      <c r="F28" s="159">
        <f>F23</f>
        <v>0</v>
      </c>
    </row>
    <row r="29" spans="1:6" s="97" customFormat="1" ht="12.75">
      <c r="A29" s="94"/>
      <c r="B29" s="95"/>
      <c r="C29" s="98" t="s">
        <v>31</v>
      </c>
      <c r="D29" s="94"/>
      <c r="E29" s="96" t="s">
        <v>28</v>
      </c>
      <c r="F29" s="160">
        <f>F23*0.005</f>
        <v>0</v>
      </c>
    </row>
    <row r="30" spans="1:6" s="97" customFormat="1" ht="12.75">
      <c r="A30" s="94"/>
      <c r="B30" s="95"/>
      <c r="C30" s="98" t="s">
        <v>32</v>
      </c>
      <c r="D30" s="94"/>
      <c r="E30" s="96" t="s">
        <v>28</v>
      </c>
      <c r="F30" s="160">
        <f>F23*0.02</f>
        <v>0</v>
      </c>
    </row>
    <row r="31" spans="1:6" s="97" customFormat="1" ht="12.75">
      <c r="A31" s="95"/>
      <c r="B31" s="95"/>
      <c r="C31" s="98" t="s">
        <v>33</v>
      </c>
      <c r="D31" s="457"/>
      <c r="E31" s="96" t="s">
        <v>28</v>
      </c>
      <c r="F31" s="160">
        <f>F23*0.005</f>
        <v>0</v>
      </c>
    </row>
    <row r="32" spans="1:6" s="97" customFormat="1" ht="12.75">
      <c r="A32" s="94"/>
      <c r="B32" s="94"/>
      <c r="C32" s="143" t="s">
        <v>34</v>
      </c>
      <c r="D32" s="94"/>
      <c r="E32" s="96" t="s">
        <v>28</v>
      </c>
      <c r="F32" s="159">
        <f>F28+F31+F30+F29</f>
        <v>0</v>
      </c>
    </row>
    <row r="33" spans="1:6" s="97" customFormat="1" ht="12.75">
      <c r="A33" s="94"/>
      <c r="B33" s="94"/>
      <c r="C33" s="98" t="s">
        <v>35</v>
      </c>
      <c r="D33" s="94"/>
      <c r="E33" s="96" t="s">
        <v>28</v>
      </c>
      <c r="F33" s="160">
        <f>F32*0.25</f>
        <v>0</v>
      </c>
    </row>
    <row r="34" spans="1:6" s="97" customFormat="1" ht="12.75">
      <c r="A34" s="94"/>
      <c r="B34" s="94"/>
      <c r="C34" s="143" t="s">
        <v>36</v>
      </c>
      <c r="D34" s="94"/>
      <c r="E34" s="96" t="s">
        <v>28</v>
      </c>
      <c r="F34" s="159">
        <f>F32+F33</f>
        <v>0</v>
      </c>
    </row>
    <row r="35" spans="1:6" ht="20.100000000000001" customHeight="1">
      <c r="A35" s="72"/>
      <c r="B35" s="53"/>
      <c r="C35" s="88"/>
      <c r="D35" s="73"/>
      <c r="E35" s="74"/>
      <c r="F35" s="79"/>
    </row>
    <row r="36" spans="1:6" ht="15.75">
      <c r="A36" s="73"/>
      <c r="B36" s="73"/>
      <c r="C36" s="73"/>
      <c r="D36" s="73"/>
      <c r="E36" s="73"/>
      <c r="F36" s="75"/>
    </row>
    <row r="37" spans="1:6" ht="23.25" customHeight="1">
      <c r="A37" s="68" t="s">
        <v>37</v>
      </c>
      <c r="B37" s="89"/>
      <c r="C37" s="76"/>
      <c r="D37" s="76"/>
      <c r="E37" s="76"/>
      <c r="F37" s="77"/>
    </row>
    <row r="38" spans="1:6" ht="15" customHeight="1">
      <c r="A38" s="46" t="s">
        <v>38</v>
      </c>
      <c r="B38" s="49"/>
      <c r="C38" s="73"/>
      <c r="D38" s="73"/>
      <c r="E38" s="78"/>
      <c r="F38" s="79"/>
    </row>
    <row r="39" spans="1:6" hidden="1">
      <c r="A39" s="38"/>
      <c r="B39" s="12"/>
      <c r="C39" s="9"/>
      <c r="D39" s="9"/>
      <c r="E39" s="13"/>
      <c r="F39" s="27"/>
    </row>
    <row r="40" spans="1:6">
      <c r="A40" s="38"/>
      <c r="B40" s="12"/>
      <c r="C40" s="9"/>
      <c r="D40" s="9"/>
      <c r="E40" s="13"/>
      <c r="F40" s="27"/>
    </row>
    <row r="41" spans="1:6">
      <c r="A41" s="38"/>
      <c r="B41" s="12"/>
      <c r="C41" s="9"/>
      <c r="D41" s="9"/>
      <c r="E41" s="13"/>
      <c r="F41" s="27"/>
    </row>
    <row r="42" spans="1:6">
      <c r="A42" s="38"/>
      <c r="B42" s="12"/>
      <c r="C42" s="9"/>
      <c r="D42" s="9"/>
      <c r="E42" s="13"/>
      <c r="F42" s="27"/>
    </row>
    <row r="43" spans="1:6">
      <c r="A43" s="38"/>
      <c r="B43" s="12"/>
      <c r="E43" s="13"/>
      <c r="F43" s="27"/>
    </row>
    <row r="44" spans="1:6">
      <c r="A44" s="38"/>
      <c r="B44" s="12"/>
      <c r="E44" s="13"/>
      <c r="F44" s="27"/>
    </row>
    <row r="45" spans="1:6">
      <c r="A45" s="38"/>
      <c r="B45" s="12"/>
      <c r="E45" s="13"/>
      <c r="F45" s="27"/>
    </row>
    <row r="46" spans="1:6">
      <c r="A46" s="38"/>
      <c r="B46" s="12"/>
      <c r="E46" s="13"/>
      <c r="F46" s="27"/>
    </row>
    <row r="47" spans="1:6">
      <c r="A47" s="38"/>
      <c r="B47" s="12"/>
      <c r="C47" s="9"/>
      <c r="D47" s="9"/>
      <c r="E47" s="13"/>
      <c r="F47" s="27"/>
    </row>
    <row r="48" spans="1:6">
      <c r="A48" s="14"/>
      <c r="B48" s="5"/>
      <c r="C48" s="9"/>
      <c r="D48" s="9"/>
      <c r="E48" s="13"/>
      <c r="F48" s="15"/>
    </row>
    <row r="49" spans="1:6">
      <c r="A49" s="9"/>
      <c r="B49" s="9"/>
      <c r="C49" s="9"/>
      <c r="D49" s="9"/>
      <c r="E49" s="9"/>
      <c r="F49" s="10"/>
    </row>
    <row r="50" spans="1:6">
      <c r="A50" s="9"/>
      <c r="B50" s="9"/>
      <c r="C50" s="9"/>
      <c r="D50" s="9"/>
      <c r="E50" s="9"/>
      <c r="F50" s="10"/>
    </row>
    <row r="51" spans="1:6">
      <c r="A51" s="11"/>
      <c r="B51" s="17"/>
      <c r="C51" s="11"/>
      <c r="D51" s="11"/>
      <c r="E51" s="11"/>
      <c r="F51" s="24"/>
    </row>
    <row r="52" spans="1:6">
      <c r="A52" s="12"/>
      <c r="B52" s="12"/>
      <c r="C52" s="11"/>
      <c r="D52" s="9"/>
      <c r="E52" s="13"/>
      <c r="F52" s="25"/>
    </row>
    <row r="53" spans="1:6">
      <c r="A53" s="12"/>
      <c r="B53" s="12"/>
      <c r="C53" s="11"/>
      <c r="D53" s="9"/>
      <c r="E53" s="13"/>
      <c r="F53" s="26"/>
    </row>
    <row r="54" spans="1:6">
      <c r="A54" s="12"/>
      <c r="B54" s="12"/>
      <c r="C54" s="11"/>
      <c r="D54" s="11"/>
      <c r="E54" s="13"/>
      <c r="F54" s="25"/>
    </row>
    <row r="55" spans="1:6">
      <c r="A55" s="12"/>
      <c r="B55" s="12"/>
      <c r="C55" s="11"/>
      <c r="D55" s="9"/>
      <c r="E55" s="13"/>
      <c r="F55" s="26"/>
    </row>
    <row r="56" spans="1:6">
      <c r="A56" s="12"/>
      <c r="B56" s="12"/>
      <c r="C56" s="11"/>
      <c r="D56" s="9"/>
      <c r="E56" s="13"/>
      <c r="F56" s="26"/>
    </row>
    <row r="57" spans="1:6">
      <c r="A57" s="12"/>
      <c r="B57" s="12"/>
      <c r="C57" s="11"/>
      <c r="D57" s="9"/>
      <c r="E57" s="13"/>
      <c r="F57" s="26"/>
    </row>
    <row r="58" spans="1:6">
      <c r="B58" s="5"/>
      <c r="C58" s="11"/>
      <c r="D58" s="9"/>
      <c r="E58" s="13"/>
      <c r="F58" s="27"/>
    </row>
    <row r="59" spans="1:6">
      <c r="A59" s="9"/>
      <c r="B59" s="9"/>
      <c r="C59" s="9"/>
      <c r="D59" s="9"/>
      <c r="E59" s="9"/>
      <c r="F59" s="10"/>
    </row>
    <row r="60" spans="1:6">
      <c r="A60" s="9"/>
      <c r="B60" s="9"/>
      <c r="C60" s="9"/>
      <c r="D60" s="9"/>
      <c r="E60" s="9"/>
      <c r="F60" s="10"/>
    </row>
    <row r="61" spans="1:6">
      <c r="A61" s="13"/>
      <c r="B61" s="17"/>
      <c r="C61" s="9"/>
      <c r="D61" s="9"/>
      <c r="E61" s="9"/>
      <c r="F61" s="10"/>
    </row>
    <row r="62" spans="1:6">
      <c r="A62" s="12"/>
      <c r="B62" s="12"/>
      <c r="C62" s="9"/>
      <c r="D62" s="9"/>
      <c r="E62" s="13"/>
      <c r="F62" s="26"/>
    </row>
    <row r="63" spans="1:6">
      <c r="A63" s="12"/>
      <c r="B63" s="12"/>
      <c r="E63" s="13"/>
      <c r="F63" s="26"/>
    </row>
    <row r="64" spans="1:6">
      <c r="A64" s="12"/>
      <c r="B64" s="12"/>
      <c r="E64" s="13"/>
      <c r="F64" s="26"/>
    </row>
    <row r="65" spans="1:6">
      <c r="A65" s="12"/>
      <c r="B65" s="12"/>
      <c r="C65" s="9"/>
      <c r="D65" s="9"/>
      <c r="E65" s="13"/>
    </row>
    <row r="66" spans="1:6">
      <c r="A66" s="14"/>
      <c r="B66" s="5"/>
      <c r="C66" s="9"/>
      <c r="D66" s="9"/>
      <c r="E66" s="13"/>
      <c r="F66" s="15"/>
    </row>
    <row r="67" spans="1:6">
      <c r="A67" s="14"/>
      <c r="B67" s="5"/>
      <c r="C67" s="9"/>
      <c r="D67" s="9"/>
      <c r="E67" s="13"/>
      <c r="F67" s="15"/>
    </row>
    <row r="68" spans="1:6">
      <c r="A68" s="12"/>
      <c r="B68" s="5"/>
      <c r="C68" s="9"/>
      <c r="D68" s="9"/>
      <c r="E68" s="13"/>
      <c r="F68" s="15"/>
    </row>
    <row r="69" spans="1:6">
      <c r="A69" s="12"/>
      <c r="B69" s="12"/>
      <c r="C69" s="9"/>
      <c r="D69" s="9"/>
      <c r="E69" s="13"/>
      <c r="F69" s="15"/>
    </row>
    <row r="70" spans="1:6">
      <c r="A70" s="14"/>
      <c r="B70" s="5"/>
      <c r="C70" s="9"/>
      <c r="D70" s="9"/>
      <c r="E70" s="13"/>
      <c r="F70" s="15"/>
    </row>
    <row r="71" spans="1:6">
      <c r="A71" s="14"/>
      <c r="C71" s="9"/>
      <c r="D71" s="9"/>
      <c r="E71" s="9"/>
      <c r="F71" s="10"/>
    </row>
    <row r="72" spans="1:6">
      <c r="A72" s="16"/>
      <c r="B72" s="17"/>
      <c r="C72" s="9"/>
      <c r="D72" s="9"/>
      <c r="E72" s="16"/>
      <c r="F72" s="15"/>
    </row>
    <row r="73" spans="1:6">
      <c r="A73" s="12"/>
      <c r="B73" s="12"/>
      <c r="C73" s="9"/>
      <c r="D73" s="9"/>
      <c r="E73" s="9"/>
      <c r="F73" s="10"/>
    </row>
    <row r="74" spans="1:6">
      <c r="A74" s="12"/>
      <c r="B74" s="12"/>
      <c r="C74" s="9"/>
      <c r="D74" s="9"/>
      <c r="E74" s="9"/>
      <c r="F74" s="10"/>
    </row>
    <row r="75" spans="1:6">
      <c r="A75" s="12"/>
      <c r="B75" s="12"/>
      <c r="C75" s="9"/>
      <c r="D75" s="9"/>
      <c r="E75" s="9"/>
      <c r="F75" s="10"/>
    </row>
    <row r="76" spans="1:6">
      <c r="A76" s="12"/>
      <c r="B76" s="12"/>
      <c r="C76" s="9"/>
      <c r="D76" s="9"/>
      <c r="E76" s="9"/>
      <c r="F76" s="10"/>
    </row>
    <row r="77" spans="1:6">
      <c r="A77" s="12"/>
      <c r="B77" s="12"/>
      <c r="C77" s="9"/>
      <c r="D77" s="9"/>
      <c r="E77" s="9"/>
      <c r="F77" s="10"/>
    </row>
    <row r="78" spans="1:6">
      <c r="A78" s="12"/>
      <c r="B78" s="12"/>
      <c r="C78" s="9"/>
      <c r="D78" s="9"/>
      <c r="E78" s="9"/>
      <c r="F78" s="10"/>
    </row>
    <row r="79" spans="1:6">
      <c r="A79" s="12"/>
      <c r="B79" s="12"/>
      <c r="C79" s="9"/>
      <c r="D79" s="9"/>
      <c r="E79" s="9"/>
      <c r="F79" s="10"/>
    </row>
    <row r="80" spans="1:6">
      <c r="A80" s="12"/>
      <c r="B80" s="12"/>
      <c r="C80" s="9"/>
      <c r="D80" s="9"/>
      <c r="E80" s="9"/>
      <c r="F80" s="10"/>
    </row>
    <row r="81" spans="1:6">
      <c r="A81" s="12"/>
      <c r="B81" s="12"/>
      <c r="C81" s="9"/>
      <c r="D81" s="9"/>
      <c r="E81" s="9"/>
      <c r="F81" s="10"/>
    </row>
    <row r="82" spans="1:6">
      <c r="A82" s="12"/>
      <c r="B82" s="12"/>
      <c r="C82" s="9"/>
      <c r="D82" s="9"/>
      <c r="E82" s="9"/>
      <c r="F82" s="10"/>
    </row>
    <row r="83" spans="1:6">
      <c r="A83" s="12"/>
      <c r="B83" s="12"/>
      <c r="C83" s="9"/>
      <c r="D83" s="9"/>
      <c r="E83" s="9"/>
      <c r="F83" s="10"/>
    </row>
    <row r="84" spans="1:6">
      <c r="A84" s="12"/>
      <c r="B84" s="12"/>
      <c r="C84" s="9"/>
      <c r="D84" s="9"/>
      <c r="E84" s="9"/>
      <c r="F84" s="10"/>
    </row>
    <row r="85" spans="1:6">
      <c r="A85" s="14"/>
      <c r="B85" s="5"/>
      <c r="C85" s="9"/>
      <c r="D85" s="9"/>
      <c r="E85" s="9"/>
      <c r="F85" s="15"/>
    </row>
    <row r="86" spans="1:6">
      <c r="A86" s="14"/>
      <c r="C86" s="9"/>
      <c r="D86" s="9"/>
      <c r="E86" s="9"/>
      <c r="F86" s="10"/>
    </row>
    <row r="87" spans="1:6">
      <c r="A87" s="16"/>
      <c r="B87" s="17"/>
      <c r="C87" s="9"/>
      <c r="D87" s="9"/>
      <c r="E87" s="9"/>
      <c r="F87" s="20"/>
    </row>
    <row r="90" spans="1:6">
      <c r="A90" s="18"/>
      <c r="B90" s="19"/>
      <c r="F90" s="20"/>
    </row>
    <row r="91" spans="1:6">
      <c r="A91" s="18"/>
      <c r="B91" s="19"/>
      <c r="F91" s="20"/>
    </row>
    <row r="92" spans="1:6">
      <c r="B92" s="19"/>
      <c r="F92" s="15"/>
    </row>
  </sheetData>
  <mergeCells count="6">
    <mergeCell ref="B15:E15"/>
    <mergeCell ref="B16:C16"/>
    <mergeCell ref="B18:F18"/>
    <mergeCell ref="B7:E7"/>
    <mergeCell ref="B9:E9"/>
    <mergeCell ref="B11:F11"/>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1" manualBreakCount="1">
    <brk id="8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2:F92"/>
  <sheetViews>
    <sheetView view="pageLayout" zoomScaleNormal="90" zoomScaleSheetLayoutView="115" workbookViewId="0">
      <selection activeCell="C38" sqref="C38"/>
    </sheetView>
  </sheetViews>
  <sheetFormatPr defaultRowHeight="15"/>
  <cols>
    <col min="1" max="1" width="13" customWidth="1"/>
    <col min="2" max="4" width="15.28515625" customWidth="1"/>
    <col min="5" max="5" width="12.28515625" customWidth="1"/>
    <col min="6" max="6" width="15.7109375" customWidth="1"/>
  </cols>
  <sheetData>
    <row r="2" spans="1:6">
      <c r="B2" s="93"/>
    </row>
    <row r="3" spans="1:6">
      <c r="B3" s="93"/>
    </row>
    <row r="4" spans="1:6">
      <c r="B4" s="93"/>
    </row>
    <row r="5" spans="1:6">
      <c r="B5" s="93"/>
    </row>
    <row r="6" spans="1:6">
      <c r="A6" s="1"/>
      <c r="B6" s="1"/>
      <c r="C6" s="1"/>
      <c r="D6" s="1"/>
      <c r="E6" s="1"/>
      <c r="F6" s="1"/>
    </row>
    <row r="7" spans="1:6" ht="77.25" customHeight="1">
      <c r="A7" s="80" t="s">
        <v>0</v>
      </c>
      <c r="B7" s="622" t="s">
        <v>392</v>
      </c>
      <c r="C7" s="622"/>
      <c r="D7" s="622"/>
      <c r="E7" s="622"/>
      <c r="F7" s="85"/>
    </row>
    <row r="8" spans="1:6">
      <c r="A8" s="65"/>
      <c r="B8" s="622"/>
      <c r="C8" s="622"/>
      <c r="D8" s="183"/>
      <c r="E8" s="183"/>
      <c r="F8" s="85"/>
    </row>
    <row r="9" spans="1:6">
      <c r="C9" s="52"/>
      <c r="D9" s="49"/>
      <c r="E9" s="50"/>
      <c r="F9" s="85"/>
    </row>
    <row r="10" spans="1:6" ht="15" customHeight="1">
      <c r="A10" s="65" t="s">
        <v>1</v>
      </c>
      <c r="B10" s="623" t="s">
        <v>393</v>
      </c>
      <c r="C10" s="624"/>
      <c r="D10" s="624"/>
      <c r="E10" s="624"/>
      <c r="F10" s="85"/>
    </row>
    <row r="11" spans="1:6">
      <c r="A11" s="65"/>
      <c r="B11" s="40"/>
      <c r="C11" s="194"/>
      <c r="D11" s="49"/>
      <c r="E11" s="50"/>
      <c r="F11" s="85"/>
    </row>
    <row r="12" spans="1:6">
      <c r="A12" s="65" t="s">
        <v>2</v>
      </c>
      <c r="B12" s="625" t="s">
        <v>400</v>
      </c>
      <c r="C12" s="625"/>
      <c r="D12" s="625"/>
      <c r="E12" s="625"/>
      <c r="F12" s="625"/>
    </row>
    <row r="13" spans="1:6" ht="14.45" customHeight="1">
      <c r="A13" s="65"/>
      <c r="C13" s="49"/>
      <c r="D13" s="49"/>
      <c r="E13" s="50"/>
      <c r="F13" s="85"/>
    </row>
    <row r="14" spans="1:6" ht="24" customHeight="1">
      <c r="A14" s="65"/>
      <c r="B14" s="193"/>
      <c r="C14" s="193"/>
      <c r="D14" s="193"/>
      <c r="E14" s="53"/>
      <c r="F14" s="85"/>
    </row>
    <row r="15" spans="1:6" ht="15.75">
      <c r="A15" s="192"/>
      <c r="B15" s="54"/>
      <c r="C15" s="53"/>
      <c r="D15" s="53"/>
      <c r="E15" s="53"/>
      <c r="F15" s="85"/>
    </row>
    <row r="16" spans="1:6">
      <c r="A16" s="192"/>
      <c r="B16" s="55"/>
      <c r="C16" s="49"/>
      <c r="D16" s="85"/>
      <c r="E16" s="50"/>
      <c r="F16" s="85"/>
    </row>
    <row r="17" spans="1:6" ht="44.25" customHeight="1">
      <c r="A17" s="284" t="s">
        <v>14</v>
      </c>
      <c r="B17" s="616" t="s">
        <v>401</v>
      </c>
      <c r="C17" s="616"/>
      <c r="D17" s="616"/>
      <c r="E17" s="616"/>
      <c r="F17" s="85"/>
    </row>
    <row r="18" spans="1:6">
      <c r="A18" s="51"/>
      <c r="B18" s="617"/>
      <c r="C18" s="618"/>
      <c r="D18" s="49"/>
      <c r="E18" s="50"/>
      <c r="F18" s="85"/>
    </row>
    <row r="19" spans="1:6">
      <c r="A19" s="49"/>
      <c r="B19" s="53"/>
      <c r="C19" s="49"/>
      <c r="D19" s="49"/>
      <c r="E19" s="49"/>
      <c r="F19" s="50"/>
    </row>
    <row r="20" spans="1:6" s="41" customFormat="1" ht="43.5" customHeight="1">
      <c r="A20" s="56"/>
      <c r="B20" s="620" t="s">
        <v>403</v>
      </c>
      <c r="C20" s="620"/>
      <c r="D20" s="620"/>
      <c r="E20" s="620"/>
      <c r="F20" s="621"/>
    </row>
    <row r="21" spans="1:6">
      <c r="A21" s="49"/>
      <c r="B21" s="53"/>
      <c r="C21" s="58"/>
      <c r="D21" s="49"/>
      <c r="E21" s="49"/>
      <c r="F21" s="50"/>
    </row>
    <row r="22" spans="1:6" ht="11.25" customHeight="1">
      <c r="A22" s="59"/>
      <c r="B22" s="85"/>
      <c r="C22" s="85"/>
      <c r="D22" s="85"/>
      <c r="E22" s="85"/>
      <c r="F22" s="85"/>
    </row>
    <row r="23" spans="1:6" s="40" customFormat="1" ht="26.25" customHeight="1" thickBot="1">
      <c r="A23" s="60" t="s">
        <v>26</v>
      </c>
      <c r="B23" s="61"/>
      <c r="C23" s="61"/>
      <c r="D23" s="61"/>
      <c r="E23" s="61"/>
      <c r="F23" s="62"/>
    </row>
    <row r="24" spans="1:6" s="40" customFormat="1" ht="18.75">
      <c r="A24" s="57"/>
      <c r="B24" s="57"/>
      <c r="C24" s="57"/>
      <c r="D24" s="57"/>
      <c r="E24" s="57"/>
      <c r="F24" s="63"/>
    </row>
    <row r="25" spans="1:6" s="40" customFormat="1" ht="20.100000000000001" customHeight="1">
      <c r="A25" s="64" t="s">
        <v>39</v>
      </c>
      <c r="B25" s="48" t="s">
        <v>40</v>
      </c>
      <c r="C25" s="86"/>
      <c r="D25" s="86"/>
      <c r="E25" s="71" t="s">
        <v>28</v>
      </c>
      <c r="F25" s="154">
        <f>'rekap+stolarija'!F36</f>
        <v>0</v>
      </c>
    </row>
    <row r="26" spans="1:6" s="40" customFormat="1" ht="20.100000000000001" customHeight="1">
      <c r="A26" s="64"/>
      <c r="B26" s="48"/>
      <c r="C26" s="86"/>
      <c r="D26" s="86"/>
      <c r="E26" s="86"/>
      <c r="F26" s="155"/>
    </row>
    <row r="27" spans="1:6" s="40" customFormat="1" ht="20.100000000000001" customHeight="1">
      <c r="A27" s="67"/>
      <c r="B27" s="68"/>
      <c r="C27" s="87"/>
      <c r="D27" s="69"/>
      <c r="E27" s="70"/>
      <c r="F27" s="157"/>
    </row>
    <row r="28" spans="1:6" s="40" customFormat="1" ht="20.100000000000001" customHeight="1">
      <c r="A28" s="46"/>
      <c r="B28" s="46"/>
      <c r="C28" s="86"/>
      <c r="D28" s="86"/>
      <c r="E28" s="65"/>
      <c r="F28" s="158"/>
    </row>
    <row r="29" spans="1:6" s="97" customFormat="1" ht="12.75">
      <c r="A29" s="94"/>
      <c r="B29" s="95"/>
      <c r="C29" s="143" t="s">
        <v>30</v>
      </c>
      <c r="D29" s="94"/>
      <c r="E29" s="96" t="s">
        <v>28</v>
      </c>
      <c r="F29" s="159">
        <f>F25</f>
        <v>0</v>
      </c>
    </row>
    <row r="30" spans="1:6" s="97" customFormat="1" ht="12.75">
      <c r="A30" s="95"/>
      <c r="B30" s="95"/>
      <c r="C30" s="98" t="s">
        <v>31</v>
      </c>
      <c r="D30" s="94"/>
      <c r="E30" s="96" t="s">
        <v>28</v>
      </c>
      <c r="F30" s="160">
        <f>F25*0.005</f>
        <v>0</v>
      </c>
    </row>
    <row r="31" spans="1:6" s="97" customFormat="1" ht="12.75">
      <c r="A31" s="95"/>
      <c r="B31" s="95"/>
      <c r="C31" s="98" t="s">
        <v>32</v>
      </c>
      <c r="D31" s="94"/>
      <c r="E31" s="96" t="s">
        <v>28</v>
      </c>
      <c r="F31" s="160">
        <f>F25*0.02</f>
        <v>0</v>
      </c>
    </row>
    <row r="32" spans="1:6" s="97" customFormat="1" ht="12.75">
      <c r="A32" s="95"/>
      <c r="B32" s="95"/>
      <c r="C32" s="98" t="s">
        <v>33</v>
      </c>
      <c r="D32" s="457"/>
      <c r="E32" s="96" t="s">
        <v>28</v>
      </c>
      <c r="F32" s="160">
        <f>F25*0.005</f>
        <v>0</v>
      </c>
    </row>
    <row r="33" spans="1:6" s="97" customFormat="1" ht="12.75">
      <c r="A33" s="94"/>
      <c r="B33" s="94"/>
      <c r="C33" s="143" t="s">
        <v>34</v>
      </c>
      <c r="D33" s="94"/>
      <c r="E33" s="96" t="s">
        <v>28</v>
      </c>
      <c r="F33" s="159">
        <f>F29+F30+F31+F32</f>
        <v>0</v>
      </c>
    </row>
    <row r="34" spans="1:6" s="97" customFormat="1" ht="12.75">
      <c r="A34" s="94"/>
      <c r="B34" s="94"/>
      <c r="C34" s="98" t="s">
        <v>35</v>
      </c>
      <c r="D34" s="94"/>
      <c r="E34" s="96" t="s">
        <v>28</v>
      </c>
      <c r="F34" s="160">
        <f>F33*0.25</f>
        <v>0</v>
      </c>
    </row>
    <row r="35" spans="1:6" s="97" customFormat="1" ht="12.75">
      <c r="A35" s="94"/>
      <c r="B35" s="94"/>
      <c r="C35" s="143" t="s">
        <v>36</v>
      </c>
      <c r="D35" s="94"/>
      <c r="E35" s="96" t="s">
        <v>28</v>
      </c>
      <c r="F35" s="159">
        <f>F33+F34</f>
        <v>0</v>
      </c>
    </row>
    <row r="36" spans="1:6" ht="20.100000000000001" customHeight="1">
      <c r="A36" s="72"/>
      <c r="B36" s="53"/>
      <c r="C36" s="88"/>
      <c r="D36" s="73"/>
      <c r="E36" s="74"/>
      <c r="F36" s="79"/>
    </row>
    <row r="37" spans="1:6" ht="15.75">
      <c r="A37" s="73"/>
      <c r="B37" s="73"/>
      <c r="C37" s="73"/>
      <c r="D37" s="73"/>
      <c r="E37" s="73"/>
      <c r="F37" s="75"/>
    </row>
    <row r="38" spans="1:6" ht="23.25" customHeight="1">
      <c r="A38" s="68" t="s">
        <v>37</v>
      </c>
      <c r="B38" s="89"/>
      <c r="C38" s="76"/>
      <c r="D38" s="76"/>
      <c r="E38" s="76"/>
      <c r="F38" s="77"/>
    </row>
    <row r="39" spans="1:6" ht="15" customHeight="1">
      <c r="A39" s="46" t="s">
        <v>38</v>
      </c>
      <c r="B39" s="49"/>
      <c r="C39" s="73"/>
      <c r="D39" s="73"/>
      <c r="E39" s="78"/>
      <c r="F39" s="79"/>
    </row>
    <row r="40" spans="1:6">
      <c r="A40" s="38"/>
      <c r="B40" s="12"/>
      <c r="C40" s="9"/>
      <c r="D40" s="9"/>
      <c r="E40" s="13"/>
      <c r="F40" s="27"/>
    </row>
    <row r="41" spans="1:6">
      <c r="A41" s="38"/>
      <c r="B41" s="12"/>
      <c r="C41" s="9"/>
      <c r="D41" s="9"/>
      <c r="E41" s="13"/>
      <c r="F41" s="27"/>
    </row>
    <row r="42" spans="1:6">
      <c r="A42" s="38"/>
      <c r="B42" s="12"/>
      <c r="C42" s="9"/>
      <c r="D42" s="9"/>
      <c r="E42" s="13"/>
      <c r="F42" s="27"/>
    </row>
    <row r="43" spans="1:6">
      <c r="A43" s="38"/>
      <c r="B43" s="12"/>
      <c r="E43" s="13"/>
      <c r="F43" s="27"/>
    </row>
    <row r="44" spans="1:6">
      <c r="A44" s="38"/>
      <c r="B44" s="12"/>
      <c r="E44" s="13"/>
      <c r="F44" s="27"/>
    </row>
    <row r="45" spans="1:6">
      <c r="A45" s="38"/>
      <c r="B45" s="12"/>
      <c r="E45" s="13"/>
      <c r="F45" s="27"/>
    </row>
    <row r="46" spans="1:6">
      <c r="A46" s="38"/>
      <c r="B46" s="12"/>
      <c r="E46" s="13"/>
      <c r="F46" s="27"/>
    </row>
    <row r="47" spans="1:6">
      <c r="A47" s="38"/>
      <c r="B47" s="12"/>
      <c r="C47" s="9"/>
      <c r="D47" s="9"/>
      <c r="E47" s="13"/>
      <c r="F47" s="27"/>
    </row>
    <row r="48" spans="1:6">
      <c r="A48" s="14"/>
      <c r="B48" s="5"/>
      <c r="C48" s="9"/>
      <c r="D48" s="9"/>
      <c r="E48" s="13"/>
      <c r="F48" s="15"/>
    </row>
    <row r="49" spans="1:6">
      <c r="A49" s="9"/>
      <c r="B49" s="9"/>
      <c r="C49" s="9"/>
      <c r="D49" s="9"/>
      <c r="E49" s="9"/>
      <c r="F49" s="10"/>
    </row>
    <row r="50" spans="1:6">
      <c r="A50" s="9"/>
      <c r="B50" s="9"/>
      <c r="C50" s="9"/>
      <c r="D50" s="9"/>
      <c r="E50" s="9"/>
      <c r="F50" s="10"/>
    </row>
    <row r="51" spans="1:6">
      <c r="A51" s="11"/>
      <c r="B51" s="17"/>
      <c r="C51" s="11"/>
      <c r="D51" s="11"/>
      <c r="E51" s="11"/>
      <c r="F51" s="24"/>
    </row>
    <row r="52" spans="1:6">
      <c r="A52" s="12"/>
      <c r="B52" s="12"/>
      <c r="C52" s="11"/>
      <c r="D52" s="9"/>
      <c r="E52" s="13"/>
      <c r="F52" s="25"/>
    </row>
    <row r="53" spans="1:6">
      <c r="A53" s="12"/>
      <c r="B53" s="12"/>
      <c r="C53" s="11"/>
      <c r="D53" s="9"/>
      <c r="E53" s="13"/>
      <c r="F53" s="26"/>
    </row>
    <row r="54" spans="1:6">
      <c r="A54" s="12"/>
      <c r="B54" s="12"/>
      <c r="C54" s="11"/>
      <c r="D54" s="11"/>
      <c r="E54" s="13"/>
      <c r="F54" s="25"/>
    </row>
    <row r="55" spans="1:6">
      <c r="A55" s="12"/>
      <c r="B55" s="12"/>
      <c r="C55" s="11"/>
      <c r="D55" s="9"/>
      <c r="E55" s="13"/>
      <c r="F55" s="26"/>
    </row>
    <row r="56" spans="1:6">
      <c r="A56" s="12"/>
      <c r="B56" s="12"/>
      <c r="C56" s="11"/>
      <c r="D56" s="9"/>
      <c r="E56" s="13"/>
      <c r="F56" s="26"/>
    </row>
    <row r="57" spans="1:6">
      <c r="A57" s="12"/>
      <c r="B57" s="12"/>
      <c r="C57" s="11"/>
      <c r="D57" s="9"/>
      <c r="E57" s="13"/>
      <c r="F57" s="26"/>
    </row>
    <row r="58" spans="1:6">
      <c r="B58" s="5"/>
      <c r="C58" s="11"/>
      <c r="D58" s="9"/>
      <c r="E58" s="13"/>
      <c r="F58" s="27"/>
    </row>
    <row r="59" spans="1:6">
      <c r="A59" s="9"/>
      <c r="B59" s="9"/>
      <c r="C59" s="9"/>
      <c r="D59" s="9"/>
      <c r="E59" s="9"/>
      <c r="F59" s="10"/>
    </row>
    <row r="60" spans="1:6">
      <c r="A60" s="9"/>
      <c r="B60" s="9"/>
      <c r="C60" s="9"/>
      <c r="D60" s="9"/>
      <c r="E60" s="9"/>
      <c r="F60" s="10"/>
    </row>
    <row r="61" spans="1:6">
      <c r="A61" s="13"/>
      <c r="B61" s="17"/>
      <c r="C61" s="9"/>
      <c r="D61" s="9"/>
      <c r="E61" s="9"/>
      <c r="F61" s="10"/>
    </row>
    <row r="62" spans="1:6">
      <c r="A62" s="12"/>
      <c r="B62" s="12"/>
      <c r="C62" s="9"/>
      <c r="D62" s="9"/>
      <c r="E62" s="13"/>
      <c r="F62" s="26"/>
    </row>
    <row r="63" spans="1:6">
      <c r="A63" s="12"/>
      <c r="B63" s="12"/>
      <c r="E63" s="13"/>
      <c r="F63" s="26"/>
    </row>
    <row r="64" spans="1:6">
      <c r="A64" s="12"/>
      <c r="B64" s="12"/>
      <c r="E64" s="13"/>
      <c r="F64" s="26"/>
    </row>
    <row r="65" spans="1:6">
      <c r="A65" s="12"/>
      <c r="B65" s="12"/>
      <c r="C65" s="9"/>
      <c r="D65" s="9"/>
      <c r="E65" s="13"/>
    </row>
    <row r="66" spans="1:6">
      <c r="A66" s="14"/>
      <c r="B66" s="5"/>
      <c r="C66" s="9"/>
      <c r="D66" s="9"/>
      <c r="E66" s="13"/>
      <c r="F66" s="15"/>
    </row>
    <row r="67" spans="1:6">
      <c r="A67" s="14"/>
      <c r="B67" s="5"/>
      <c r="C67" s="9"/>
      <c r="D67" s="9"/>
      <c r="E67" s="13"/>
      <c r="F67" s="15"/>
    </row>
    <row r="68" spans="1:6">
      <c r="A68" s="12"/>
      <c r="B68" s="5"/>
      <c r="C68" s="9"/>
      <c r="D68" s="9"/>
      <c r="E68" s="13"/>
      <c r="F68" s="15"/>
    </row>
    <row r="69" spans="1:6">
      <c r="A69" s="12"/>
      <c r="B69" s="12"/>
      <c r="C69" s="9"/>
      <c r="D69" s="9"/>
      <c r="E69" s="13"/>
      <c r="F69" s="15"/>
    </row>
    <row r="70" spans="1:6">
      <c r="A70" s="14"/>
      <c r="B70" s="5"/>
      <c r="C70" s="9"/>
      <c r="D70" s="9"/>
      <c r="E70" s="13"/>
      <c r="F70" s="15"/>
    </row>
    <row r="71" spans="1:6">
      <c r="A71" s="14"/>
      <c r="C71" s="9"/>
      <c r="D71" s="9"/>
      <c r="E71" s="9"/>
      <c r="F71" s="10"/>
    </row>
    <row r="72" spans="1:6">
      <c r="A72" s="16"/>
      <c r="B72" s="17"/>
      <c r="C72" s="9"/>
      <c r="D72" s="9"/>
      <c r="E72" s="16"/>
      <c r="F72" s="15"/>
    </row>
    <row r="73" spans="1:6">
      <c r="A73" s="12"/>
      <c r="B73" s="12"/>
      <c r="C73" s="9"/>
      <c r="D73" s="9"/>
      <c r="E73" s="9"/>
      <c r="F73" s="10"/>
    </row>
    <row r="74" spans="1:6">
      <c r="A74" s="12"/>
      <c r="B74" s="12"/>
      <c r="C74" s="9"/>
      <c r="D74" s="9"/>
      <c r="E74" s="9"/>
      <c r="F74" s="10"/>
    </row>
    <row r="75" spans="1:6">
      <c r="A75" s="12"/>
      <c r="B75" s="12"/>
      <c r="C75" s="9"/>
      <c r="D75" s="9"/>
      <c r="E75" s="9"/>
      <c r="F75" s="10"/>
    </row>
    <row r="76" spans="1:6">
      <c r="A76" s="12"/>
      <c r="B76" s="12"/>
      <c r="C76" s="9"/>
      <c r="D76" s="9"/>
      <c r="E76" s="9"/>
      <c r="F76" s="10"/>
    </row>
    <row r="77" spans="1:6">
      <c r="A77" s="12"/>
      <c r="B77" s="12"/>
      <c r="C77" s="9"/>
      <c r="D77" s="9"/>
      <c r="E77" s="9"/>
      <c r="F77" s="10"/>
    </row>
    <row r="78" spans="1:6">
      <c r="A78" s="12"/>
      <c r="B78" s="12"/>
      <c r="C78" s="9"/>
      <c r="D78" s="9"/>
      <c r="E78" s="9"/>
      <c r="F78" s="10"/>
    </row>
    <row r="79" spans="1:6">
      <c r="A79" s="12"/>
      <c r="B79" s="12"/>
      <c r="C79" s="9"/>
      <c r="D79" s="9"/>
      <c r="E79" s="9"/>
      <c r="F79" s="10"/>
    </row>
    <row r="80" spans="1:6">
      <c r="A80" s="12"/>
      <c r="B80" s="12"/>
      <c r="C80" s="9"/>
      <c r="D80" s="9"/>
      <c r="E80" s="9"/>
      <c r="F80" s="10"/>
    </row>
    <row r="81" spans="1:6">
      <c r="A81" s="12"/>
      <c r="B81" s="12"/>
      <c r="C81" s="9"/>
      <c r="D81" s="9"/>
      <c r="E81" s="9"/>
      <c r="F81" s="10"/>
    </row>
    <row r="82" spans="1:6">
      <c r="A82" s="12"/>
      <c r="B82" s="12"/>
      <c r="C82" s="9"/>
      <c r="D82" s="9"/>
      <c r="E82" s="9"/>
      <c r="F82" s="10"/>
    </row>
    <row r="83" spans="1:6">
      <c r="A83" s="12"/>
      <c r="B83" s="12"/>
      <c r="C83" s="9"/>
      <c r="D83" s="9"/>
      <c r="E83" s="9"/>
      <c r="F83" s="10"/>
    </row>
    <row r="84" spans="1:6">
      <c r="A84" s="12"/>
      <c r="B84" s="12"/>
      <c r="C84" s="9"/>
      <c r="D84" s="9"/>
      <c r="E84" s="9"/>
      <c r="F84" s="10"/>
    </row>
    <row r="85" spans="1:6">
      <c r="A85" s="14"/>
      <c r="B85" s="5"/>
      <c r="C85" s="9"/>
      <c r="D85" s="9"/>
      <c r="E85" s="9"/>
      <c r="F85" s="15"/>
    </row>
    <row r="86" spans="1:6">
      <c r="A86" s="14"/>
      <c r="C86" s="9"/>
      <c r="D86" s="9"/>
      <c r="E86" s="9"/>
      <c r="F86" s="10"/>
    </row>
    <row r="87" spans="1:6">
      <c r="A87" s="16"/>
      <c r="B87" s="17"/>
      <c r="C87" s="9"/>
      <c r="D87" s="9"/>
      <c r="E87" s="9"/>
      <c r="F87" s="20"/>
    </row>
    <row r="90" spans="1:6">
      <c r="A90" s="18"/>
      <c r="B90" s="19"/>
      <c r="F90" s="20"/>
    </row>
    <row r="91" spans="1:6">
      <c r="A91" s="18"/>
      <c r="B91" s="19"/>
      <c r="F91" s="20"/>
    </row>
    <row r="92" spans="1:6">
      <c r="B92" s="19"/>
      <c r="F92" s="15"/>
    </row>
  </sheetData>
  <mergeCells count="7">
    <mergeCell ref="B18:C18"/>
    <mergeCell ref="B20:F20"/>
    <mergeCell ref="B17:E17"/>
    <mergeCell ref="B8:C8"/>
    <mergeCell ref="B7:E7"/>
    <mergeCell ref="B10:E10"/>
    <mergeCell ref="B12:F12"/>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1" manualBreakCount="1">
    <brk id="8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indexed="50"/>
  </sheetPr>
  <dimension ref="A1:J74"/>
  <sheetViews>
    <sheetView view="pageLayout" zoomScaleNormal="90" zoomScaleSheetLayoutView="115" workbookViewId="0">
      <selection activeCell="A17" sqref="A17:E17"/>
    </sheetView>
  </sheetViews>
  <sheetFormatPr defaultRowHeight="15"/>
  <cols>
    <col min="2" max="2" width="34.28515625" customWidth="1"/>
    <col min="3" max="3" width="7.28515625" customWidth="1"/>
    <col min="4" max="4" width="12.42578125" customWidth="1"/>
    <col min="5" max="5" width="8.42578125" customWidth="1"/>
    <col min="6" max="6" width="14.7109375" customWidth="1"/>
    <col min="8" max="8" width="11.85546875" bestFit="1" customWidth="1"/>
    <col min="10" max="10" width="11.85546875" bestFit="1" customWidth="1"/>
  </cols>
  <sheetData>
    <row r="1" spans="1:7">
      <c r="A1" s="140"/>
      <c r="B1" s="140"/>
      <c r="C1" s="140"/>
      <c r="D1" s="140"/>
      <c r="E1" s="140"/>
      <c r="F1" s="140"/>
    </row>
    <row r="2" spans="1:7">
      <c r="A2" s="140"/>
      <c r="B2" s="140"/>
      <c r="C2" s="140"/>
      <c r="D2" s="140"/>
      <c r="E2" s="140"/>
      <c r="F2" s="140"/>
    </row>
    <row r="3" spans="1:7">
      <c r="A3" s="140"/>
      <c r="B3" s="140"/>
      <c r="C3" s="140"/>
      <c r="D3" s="140"/>
      <c r="E3" s="140"/>
      <c r="F3" s="140"/>
    </row>
    <row r="4" spans="1:7">
      <c r="A4" s="2"/>
      <c r="B4" s="4"/>
      <c r="C4" s="2"/>
      <c r="D4" s="2"/>
      <c r="E4" s="2"/>
      <c r="F4" s="3"/>
    </row>
    <row r="5" spans="1:7" ht="24.75" customHeight="1">
      <c r="A5" s="626" t="s">
        <v>41</v>
      </c>
      <c r="B5" s="627"/>
      <c r="C5" s="627"/>
      <c r="D5" s="627"/>
      <c r="E5" s="627"/>
      <c r="F5" s="50"/>
    </row>
    <row r="6" spans="1:7">
      <c r="A6" s="49"/>
      <c r="B6" s="53"/>
      <c r="C6" s="58"/>
      <c r="D6" s="49"/>
      <c r="E6" s="49"/>
      <c r="F6" s="50"/>
    </row>
    <row r="7" spans="1:7">
      <c r="A7" s="49"/>
      <c r="B7" s="53"/>
      <c r="C7" s="58"/>
      <c r="D7" s="49"/>
      <c r="E7" s="49"/>
      <c r="F7" s="50"/>
    </row>
    <row r="8" spans="1:7" ht="18.75">
      <c r="A8" s="59"/>
      <c r="B8" s="137"/>
      <c r="C8" s="137"/>
      <c r="D8" s="137"/>
      <c r="E8" s="137"/>
      <c r="F8" s="137"/>
    </row>
    <row r="9" spans="1:7" ht="18.75">
      <c r="A9" s="59" t="s">
        <v>42</v>
      </c>
      <c r="B9" s="59"/>
      <c r="C9" s="59"/>
      <c r="D9" s="59"/>
      <c r="E9" s="59"/>
      <c r="F9" s="165"/>
    </row>
    <row r="10" spans="1:7" ht="18.75">
      <c r="A10" s="59"/>
      <c r="B10" s="226"/>
      <c r="C10" s="59"/>
      <c r="D10" s="59"/>
      <c r="E10" s="59"/>
      <c r="F10" s="165"/>
    </row>
    <row r="11" spans="1:7">
      <c r="A11" s="80"/>
      <c r="B11" s="58"/>
      <c r="C11" s="80"/>
      <c r="D11" s="80"/>
      <c r="E11" s="80"/>
      <c r="F11" s="166"/>
    </row>
    <row r="12" spans="1:7" ht="15.75" thickBot="1">
      <c r="A12" s="167" t="s">
        <v>43</v>
      </c>
      <c r="B12" s="168" t="s">
        <v>44</v>
      </c>
      <c r="C12" s="169"/>
      <c r="D12" s="169"/>
      <c r="E12" s="170"/>
      <c r="F12" s="171"/>
    </row>
    <row r="13" spans="1:7">
      <c r="A13" s="172"/>
      <c r="B13" s="58"/>
      <c r="C13" s="80"/>
      <c r="D13" s="80"/>
      <c r="E13" s="78"/>
      <c r="F13" s="173"/>
      <c r="G13" s="88"/>
    </row>
    <row r="14" spans="1:7">
      <c r="A14" s="49" t="s">
        <v>45</v>
      </c>
      <c r="B14" s="49" t="s">
        <v>46</v>
      </c>
      <c r="C14" s="80"/>
      <c r="D14" s="80"/>
      <c r="E14" s="78" t="s">
        <v>28</v>
      </c>
      <c r="F14" s="174">
        <f>'A.I.1. pri+skela'!F70</f>
        <v>0</v>
      </c>
      <c r="G14" s="88"/>
    </row>
    <row r="15" spans="1:7">
      <c r="A15" s="49" t="s">
        <v>47</v>
      </c>
      <c r="B15" s="49" t="s">
        <v>48</v>
      </c>
      <c r="C15" s="140"/>
      <c r="D15" s="49"/>
      <c r="E15" s="78" t="s">
        <v>28</v>
      </c>
      <c r="F15" s="174">
        <f>'A.II.1.dem'!F93</f>
        <v>0</v>
      </c>
      <c r="G15" s="88"/>
    </row>
    <row r="16" spans="1:7">
      <c r="A16" s="49" t="s">
        <v>49</v>
      </c>
      <c r="B16" s="49" t="s">
        <v>50</v>
      </c>
      <c r="C16" s="140"/>
      <c r="D16" s="49"/>
      <c r="E16" s="78" t="s">
        <v>28</v>
      </c>
      <c r="F16" s="174">
        <f>'A.III.1.zid'!F55</f>
        <v>0</v>
      </c>
      <c r="G16" s="88"/>
    </row>
    <row r="17" spans="1:10">
      <c r="A17" s="49" t="s">
        <v>51</v>
      </c>
      <c r="B17" s="49" t="s">
        <v>52</v>
      </c>
      <c r="C17" s="140"/>
      <c r="D17" s="49"/>
      <c r="E17" s="78" t="s">
        <v>28</v>
      </c>
      <c r="F17" s="174">
        <f>'A.IV.izo'!F93</f>
        <v>0</v>
      </c>
      <c r="G17" s="88"/>
    </row>
    <row r="18" spans="1:10" ht="15.75" thickBot="1">
      <c r="A18" s="49" t="s">
        <v>53</v>
      </c>
      <c r="B18" s="49" t="s">
        <v>519</v>
      </c>
      <c r="C18" s="140"/>
      <c r="D18" s="49"/>
      <c r="E18" s="78" t="s">
        <v>28</v>
      </c>
      <c r="F18" s="174">
        <f>'A.V.zem'!F40</f>
        <v>0</v>
      </c>
      <c r="G18" s="88"/>
    </row>
    <row r="19" spans="1:10" ht="16.5" thickBot="1">
      <c r="A19" s="72" t="s">
        <v>43</v>
      </c>
      <c r="B19" s="53" t="s">
        <v>54</v>
      </c>
      <c r="C19" s="80"/>
      <c r="D19" s="73"/>
      <c r="E19" s="78" t="s">
        <v>28</v>
      </c>
      <c r="F19" s="164">
        <f>SUM(F14:F18)</f>
        <v>0</v>
      </c>
      <c r="G19" s="88"/>
      <c r="H19" s="400"/>
    </row>
    <row r="20" spans="1:10" ht="15.75">
      <c r="A20" s="73"/>
      <c r="B20" s="73"/>
      <c r="C20" s="73"/>
      <c r="D20" s="73"/>
      <c r="E20" s="73"/>
      <c r="F20" s="75"/>
      <c r="G20" s="73"/>
    </row>
    <row r="21" spans="1:10" ht="16.5" thickBot="1">
      <c r="A21" s="167" t="s">
        <v>55</v>
      </c>
      <c r="B21" s="168" t="s">
        <v>56</v>
      </c>
      <c r="C21" s="175"/>
      <c r="D21" s="175"/>
      <c r="E21" s="175"/>
      <c r="F21" s="176"/>
      <c r="G21" s="73"/>
    </row>
    <row r="22" spans="1:10" ht="15.75">
      <c r="A22" s="172"/>
      <c r="B22" s="58"/>
      <c r="C22" s="73"/>
      <c r="D22" s="73"/>
      <c r="E22" s="73"/>
      <c r="F22" s="177"/>
      <c r="G22" s="92"/>
      <c r="J22" s="400"/>
    </row>
    <row r="23" spans="1:10" ht="15.75">
      <c r="A23" s="49" t="s">
        <v>57</v>
      </c>
      <c r="B23" s="49" t="s">
        <v>58</v>
      </c>
      <c r="C23" s="140"/>
      <c r="D23" s="49"/>
      <c r="E23" s="78" t="s">
        <v>28</v>
      </c>
      <c r="F23" s="174">
        <f>'B.I.lim'!F67</f>
        <v>0</v>
      </c>
      <c r="G23" s="92"/>
    </row>
    <row r="24" spans="1:10" ht="15.75">
      <c r="A24" s="49" t="s">
        <v>59</v>
      </c>
      <c r="B24" s="49" t="s">
        <v>547</v>
      </c>
      <c r="C24" s="73"/>
      <c r="D24" s="49"/>
      <c r="E24" s="78" t="s">
        <v>28</v>
      </c>
      <c r="F24" s="174">
        <f>'B.II.1. sto'!F75</f>
        <v>0</v>
      </c>
      <c r="G24" s="92"/>
    </row>
    <row r="25" spans="1:10" ht="15.75">
      <c r="A25" s="49" t="s">
        <v>60</v>
      </c>
      <c r="B25" s="49" t="s">
        <v>61</v>
      </c>
      <c r="C25" s="73"/>
      <c r="D25" s="73"/>
      <c r="E25" s="78" t="s">
        <v>28</v>
      </c>
      <c r="F25" s="174">
        <f>'B.III.zz'!F118</f>
        <v>0</v>
      </c>
      <c r="G25" s="92"/>
    </row>
    <row r="26" spans="1:10" ht="15.75">
      <c r="A26" s="49" t="s">
        <v>62</v>
      </c>
      <c r="B26" s="49" t="s">
        <v>63</v>
      </c>
      <c r="C26" s="73"/>
      <c r="D26" s="73"/>
      <c r="E26" s="78" t="s">
        <v>28</v>
      </c>
      <c r="F26" s="174">
        <f>'B.IV.1.lič'!F105</f>
        <v>0</v>
      </c>
      <c r="G26" s="92"/>
    </row>
    <row r="27" spans="1:10" ht="15.75">
      <c r="A27" s="49" t="s">
        <v>64</v>
      </c>
      <c r="B27" s="49" t="s">
        <v>662</v>
      </c>
      <c r="C27" s="73"/>
      <c r="D27" s="73"/>
      <c r="E27" s="78" t="s">
        <v>28</v>
      </c>
      <c r="F27" s="174">
        <f>'B.V.podopol.'!F33</f>
        <v>0</v>
      </c>
      <c r="G27" s="92"/>
    </row>
    <row r="28" spans="1:10" ht="16.5" thickBot="1">
      <c r="A28" s="49" t="s">
        <v>65</v>
      </c>
      <c r="B28" s="49" t="s">
        <v>661</v>
      </c>
      <c r="C28" s="73"/>
      <c r="D28" s="73"/>
      <c r="E28" s="78" t="s">
        <v>28</v>
      </c>
      <c r="F28" s="174">
        <f>B.brav!F81</f>
        <v>0</v>
      </c>
      <c r="G28" s="92"/>
    </row>
    <row r="29" spans="1:10" ht="16.5" thickBot="1">
      <c r="A29" s="72" t="s">
        <v>55</v>
      </c>
      <c r="B29" s="53" t="s">
        <v>67</v>
      </c>
      <c r="C29" s="73"/>
      <c r="D29" s="73"/>
      <c r="E29" s="78" t="s">
        <v>28</v>
      </c>
      <c r="F29" s="164">
        <f>SUM(F23:F28)</f>
        <v>0</v>
      </c>
      <c r="G29" s="92"/>
    </row>
    <row r="30" spans="1:10" ht="16.5" thickBot="1">
      <c r="A30" s="80"/>
      <c r="B30" s="58"/>
      <c r="C30" s="73"/>
      <c r="D30" s="73"/>
      <c r="E30" s="78"/>
      <c r="F30" s="178"/>
    </row>
    <row r="31" spans="1:10" ht="16.5" thickBot="1">
      <c r="A31" s="179"/>
      <c r="B31" s="180" t="s">
        <v>68</v>
      </c>
      <c r="C31" s="181"/>
      <c r="D31" s="181"/>
      <c r="E31" s="182" t="s">
        <v>28</v>
      </c>
      <c r="F31" s="164">
        <f>SUM(F19+F29)</f>
        <v>0</v>
      </c>
    </row>
    <row r="32" spans="1:10" s="45" customFormat="1">
      <c r="A32" s="58"/>
      <c r="B32" s="44"/>
      <c r="C32" s="44"/>
      <c r="D32" s="44"/>
      <c r="E32" s="78"/>
      <c r="F32" s="81"/>
      <c r="G32" s="33"/>
      <c r="H32" s="33"/>
      <c r="I32" s="33"/>
      <c r="J32" s="33"/>
    </row>
    <row r="33" spans="1:7" s="45" customFormat="1">
      <c r="A33" s="16"/>
      <c r="B33" s="17"/>
      <c r="C33" s="9"/>
      <c r="D33" s="9"/>
      <c r="E33" s="16"/>
      <c r="F33" s="39"/>
      <c r="G33" s="33"/>
    </row>
    <row r="34" spans="1:7">
      <c r="A34" s="11"/>
      <c r="B34" s="17"/>
      <c r="C34" s="11"/>
      <c r="D34" s="11"/>
      <c r="E34" s="11"/>
      <c r="F34" s="24"/>
    </row>
    <row r="35" spans="1:7">
      <c r="A35" s="12"/>
      <c r="B35" s="12"/>
      <c r="C35" s="11"/>
      <c r="D35" s="9"/>
      <c r="E35" s="13"/>
      <c r="F35" s="25"/>
    </row>
    <row r="36" spans="1:7">
      <c r="A36" s="12"/>
      <c r="B36" s="12"/>
      <c r="C36" s="11"/>
      <c r="D36" s="9"/>
      <c r="E36" s="13"/>
      <c r="F36" s="26"/>
    </row>
    <row r="37" spans="1:7">
      <c r="A37" s="12"/>
      <c r="B37" s="12"/>
      <c r="C37" s="11"/>
      <c r="D37" s="11"/>
      <c r="E37" s="13"/>
      <c r="F37" s="25"/>
    </row>
    <row r="38" spans="1:7">
      <c r="A38" s="12"/>
      <c r="B38" s="12"/>
      <c r="C38" s="11"/>
      <c r="D38" s="9"/>
      <c r="E38" s="13"/>
      <c r="F38" s="26"/>
    </row>
    <row r="39" spans="1:7">
      <c r="A39" s="12"/>
      <c r="B39" s="12"/>
      <c r="C39" s="11"/>
      <c r="D39" s="9"/>
      <c r="E39" s="13"/>
      <c r="F39" s="26"/>
    </row>
    <row r="40" spans="1:7">
      <c r="A40" s="12"/>
      <c r="B40" s="12"/>
      <c r="C40" s="11"/>
      <c r="D40" s="9"/>
      <c r="E40" s="13"/>
      <c r="F40" s="26"/>
    </row>
    <row r="41" spans="1:7" ht="15" customHeight="1">
      <c r="B41" s="5"/>
      <c r="C41" s="11"/>
      <c r="D41" s="9"/>
      <c r="E41" s="13"/>
      <c r="F41" s="27"/>
    </row>
    <row r="42" spans="1:7" hidden="1">
      <c r="A42" s="9"/>
      <c r="B42" s="9"/>
      <c r="C42" s="9"/>
      <c r="D42" s="9"/>
      <c r="E42" s="9"/>
      <c r="F42" s="10"/>
    </row>
    <row r="43" spans="1:7">
      <c r="A43" s="13"/>
      <c r="B43" s="17"/>
      <c r="C43" s="9"/>
      <c r="D43" s="9"/>
      <c r="E43" s="9"/>
      <c r="F43" s="10"/>
    </row>
    <row r="44" spans="1:7">
      <c r="A44" s="12"/>
      <c r="B44" s="12"/>
      <c r="C44" s="9"/>
      <c r="D44" s="9"/>
      <c r="E44" s="13"/>
      <c r="F44" s="26"/>
    </row>
    <row r="45" spans="1:7">
      <c r="A45" s="12"/>
      <c r="B45" s="12"/>
      <c r="E45" s="13"/>
      <c r="F45" s="26"/>
    </row>
    <row r="46" spans="1:7">
      <c r="A46" s="12"/>
      <c r="B46" s="12"/>
      <c r="E46" s="13"/>
      <c r="F46" s="26"/>
    </row>
    <row r="47" spans="1:7">
      <c r="A47" s="12"/>
      <c r="B47" s="12"/>
      <c r="C47" s="9"/>
      <c r="D47" s="9"/>
      <c r="E47" s="13"/>
    </row>
    <row r="48" spans="1:7">
      <c r="A48" s="14"/>
      <c r="B48" s="5"/>
      <c r="C48" s="9"/>
      <c r="D48" s="9"/>
      <c r="E48" s="13"/>
      <c r="F48" s="15"/>
    </row>
    <row r="49" spans="1:6">
      <c r="A49" s="14"/>
      <c r="B49" s="5"/>
      <c r="C49" s="9"/>
      <c r="D49" s="9"/>
      <c r="E49" s="13"/>
      <c r="F49" s="15"/>
    </row>
    <row r="50" spans="1:6">
      <c r="A50" s="12"/>
      <c r="B50" s="5"/>
      <c r="C50" s="9"/>
      <c r="D50" s="9"/>
      <c r="E50" s="13"/>
      <c r="F50" s="15"/>
    </row>
    <row r="51" spans="1:6">
      <c r="A51" s="12"/>
      <c r="B51" s="12"/>
      <c r="C51" s="9"/>
      <c r="D51" s="9"/>
      <c r="E51" s="13"/>
      <c r="F51" s="15"/>
    </row>
    <row r="52" spans="1:6">
      <c r="A52" s="14"/>
      <c r="B52" s="5"/>
      <c r="C52" s="9"/>
      <c r="D52" s="9"/>
      <c r="E52" s="13"/>
      <c r="F52" s="15"/>
    </row>
    <row r="53" spans="1:6">
      <c r="A53" s="14"/>
      <c r="C53" s="9"/>
      <c r="D53" s="9"/>
      <c r="E53" s="9"/>
      <c r="F53" s="10"/>
    </row>
    <row r="54" spans="1:6">
      <c r="A54" s="16"/>
      <c r="B54" s="17"/>
      <c r="C54" s="9"/>
      <c r="D54" s="9"/>
      <c r="E54" s="16"/>
      <c r="F54" s="15"/>
    </row>
    <row r="55" spans="1:6">
      <c r="A55" s="12"/>
      <c r="B55" s="12"/>
      <c r="C55" s="9"/>
      <c r="D55" s="9"/>
      <c r="E55" s="9"/>
      <c r="F55" s="10"/>
    </row>
    <row r="56" spans="1:6">
      <c r="A56" s="12"/>
      <c r="B56" s="12"/>
      <c r="C56" s="9"/>
      <c r="D56" s="9"/>
      <c r="E56" s="9"/>
      <c r="F56" s="10"/>
    </row>
    <row r="57" spans="1:6">
      <c r="A57" s="12"/>
      <c r="B57" s="12"/>
      <c r="C57" s="9"/>
      <c r="D57" s="9"/>
      <c r="E57" s="9"/>
      <c r="F57" s="10"/>
    </row>
    <row r="58" spans="1:6">
      <c r="A58" s="12"/>
      <c r="B58" s="12"/>
      <c r="C58" s="9"/>
      <c r="D58" s="9"/>
      <c r="E58" s="9"/>
      <c r="F58" s="10"/>
    </row>
    <row r="59" spans="1:6">
      <c r="A59" s="12"/>
      <c r="B59" s="12"/>
      <c r="C59" s="9"/>
      <c r="D59" s="9"/>
      <c r="E59" s="9"/>
      <c r="F59" s="10"/>
    </row>
    <row r="60" spans="1:6">
      <c r="A60" s="12"/>
      <c r="B60" s="12"/>
      <c r="C60" s="9"/>
      <c r="D60" s="9"/>
      <c r="E60" s="9"/>
      <c r="F60" s="10"/>
    </row>
    <row r="61" spans="1:6">
      <c r="A61" s="12"/>
      <c r="B61" s="12"/>
      <c r="C61" s="9"/>
      <c r="D61" s="9"/>
      <c r="E61" s="9"/>
      <c r="F61" s="10"/>
    </row>
    <row r="62" spans="1:6">
      <c r="A62" s="12"/>
      <c r="B62" s="12"/>
      <c r="C62" s="9"/>
      <c r="D62" s="9"/>
      <c r="E62" s="9"/>
      <c r="F62" s="10"/>
    </row>
    <row r="63" spans="1:6">
      <c r="A63" s="12"/>
      <c r="B63" s="12"/>
      <c r="C63" s="9"/>
      <c r="D63" s="9"/>
      <c r="E63" s="9"/>
      <c r="F63" s="10"/>
    </row>
    <row r="64" spans="1:6">
      <c r="A64" s="12"/>
      <c r="B64" s="12"/>
      <c r="C64" s="9"/>
      <c r="D64" s="9"/>
      <c r="E64" s="9"/>
      <c r="F64" s="10"/>
    </row>
    <row r="65" spans="1:6">
      <c r="A65" s="12"/>
      <c r="B65" s="12"/>
      <c r="C65" s="9"/>
      <c r="D65" s="9"/>
      <c r="E65" s="9"/>
      <c r="F65" s="10"/>
    </row>
    <row r="66" spans="1:6">
      <c r="A66" s="12"/>
      <c r="B66" s="12"/>
      <c r="C66" s="9"/>
      <c r="D66" s="9"/>
      <c r="E66" s="9"/>
      <c r="F66" s="10"/>
    </row>
    <row r="67" spans="1:6">
      <c r="A67" s="14"/>
      <c r="B67" s="5"/>
      <c r="C67" s="9"/>
      <c r="D67" s="9"/>
      <c r="E67" s="9"/>
      <c r="F67" s="15"/>
    </row>
    <row r="68" spans="1:6">
      <c r="A68" s="14"/>
      <c r="C68" s="9"/>
      <c r="D68" s="9"/>
      <c r="E68" s="9"/>
      <c r="F68" s="10"/>
    </row>
    <row r="69" spans="1:6">
      <c r="A69" s="16"/>
      <c r="B69" s="17"/>
      <c r="C69" s="9"/>
      <c r="D69" s="9"/>
      <c r="E69" s="9"/>
      <c r="F69" s="20"/>
    </row>
    <row r="72" spans="1:6">
      <c r="A72" s="18"/>
      <c r="B72" s="19"/>
      <c r="F72" s="20"/>
    </row>
    <row r="73" spans="1:6">
      <c r="A73" s="18"/>
      <c r="B73" s="19"/>
      <c r="F73" s="20"/>
    </row>
    <row r="74" spans="1:6">
      <c r="B74" s="19"/>
      <c r="F74" s="15"/>
    </row>
  </sheetData>
  <mergeCells count="1">
    <mergeCell ref="A5:E5"/>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1" manualBreakCount="1">
    <brk id="64" max="16383" man="1"/>
  </rowBreaks>
  <colBreaks count="1" manualBreakCount="1">
    <brk id="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0"/>
  </sheetPr>
  <dimension ref="A1:G79"/>
  <sheetViews>
    <sheetView view="pageLayout" topLeftCell="A13" zoomScaleNormal="90" zoomScaleSheetLayoutView="115" workbookViewId="0">
      <selection activeCell="A17" sqref="A17:E17"/>
    </sheetView>
  </sheetViews>
  <sheetFormatPr defaultColWidth="8.85546875" defaultRowHeight="15"/>
  <cols>
    <col min="2" max="2" width="34.28515625" customWidth="1"/>
    <col min="3" max="3" width="7.28515625" customWidth="1"/>
    <col min="4" max="4" width="12.42578125" customWidth="1"/>
    <col min="5" max="5" width="8.42578125" customWidth="1"/>
    <col min="6" max="6" width="14.7109375" customWidth="1"/>
  </cols>
  <sheetData>
    <row r="1" spans="1:7">
      <c r="A1" s="140"/>
      <c r="B1" s="140"/>
      <c r="C1" s="140"/>
      <c r="D1" s="140"/>
      <c r="E1" s="140"/>
      <c r="F1" s="140"/>
    </row>
    <row r="2" spans="1:7">
      <c r="A2" s="140"/>
      <c r="B2" s="140"/>
      <c r="C2" s="140"/>
      <c r="D2" s="140"/>
      <c r="E2" s="140"/>
      <c r="F2" s="140"/>
    </row>
    <row r="3" spans="1:7">
      <c r="A3" s="140"/>
      <c r="B3" s="140"/>
      <c r="C3" s="140"/>
      <c r="D3" s="140"/>
      <c r="E3" s="140"/>
      <c r="F3" s="140"/>
    </row>
    <row r="4" spans="1:7">
      <c r="A4" s="2"/>
      <c r="B4" s="4"/>
      <c r="C4" s="2"/>
      <c r="D4" s="2"/>
      <c r="E4" s="2"/>
      <c r="F4" s="3"/>
    </row>
    <row r="5" spans="1:7" ht="24.75" customHeight="1">
      <c r="A5" s="626" t="s">
        <v>69</v>
      </c>
      <c r="B5" s="627"/>
      <c r="C5" s="627"/>
      <c r="D5" s="627"/>
      <c r="E5" s="627"/>
      <c r="F5" s="50"/>
    </row>
    <row r="6" spans="1:7">
      <c r="A6" s="49"/>
      <c r="B6" s="53"/>
      <c r="C6" s="58"/>
      <c r="D6" s="49"/>
      <c r="E6" s="49"/>
      <c r="F6" s="50"/>
    </row>
    <row r="7" spans="1:7">
      <c r="A7" s="49"/>
      <c r="B7" s="53"/>
      <c r="C7" s="58"/>
      <c r="D7" s="49"/>
      <c r="E7" s="49"/>
      <c r="F7" s="50"/>
    </row>
    <row r="8" spans="1:7" ht="18.75">
      <c r="A8" s="59"/>
      <c r="B8" s="137"/>
      <c r="C8" s="137"/>
      <c r="D8" s="137"/>
      <c r="E8" s="137"/>
      <c r="F8" s="137"/>
    </row>
    <row r="9" spans="1:7" ht="18.75">
      <c r="A9" s="59" t="s">
        <v>42</v>
      </c>
      <c r="B9" s="59"/>
      <c r="C9" s="59"/>
      <c r="D9" s="59"/>
      <c r="E9" s="59"/>
      <c r="F9" s="165"/>
    </row>
    <row r="10" spans="1:7" ht="18.75">
      <c r="A10" s="59"/>
      <c r="B10" s="226" t="s">
        <v>721</v>
      </c>
      <c r="C10" s="59"/>
      <c r="D10" s="59"/>
      <c r="E10" s="59"/>
      <c r="F10" s="165"/>
    </row>
    <row r="11" spans="1:7">
      <c r="A11" s="80"/>
      <c r="B11" s="58"/>
      <c r="C11" s="80"/>
      <c r="D11" s="80"/>
      <c r="E11" s="80"/>
      <c r="F11" s="166"/>
    </row>
    <row r="12" spans="1:7" ht="15.75" thickBot="1">
      <c r="A12" s="167" t="s">
        <v>43</v>
      </c>
      <c r="B12" s="168" t="s">
        <v>44</v>
      </c>
      <c r="C12" s="169"/>
      <c r="D12" s="169"/>
      <c r="E12" s="170"/>
      <c r="F12" s="171"/>
    </row>
    <row r="13" spans="1:7">
      <c r="A13" s="172"/>
      <c r="B13" s="58"/>
      <c r="C13" s="80"/>
      <c r="D13" s="80"/>
      <c r="E13" s="78"/>
      <c r="F13" s="173"/>
      <c r="G13" s="88"/>
    </row>
    <row r="14" spans="1:7">
      <c r="A14" s="49" t="s">
        <v>45</v>
      </c>
      <c r="B14" s="49" t="s">
        <v>46</v>
      </c>
      <c r="C14" s="80"/>
      <c r="D14" s="80"/>
      <c r="E14" s="78" t="s">
        <v>28</v>
      </c>
      <c r="F14" s="174">
        <f>'A.I.1. pri+skela'!F70</f>
        <v>0</v>
      </c>
      <c r="G14" s="88"/>
    </row>
    <row r="15" spans="1:7">
      <c r="A15" s="49" t="s">
        <v>70</v>
      </c>
      <c r="B15" s="49" t="s">
        <v>520</v>
      </c>
      <c r="C15" s="80"/>
      <c r="D15" s="80"/>
      <c r="E15" s="78" t="s">
        <v>28</v>
      </c>
      <c r="F15" s="174">
        <f>'A.I.2.pri'!F19</f>
        <v>0</v>
      </c>
      <c r="G15" s="88"/>
    </row>
    <row r="16" spans="1:7">
      <c r="A16" s="49" t="s">
        <v>47</v>
      </c>
      <c r="B16" s="49" t="s">
        <v>71</v>
      </c>
      <c r="C16" s="140"/>
      <c r="D16" s="49"/>
      <c r="E16" s="78" t="s">
        <v>28</v>
      </c>
      <c r="F16" s="174">
        <f>'A.II.1.dem'!F93</f>
        <v>0</v>
      </c>
      <c r="G16" s="88"/>
    </row>
    <row r="17" spans="1:7">
      <c r="A17" s="49" t="s">
        <v>72</v>
      </c>
      <c r="B17" s="49" t="s">
        <v>521</v>
      </c>
      <c r="C17" s="140"/>
      <c r="D17" s="49"/>
      <c r="E17" s="78" t="s">
        <v>28</v>
      </c>
      <c r="F17" s="174">
        <f>'A.II.2.dem'!F18</f>
        <v>0</v>
      </c>
      <c r="G17" s="88"/>
    </row>
    <row r="18" spans="1:7">
      <c r="A18" s="49" t="s">
        <v>49</v>
      </c>
      <c r="B18" s="49" t="s">
        <v>73</v>
      </c>
      <c r="C18" s="140"/>
      <c r="D18" s="49"/>
      <c r="E18" s="78" t="s">
        <v>28</v>
      </c>
      <c r="F18" s="174">
        <f>'A.III.1.zid'!F55</f>
        <v>0</v>
      </c>
      <c r="G18" s="88"/>
    </row>
    <row r="19" spans="1:7">
      <c r="A19" s="49" t="s">
        <v>74</v>
      </c>
      <c r="B19" s="49" t="s">
        <v>522</v>
      </c>
      <c r="C19" s="140"/>
      <c r="D19" s="49"/>
      <c r="E19" s="78" t="s">
        <v>28</v>
      </c>
      <c r="F19" s="174">
        <f>'A.III.2.zid'!F18</f>
        <v>0</v>
      </c>
      <c r="G19" s="88"/>
    </row>
    <row r="20" spans="1:7">
      <c r="A20" s="49" t="s">
        <v>51</v>
      </c>
      <c r="B20" s="49" t="s">
        <v>52</v>
      </c>
      <c r="C20" s="140"/>
      <c r="D20" s="49"/>
      <c r="E20" s="78" t="s">
        <v>28</v>
      </c>
      <c r="F20" s="174">
        <f>'A.IV.izo'!F93</f>
        <v>0</v>
      </c>
      <c r="G20" s="88"/>
    </row>
    <row r="21" spans="1:7" ht="15.75" thickBot="1">
      <c r="A21" s="49" t="s">
        <v>53</v>
      </c>
      <c r="B21" s="49" t="s">
        <v>519</v>
      </c>
      <c r="C21" s="140"/>
      <c r="D21" s="49"/>
      <c r="E21" s="78" t="s">
        <v>28</v>
      </c>
      <c r="F21" s="174">
        <f>'A.V.zem'!F40</f>
        <v>0</v>
      </c>
      <c r="G21" s="88"/>
    </row>
    <row r="22" spans="1:7" ht="16.5" thickBot="1">
      <c r="A22" s="72" t="s">
        <v>43</v>
      </c>
      <c r="B22" s="53" t="s">
        <v>54</v>
      </c>
      <c r="C22" s="80"/>
      <c r="D22" s="73"/>
      <c r="E22" s="78" t="s">
        <v>28</v>
      </c>
      <c r="F22" s="164">
        <f>SUM(F14:F21)</f>
        <v>0</v>
      </c>
      <c r="G22" s="88"/>
    </row>
    <row r="23" spans="1:7" ht="15.75">
      <c r="A23" s="73"/>
      <c r="B23" s="73"/>
      <c r="C23" s="73"/>
      <c r="D23" s="73"/>
      <c r="E23" s="73"/>
      <c r="F23" s="75"/>
      <c r="G23" s="73"/>
    </row>
    <row r="24" spans="1:7" ht="16.5" thickBot="1">
      <c r="A24" s="167" t="s">
        <v>55</v>
      </c>
      <c r="B24" s="168" t="s">
        <v>56</v>
      </c>
      <c r="C24" s="175"/>
      <c r="D24" s="175"/>
      <c r="E24" s="175"/>
      <c r="F24" s="176"/>
      <c r="G24" s="73"/>
    </row>
    <row r="25" spans="1:7" ht="15.75">
      <c r="A25" s="172"/>
      <c r="B25" s="58"/>
      <c r="C25" s="73"/>
      <c r="D25" s="73"/>
      <c r="E25" s="73"/>
      <c r="F25" s="177"/>
      <c r="G25" s="92"/>
    </row>
    <row r="26" spans="1:7" ht="15" customHeight="1">
      <c r="A26" s="49" t="s">
        <v>57</v>
      </c>
      <c r="B26" s="49" t="s">
        <v>58</v>
      </c>
      <c r="C26" s="140"/>
      <c r="D26" s="49"/>
      <c r="E26" s="78" t="s">
        <v>28</v>
      </c>
      <c r="F26" s="174">
        <f>'B.I.lim'!F67</f>
        <v>0</v>
      </c>
      <c r="G26" s="92"/>
    </row>
    <row r="27" spans="1:7" ht="15.75">
      <c r="A27" s="49" t="s">
        <v>75</v>
      </c>
      <c r="B27" s="49" t="s">
        <v>76</v>
      </c>
      <c r="C27" s="73"/>
      <c r="D27" s="49"/>
      <c r="E27" s="78" t="s">
        <v>28</v>
      </c>
      <c r="F27" s="174">
        <f>'B.II.1. sto'!F75</f>
        <v>0</v>
      </c>
      <c r="G27" s="92"/>
    </row>
    <row r="28" spans="1:7" ht="15.75">
      <c r="A28" s="49" t="s">
        <v>77</v>
      </c>
      <c r="B28" s="49" t="s">
        <v>78</v>
      </c>
      <c r="C28" s="73"/>
      <c r="D28" s="49"/>
      <c r="E28" s="78" t="s">
        <v>28</v>
      </c>
      <c r="F28" s="174">
        <f>'B.II.2. sto'!F106</f>
        <v>0</v>
      </c>
      <c r="G28" s="92"/>
    </row>
    <row r="29" spans="1:7" ht="15.75">
      <c r="A29" s="49" t="s">
        <v>60</v>
      </c>
      <c r="B29" s="49" t="s">
        <v>61</v>
      </c>
      <c r="C29" s="73"/>
      <c r="D29" s="73"/>
      <c r="E29" s="78" t="s">
        <v>28</v>
      </c>
      <c r="F29" s="174">
        <f>'B.III.zz'!F118</f>
        <v>0</v>
      </c>
      <c r="G29" s="92"/>
    </row>
    <row r="30" spans="1:7" ht="15.75">
      <c r="A30" s="49" t="s">
        <v>62</v>
      </c>
      <c r="B30" s="49" t="s">
        <v>63</v>
      </c>
      <c r="C30" s="73"/>
      <c r="D30" s="73"/>
      <c r="E30" s="78" t="s">
        <v>28</v>
      </c>
      <c r="F30" s="174">
        <f>'B.IV.1.lič'!F105</f>
        <v>0</v>
      </c>
      <c r="G30" s="92"/>
    </row>
    <row r="31" spans="1:7" ht="15.75">
      <c r="A31" s="49" t="s">
        <v>79</v>
      </c>
      <c r="B31" s="49" t="s">
        <v>80</v>
      </c>
      <c r="C31" s="73"/>
      <c r="D31" s="73"/>
      <c r="E31" s="78" t="s">
        <v>28</v>
      </c>
      <c r="F31" s="348">
        <f>'B.IV.2.lič'!F17</f>
        <v>0</v>
      </c>
      <c r="G31" s="92"/>
    </row>
    <row r="32" spans="1:7" ht="15.75">
      <c r="A32" s="49" t="s">
        <v>64</v>
      </c>
      <c r="B32" s="49" t="s">
        <v>662</v>
      </c>
      <c r="C32" s="73"/>
      <c r="D32" s="73"/>
      <c r="E32" s="78" t="s">
        <v>28</v>
      </c>
      <c r="F32" s="174">
        <f>'B.V.podopol.'!F33</f>
        <v>0</v>
      </c>
      <c r="G32" s="92"/>
    </row>
    <row r="33" spans="1:7" ht="16.5" thickBot="1">
      <c r="A33" s="49" t="s">
        <v>65</v>
      </c>
      <c r="B33" s="49" t="s">
        <v>66</v>
      </c>
      <c r="C33" s="73"/>
      <c r="D33" s="73"/>
      <c r="E33" s="78" t="s">
        <v>28</v>
      </c>
      <c r="F33" s="174">
        <f>B.brav!F81</f>
        <v>0</v>
      </c>
      <c r="G33" s="92"/>
    </row>
    <row r="34" spans="1:7" ht="16.5" thickBot="1">
      <c r="A34" s="72" t="s">
        <v>55</v>
      </c>
      <c r="B34" s="53" t="s">
        <v>67</v>
      </c>
      <c r="C34" s="73"/>
      <c r="D34" s="73"/>
      <c r="E34" s="78" t="s">
        <v>28</v>
      </c>
      <c r="F34" s="164">
        <f>SUM(F26:F33)</f>
        <v>0</v>
      </c>
      <c r="G34" s="92"/>
    </row>
    <row r="35" spans="1:7" ht="16.5" thickBot="1">
      <c r="A35" s="80"/>
      <c r="B35" s="58"/>
      <c r="C35" s="73"/>
      <c r="D35" s="73"/>
      <c r="E35" s="78"/>
      <c r="F35" s="178"/>
    </row>
    <row r="36" spans="1:7" ht="16.5" thickBot="1">
      <c r="A36" s="179"/>
      <c r="B36" s="180" t="s">
        <v>68</v>
      </c>
      <c r="C36" s="181"/>
      <c r="D36" s="181"/>
      <c r="E36" s="182" t="s">
        <v>28</v>
      </c>
      <c r="F36" s="164">
        <f>SUM(F22+F34)</f>
        <v>0</v>
      </c>
    </row>
    <row r="37" spans="1:7" s="45" customFormat="1">
      <c r="A37" s="58"/>
      <c r="B37" s="44"/>
      <c r="C37" s="44"/>
      <c r="D37" s="44"/>
      <c r="E37" s="78"/>
      <c r="F37" s="81"/>
      <c r="G37" s="33"/>
    </row>
    <row r="38" spans="1:7" s="45" customFormat="1">
      <c r="A38" s="16"/>
      <c r="B38" s="17"/>
      <c r="C38" s="9"/>
      <c r="D38" s="9"/>
      <c r="E38" s="16"/>
      <c r="F38" s="39"/>
      <c r="G38" s="33"/>
    </row>
    <row r="39" spans="1:7">
      <c r="A39" s="11"/>
      <c r="B39" s="17"/>
      <c r="C39" s="11"/>
      <c r="D39" s="11"/>
      <c r="E39" s="11"/>
      <c r="F39" s="24"/>
    </row>
    <row r="40" spans="1:7" ht="15" customHeight="1">
      <c r="A40" s="12"/>
      <c r="B40" s="12"/>
      <c r="C40" s="11"/>
      <c r="D40" s="9"/>
      <c r="E40" s="13"/>
      <c r="F40" s="25"/>
    </row>
    <row r="41" spans="1:7" hidden="1">
      <c r="A41" s="12"/>
      <c r="B41" s="12"/>
      <c r="C41" s="11"/>
      <c r="D41" s="9"/>
      <c r="E41" s="13"/>
      <c r="F41" s="26"/>
    </row>
    <row r="42" spans="1:7">
      <c r="A42" s="12"/>
      <c r="B42" s="12"/>
      <c r="C42" s="11"/>
      <c r="D42" s="9"/>
      <c r="E42" s="13"/>
      <c r="F42" s="26"/>
    </row>
    <row r="43" spans="1:7">
      <c r="A43" s="12"/>
      <c r="B43" s="12"/>
      <c r="C43" s="11"/>
      <c r="D43" s="9"/>
      <c r="E43" s="13"/>
      <c r="F43" s="26"/>
    </row>
    <row r="44" spans="1:7">
      <c r="A44" s="12"/>
      <c r="B44" s="12"/>
      <c r="C44" s="11"/>
      <c r="D44" s="9"/>
      <c r="E44" s="13"/>
      <c r="F44" s="26"/>
    </row>
    <row r="45" spans="1:7">
      <c r="B45" s="5"/>
      <c r="C45" s="11"/>
      <c r="D45" s="9"/>
      <c r="E45" s="13"/>
      <c r="F45" s="27"/>
    </row>
    <row r="46" spans="1:7">
      <c r="A46" s="9"/>
      <c r="B46" s="9"/>
      <c r="C46" s="9"/>
      <c r="D46" s="9"/>
      <c r="E46" s="9"/>
      <c r="F46" s="10"/>
    </row>
    <row r="47" spans="1:7">
      <c r="A47" s="9"/>
      <c r="B47" s="9"/>
      <c r="C47" s="9"/>
      <c r="D47" s="9"/>
      <c r="E47" s="9"/>
      <c r="F47" s="10"/>
    </row>
    <row r="48" spans="1:7">
      <c r="A48" s="13"/>
      <c r="B48" s="17"/>
      <c r="C48" s="9"/>
      <c r="D48" s="9"/>
      <c r="E48" s="9"/>
      <c r="F48" s="10"/>
    </row>
    <row r="49" spans="1:6">
      <c r="A49" s="12"/>
      <c r="B49" s="12"/>
      <c r="C49" s="9"/>
      <c r="D49" s="9"/>
      <c r="E49" s="13"/>
      <c r="F49" s="26"/>
    </row>
    <row r="50" spans="1:6">
      <c r="A50" s="12"/>
      <c r="B50" s="12"/>
      <c r="E50" s="13"/>
      <c r="F50" s="26"/>
    </row>
    <row r="51" spans="1:6">
      <c r="A51" s="12"/>
      <c r="B51" s="12"/>
      <c r="E51" s="13"/>
      <c r="F51" s="26"/>
    </row>
    <row r="52" spans="1:6">
      <c r="A52" s="12"/>
      <c r="B52" s="12"/>
      <c r="C52" s="9"/>
      <c r="D52" s="9"/>
      <c r="E52" s="13"/>
    </row>
    <row r="53" spans="1:6">
      <c r="A53" s="14"/>
      <c r="B53" s="5"/>
      <c r="C53" s="9"/>
      <c r="D53" s="9"/>
      <c r="E53" s="13"/>
      <c r="F53" s="15"/>
    </row>
    <row r="54" spans="1:6">
      <c r="A54" s="14"/>
      <c r="B54" s="5"/>
      <c r="C54" s="9"/>
      <c r="D54" s="9"/>
      <c r="E54" s="13"/>
      <c r="F54" s="15"/>
    </row>
    <row r="55" spans="1:6">
      <c r="A55" s="12"/>
      <c r="B55" s="5"/>
      <c r="C55" s="9"/>
      <c r="D55" s="9"/>
      <c r="E55" s="13"/>
      <c r="F55" s="15"/>
    </row>
    <row r="56" spans="1:6">
      <c r="A56" s="12"/>
      <c r="B56" s="12"/>
      <c r="C56" s="9"/>
      <c r="D56" s="9"/>
      <c r="E56" s="13"/>
      <c r="F56" s="15"/>
    </row>
    <row r="57" spans="1:6">
      <c r="A57" s="14"/>
      <c r="B57" s="5"/>
      <c r="C57" s="9"/>
      <c r="D57" s="9"/>
      <c r="E57" s="13"/>
      <c r="F57" s="15"/>
    </row>
    <row r="58" spans="1:6">
      <c r="A58" s="14"/>
      <c r="C58" s="9"/>
      <c r="D58" s="9"/>
      <c r="E58" s="9"/>
      <c r="F58" s="10"/>
    </row>
    <row r="59" spans="1:6">
      <c r="A59" s="16"/>
      <c r="B59" s="17"/>
      <c r="C59" s="9"/>
      <c r="D59" s="9"/>
      <c r="E59" s="16"/>
      <c r="F59" s="15"/>
    </row>
    <row r="60" spans="1:6">
      <c r="A60" s="12"/>
      <c r="B60" s="12"/>
      <c r="C60" s="9"/>
      <c r="D60" s="9"/>
      <c r="E60" s="9"/>
      <c r="F60" s="10"/>
    </row>
    <row r="61" spans="1:6">
      <c r="A61" s="12"/>
      <c r="B61" s="12"/>
      <c r="C61" s="9"/>
      <c r="D61" s="9"/>
      <c r="E61" s="9"/>
      <c r="F61" s="10"/>
    </row>
    <row r="62" spans="1:6">
      <c r="A62" s="12"/>
      <c r="B62" s="12"/>
      <c r="C62" s="9"/>
      <c r="D62" s="9"/>
      <c r="E62" s="9"/>
      <c r="F62" s="10"/>
    </row>
    <row r="63" spans="1:6">
      <c r="A63" s="12"/>
      <c r="B63" s="12"/>
      <c r="C63" s="9"/>
      <c r="D63" s="9"/>
      <c r="E63" s="9"/>
      <c r="F63" s="10"/>
    </row>
    <row r="64" spans="1:6">
      <c r="A64" s="12"/>
      <c r="B64" s="12"/>
      <c r="C64" s="9"/>
      <c r="D64" s="9"/>
      <c r="E64" s="9"/>
      <c r="F64" s="10"/>
    </row>
    <row r="65" spans="1:6">
      <c r="A65" s="12"/>
      <c r="B65" s="12"/>
      <c r="C65" s="9"/>
      <c r="D65" s="9"/>
      <c r="E65" s="9"/>
      <c r="F65" s="10"/>
    </row>
    <row r="66" spans="1:6">
      <c r="A66" s="12"/>
      <c r="B66" s="12"/>
      <c r="C66" s="9"/>
      <c r="D66" s="9"/>
      <c r="E66" s="9"/>
      <c r="F66" s="10"/>
    </row>
    <row r="67" spans="1:6">
      <c r="A67" s="12"/>
      <c r="B67" s="12"/>
      <c r="C67" s="9"/>
      <c r="D67" s="9"/>
      <c r="E67" s="9"/>
      <c r="F67" s="10"/>
    </row>
    <row r="68" spans="1:6">
      <c r="A68" s="12"/>
      <c r="B68" s="12"/>
      <c r="C68" s="9"/>
      <c r="D68" s="9"/>
      <c r="E68" s="9"/>
      <c r="F68" s="10"/>
    </row>
    <row r="69" spans="1:6">
      <c r="A69" s="12"/>
      <c r="B69" s="12"/>
      <c r="C69" s="9"/>
      <c r="D69" s="9"/>
      <c r="E69" s="9"/>
      <c r="F69" s="10"/>
    </row>
    <row r="70" spans="1:6">
      <c r="A70" s="12"/>
      <c r="B70" s="12"/>
      <c r="C70" s="9"/>
      <c r="D70" s="9"/>
      <c r="E70" s="9"/>
      <c r="F70" s="10"/>
    </row>
    <row r="71" spans="1:6">
      <c r="A71" s="12"/>
      <c r="B71" s="12"/>
      <c r="C71" s="9"/>
      <c r="D71" s="9"/>
      <c r="E71" s="9"/>
      <c r="F71" s="10"/>
    </row>
    <row r="72" spans="1:6">
      <c r="A72" s="14"/>
      <c r="B72" s="5"/>
      <c r="C72" s="9"/>
      <c r="D72" s="9"/>
      <c r="E72" s="9"/>
      <c r="F72" s="15"/>
    </row>
    <row r="73" spans="1:6">
      <c r="A73" s="14"/>
      <c r="C73" s="9"/>
      <c r="D73" s="9"/>
      <c r="E73" s="9"/>
      <c r="F73" s="10"/>
    </row>
    <row r="74" spans="1:6">
      <c r="A74" s="16"/>
      <c r="B74" s="17"/>
      <c r="C74" s="9"/>
      <c r="D74" s="9"/>
      <c r="E74" s="9"/>
      <c r="F74" s="20"/>
    </row>
    <row r="77" spans="1:6">
      <c r="A77" s="18"/>
      <c r="B77" s="19"/>
      <c r="F77" s="20"/>
    </row>
    <row r="78" spans="1:6">
      <c r="A78" s="18"/>
      <c r="B78" s="19"/>
      <c r="F78" s="20"/>
    </row>
    <row r="79" spans="1:6">
      <c r="B79" s="19"/>
      <c r="F79" s="15"/>
    </row>
  </sheetData>
  <mergeCells count="1">
    <mergeCell ref="A5:E5"/>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1" manualBreakCount="1">
    <brk id="69" max="16383" man="1"/>
  </rowBreaks>
  <colBreaks count="1" manualBreakCount="1">
    <brk id="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FFC000"/>
  </sheetPr>
  <dimension ref="A2:F62"/>
  <sheetViews>
    <sheetView view="pageBreakPreview" zoomScaleNormal="90" zoomScaleSheetLayoutView="100" workbookViewId="0">
      <selection activeCell="E50" sqref="E50"/>
    </sheetView>
  </sheetViews>
  <sheetFormatPr defaultColWidth="9.28515625" defaultRowHeight="15"/>
  <cols>
    <col min="1" max="1" width="5.42578125" style="140" customWidth="1"/>
    <col min="2" max="2" width="20.42578125" style="140" customWidth="1"/>
    <col min="3" max="3" width="16.28515625" style="140" customWidth="1"/>
    <col min="4" max="5" width="9.28515625" style="140"/>
    <col min="6" max="6" width="23.42578125" style="140" customWidth="1"/>
    <col min="7" max="16384" width="9.28515625" style="140"/>
  </cols>
  <sheetData>
    <row r="2" spans="1:6">
      <c r="A2" s="2"/>
      <c r="B2" s="2"/>
      <c r="C2" s="2"/>
      <c r="D2" s="2"/>
      <c r="E2" s="2"/>
      <c r="F2" s="3"/>
    </row>
    <row r="3" spans="1:6" ht="21">
      <c r="A3" s="2"/>
      <c r="B3" s="161" t="s">
        <v>81</v>
      </c>
      <c r="C3" s="49"/>
      <c r="D3" s="49"/>
      <c r="E3" s="49"/>
      <c r="F3" s="50"/>
    </row>
    <row r="4" spans="1:6">
      <c r="A4" s="2"/>
      <c r="B4" s="49"/>
      <c r="C4" s="49"/>
      <c r="D4" s="49"/>
      <c r="E4" s="49"/>
      <c r="F4" s="50"/>
    </row>
    <row r="5" spans="1:6">
      <c r="A5" s="2"/>
      <c r="B5" s="162" t="s">
        <v>82</v>
      </c>
      <c r="C5" s="49"/>
      <c r="D5" s="49"/>
      <c r="E5" s="49"/>
      <c r="F5" s="50"/>
    </row>
    <row r="6" spans="1:6">
      <c r="A6" s="2"/>
      <c r="B6" s="162"/>
      <c r="C6" s="49"/>
      <c r="D6" s="49"/>
      <c r="E6" s="49"/>
      <c r="F6" s="50"/>
    </row>
    <row r="7" spans="1:6" s="130" customFormat="1" ht="76.5" customHeight="1">
      <c r="A7" s="163"/>
      <c r="B7" s="634" t="s">
        <v>83</v>
      </c>
      <c r="C7" s="635"/>
      <c r="D7" s="635"/>
      <c r="E7" s="635"/>
      <c r="F7" s="635"/>
    </row>
    <row r="8" spans="1:6" s="130" customFormat="1" ht="14.25">
      <c r="A8" s="163"/>
      <c r="B8" s="338"/>
      <c r="C8" s="341"/>
      <c r="D8" s="341"/>
      <c r="E8" s="341"/>
      <c r="F8" s="341"/>
    </row>
    <row r="9" spans="1:6" s="130" customFormat="1" ht="63.75" customHeight="1">
      <c r="A9" s="163"/>
      <c r="B9" s="628" t="s">
        <v>84</v>
      </c>
      <c r="C9" s="629"/>
      <c r="D9" s="629"/>
      <c r="E9" s="629"/>
      <c r="F9" s="629"/>
    </row>
    <row r="10" spans="1:6" s="130" customFormat="1" ht="14.25">
      <c r="A10" s="163"/>
      <c r="B10" s="338"/>
      <c r="C10" s="341"/>
      <c r="D10" s="341"/>
      <c r="E10" s="341"/>
      <c r="F10" s="341"/>
    </row>
    <row r="11" spans="1:6" s="130" customFormat="1" ht="55.5" customHeight="1">
      <c r="A11" s="163"/>
      <c r="B11" s="628" t="s">
        <v>85</v>
      </c>
      <c r="C11" s="631"/>
      <c r="D11" s="631"/>
      <c r="E11" s="631"/>
      <c r="F11" s="631"/>
    </row>
    <row r="12" spans="1:6" s="130" customFormat="1" ht="15.75" customHeight="1">
      <c r="A12" s="163"/>
      <c r="B12" s="338"/>
      <c r="C12" s="341"/>
      <c r="D12" s="341"/>
      <c r="E12" s="341"/>
      <c r="F12" s="341"/>
    </row>
    <row r="13" spans="1:6" s="130" customFormat="1" ht="84.75" customHeight="1">
      <c r="A13" s="163"/>
      <c r="B13" s="628" t="s">
        <v>86</v>
      </c>
      <c r="C13" s="631"/>
      <c r="D13" s="631"/>
      <c r="E13" s="631"/>
      <c r="F13" s="631"/>
    </row>
    <row r="14" spans="1:6" s="130" customFormat="1" ht="14.25">
      <c r="A14" s="163"/>
      <c r="B14" s="338"/>
      <c r="C14" s="342"/>
      <c r="D14" s="342"/>
      <c r="E14" s="342"/>
      <c r="F14" s="342"/>
    </row>
    <row r="15" spans="1:6" s="130" customFormat="1" ht="52.5" customHeight="1">
      <c r="A15" s="163"/>
      <c r="B15" s="628" t="s">
        <v>87</v>
      </c>
      <c r="C15" s="631"/>
      <c r="D15" s="631"/>
      <c r="E15" s="631"/>
      <c r="F15" s="631"/>
    </row>
    <row r="16" spans="1:6" s="130" customFormat="1" ht="13.15" customHeight="1">
      <c r="A16" s="163"/>
      <c r="B16" s="338"/>
      <c r="C16" s="338"/>
      <c r="D16" s="338"/>
      <c r="E16" s="338"/>
      <c r="F16" s="338"/>
    </row>
    <row r="17" spans="1:6" s="130" customFormat="1" ht="84.75" customHeight="1">
      <c r="A17" s="163"/>
      <c r="B17" s="628" t="s">
        <v>88</v>
      </c>
      <c r="C17" s="631"/>
      <c r="D17" s="631"/>
      <c r="E17" s="631"/>
      <c r="F17" s="631"/>
    </row>
    <row r="18" spans="1:6" s="130" customFormat="1" ht="14.25">
      <c r="A18" s="163"/>
      <c r="B18" s="339"/>
      <c r="C18" s="343"/>
      <c r="D18" s="343"/>
      <c r="E18" s="343"/>
      <c r="F18" s="343"/>
    </row>
    <row r="19" spans="1:6" s="130" customFormat="1" ht="14.25">
      <c r="A19" s="163"/>
      <c r="B19" s="587"/>
      <c r="C19" s="343"/>
      <c r="D19" s="343"/>
      <c r="E19" s="343"/>
      <c r="F19" s="343"/>
    </row>
    <row r="20" spans="1:6" s="130" customFormat="1" ht="194.25" customHeight="1">
      <c r="A20" s="163"/>
      <c r="B20" s="628" t="s">
        <v>89</v>
      </c>
      <c r="C20" s="633"/>
      <c r="D20" s="633"/>
      <c r="E20" s="633"/>
      <c r="F20" s="633"/>
    </row>
    <row r="21" spans="1:6" s="130" customFormat="1" ht="15" customHeight="1">
      <c r="A21" s="163"/>
      <c r="B21" s="338"/>
      <c r="C21" s="341"/>
      <c r="D21" s="341"/>
      <c r="E21" s="341"/>
      <c r="F21" s="341"/>
    </row>
    <row r="22" spans="1:6" s="130" customFormat="1" ht="86.25" customHeight="1">
      <c r="A22" s="163"/>
      <c r="B22" s="628" t="s">
        <v>90</v>
      </c>
      <c r="C22" s="628"/>
      <c r="D22" s="628"/>
      <c r="E22" s="628"/>
      <c r="F22" s="628"/>
    </row>
    <row r="23" spans="1:6" s="130" customFormat="1" ht="15" customHeight="1">
      <c r="A23" s="163"/>
      <c r="B23" s="338"/>
      <c r="C23" s="338"/>
      <c r="D23" s="338"/>
      <c r="E23" s="338"/>
      <c r="F23" s="338"/>
    </row>
    <row r="24" spans="1:6" s="130" customFormat="1" ht="83.25" customHeight="1">
      <c r="A24" s="163"/>
      <c r="B24" s="628" t="s">
        <v>91</v>
      </c>
      <c r="C24" s="628"/>
      <c r="D24" s="628"/>
      <c r="E24" s="628"/>
      <c r="F24" s="628"/>
    </row>
    <row r="25" spans="1:6" s="130" customFormat="1" ht="15" customHeight="1">
      <c r="A25" s="163"/>
      <c r="B25" s="338"/>
      <c r="C25" s="338"/>
      <c r="D25" s="338"/>
      <c r="E25" s="338"/>
      <c r="F25" s="338"/>
    </row>
    <row r="26" spans="1:6" s="130" customFormat="1" ht="46.5" customHeight="1">
      <c r="A26" s="163"/>
      <c r="B26" s="628" t="s">
        <v>92</v>
      </c>
      <c r="C26" s="631"/>
      <c r="D26" s="631"/>
      <c r="E26" s="631"/>
      <c r="F26" s="631"/>
    </row>
    <row r="27" spans="1:6" s="130" customFormat="1" ht="14.25" customHeight="1">
      <c r="A27" s="163"/>
      <c r="B27" s="338"/>
      <c r="C27" s="341"/>
      <c r="D27" s="341"/>
      <c r="E27" s="341"/>
      <c r="F27" s="341"/>
    </row>
    <row r="28" spans="1:6" s="130" customFormat="1" ht="54" customHeight="1">
      <c r="A28" s="163"/>
      <c r="B28" s="628" t="s">
        <v>93</v>
      </c>
      <c r="C28" s="631"/>
      <c r="D28" s="631"/>
      <c r="E28" s="631"/>
      <c r="F28" s="631"/>
    </row>
    <row r="29" spans="1:6" s="130" customFormat="1" ht="15" customHeight="1">
      <c r="A29" s="163"/>
      <c r="B29" s="338"/>
      <c r="C29" s="341"/>
      <c r="D29" s="341"/>
      <c r="E29" s="341"/>
      <c r="F29" s="341"/>
    </row>
    <row r="30" spans="1:6" s="130" customFormat="1" ht="24" customHeight="1">
      <c r="A30" s="163"/>
      <c r="B30" s="628" t="s">
        <v>94</v>
      </c>
      <c r="C30" s="631"/>
      <c r="D30" s="631"/>
      <c r="E30" s="631"/>
      <c r="F30" s="631"/>
    </row>
    <row r="31" spans="1:6" s="130" customFormat="1" ht="14.25">
      <c r="A31" s="163"/>
      <c r="B31" s="338"/>
      <c r="C31" s="341"/>
      <c r="D31" s="341"/>
      <c r="E31" s="341"/>
      <c r="F31" s="341"/>
    </row>
    <row r="32" spans="1:6" s="130" customFormat="1" ht="49.5" customHeight="1">
      <c r="A32" s="163"/>
      <c r="B32" s="628" t="s">
        <v>95</v>
      </c>
      <c r="C32" s="631"/>
      <c r="D32" s="631"/>
      <c r="E32" s="631"/>
      <c r="F32" s="631"/>
    </row>
    <row r="33" spans="1:6" s="130" customFormat="1" ht="14.25">
      <c r="A33" s="163"/>
      <c r="B33" s="338"/>
      <c r="C33" s="341"/>
      <c r="D33" s="341"/>
      <c r="E33" s="341"/>
      <c r="F33" s="341"/>
    </row>
    <row r="34" spans="1:6" s="130" customFormat="1" ht="28.5" customHeight="1">
      <c r="A34" s="163"/>
      <c r="B34" s="628" t="s">
        <v>96</v>
      </c>
      <c r="C34" s="629"/>
      <c r="D34" s="629"/>
      <c r="E34" s="629"/>
      <c r="F34" s="629"/>
    </row>
    <row r="35" spans="1:6" s="130" customFormat="1" ht="15" customHeight="1">
      <c r="A35" s="163"/>
      <c r="B35" s="338"/>
      <c r="C35" s="341"/>
      <c r="D35" s="341"/>
      <c r="E35" s="341"/>
      <c r="F35" s="341"/>
    </row>
    <row r="36" spans="1:6" s="130" customFormat="1" ht="50.25" customHeight="1">
      <c r="A36" s="163"/>
      <c r="B36" s="628" t="s">
        <v>97</v>
      </c>
      <c r="C36" s="629"/>
      <c r="D36" s="629"/>
      <c r="E36" s="629"/>
      <c r="F36" s="629"/>
    </row>
    <row r="37" spans="1:6" s="130" customFormat="1" ht="14.25">
      <c r="A37" s="163"/>
      <c r="B37" s="338"/>
      <c r="C37" s="342"/>
      <c r="D37" s="342"/>
      <c r="E37" s="342"/>
      <c r="F37" s="342"/>
    </row>
    <row r="38" spans="1:6" s="130" customFormat="1" ht="43.5" customHeight="1">
      <c r="A38" s="163"/>
      <c r="B38" s="628" t="s">
        <v>98</v>
      </c>
      <c r="C38" s="629"/>
      <c r="D38" s="629"/>
      <c r="E38" s="629"/>
      <c r="F38" s="629"/>
    </row>
    <row r="39" spans="1:6" s="130" customFormat="1" ht="89.25" customHeight="1">
      <c r="A39" s="163"/>
      <c r="B39" s="628" t="s">
        <v>404</v>
      </c>
      <c r="C39" s="628"/>
      <c r="D39" s="628"/>
      <c r="E39" s="628"/>
      <c r="F39" s="628"/>
    </row>
    <row r="40" spans="1:6" s="130" customFormat="1" ht="30" customHeight="1">
      <c r="A40" s="163"/>
      <c r="B40" s="628" t="s">
        <v>99</v>
      </c>
      <c r="C40" s="629"/>
      <c r="D40" s="630"/>
      <c r="E40" s="629"/>
      <c r="F40" s="629"/>
    </row>
    <row r="41" spans="1:6" s="130" customFormat="1" ht="50.25" customHeight="1">
      <c r="A41" s="163"/>
      <c r="B41" s="628" t="s">
        <v>100</v>
      </c>
      <c r="C41" s="629"/>
      <c r="D41" s="629"/>
      <c r="E41" s="629"/>
      <c r="F41" s="629"/>
    </row>
    <row r="42" spans="1:6" s="130" customFormat="1" ht="13.5" customHeight="1">
      <c r="A42" s="163"/>
      <c r="B42" s="338"/>
      <c r="C42" s="341"/>
      <c r="D42" s="341"/>
      <c r="E42" s="341"/>
      <c r="F42" s="341"/>
    </row>
    <row r="43" spans="1:6" s="130" customFormat="1" ht="22.5" customHeight="1">
      <c r="A43" s="163"/>
      <c r="B43" s="628" t="s">
        <v>101</v>
      </c>
      <c r="C43" s="631"/>
      <c r="D43" s="631"/>
      <c r="E43" s="631"/>
      <c r="F43" s="631"/>
    </row>
    <row r="44" spans="1:6" s="130" customFormat="1" ht="14.25">
      <c r="A44" s="163"/>
      <c r="B44" s="338"/>
      <c r="C44" s="341"/>
      <c r="D44" s="341"/>
      <c r="E44" s="341"/>
      <c r="F44" s="341"/>
    </row>
    <row r="45" spans="1:6" s="130" customFormat="1" ht="16.899999999999999" customHeight="1">
      <c r="A45" s="163"/>
      <c r="B45" s="628" t="s">
        <v>102</v>
      </c>
      <c r="C45" s="631"/>
      <c r="D45" s="632"/>
      <c r="E45" s="631"/>
      <c r="F45" s="631"/>
    </row>
    <row r="46" spans="1:6" s="130" customFormat="1" ht="12.75" customHeight="1">
      <c r="A46" s="163"/>
      <c r="B46" s="338"/>
      <c r="C46" s="341"/>
      <c r="D46" s="341"/>
      <c r="E46" s="341"/>
      <c r="F46" s="341"/>
    </row>
    <row r="47" spans="1:6" s="130" customFormat="1" ht="49.5" customHeight="1">
      <c r="A47" s="163"/>
      <c r="B47" s="628" t="s">
        <v>103</v>
      </c>
      <c r="C47" s="631"/>
      <c r="D47" s="631"/>
      <c r="E47" s="631"/>
      <c r="F47" s="631"/>
    </row>
    <row r="48" spans="1:6" s="130" customFormat="1" ht="14.25">
      <c r="A48" s="163"/>
      <c r="B48" s="338"/>
      <c r="C48" s="341"/>
      <c r="D48" s="341"/>
      <c r="E48" s="341"/>
      <c r="F48" s="341"/>
    </row>
    <row r="49" spans="1:6" s="130" customFormat="1" ht="108.75" customHeight="1">
      <c r="A49" s="163"/>
      <c r="B49" s="628" t="s">
        <v>104</v>
      </c>
      <c r="C49" s="631"/>
      <c r="D49" s="632"/>
      <c r="E49" s="631"/>
      <c r="F49" s="631"/>
    </row>
    <row r="50" spans="1:6" s="130" customFormat="1" ht="14.25">
      <c r="A50" s="163"/>
      <c r="B50" s="338"/>
      <c r="C50" s="341"/>
      <c r="D50" s="341"/>
      <c r="E50" s="341"/>
      <c r="F50" s="341"/>
    </row>
    <row r="51" spans="1:6" s="130" customFormat="1" ht="30.4" customHeight="1">
      <c r="A51" s="163"/>
      <c r="B51" s="628" t="s">
        <v>105</v>
      </c>
      <c r="C51" s="631"/>
      <c r="D51" s="631"/>
      <c r="E51" s="631"/>
      <c r="F51" s="631"/>
    </row>
    <row r="52" spans="1:6" s="130" customFormat="1" ht="14.25">
      <c r="A52" s="163"/>
      <c r="B52" s="338"/>
      <c r="C52" s="341"/>
      <c r="D52" s="341"/>
      <c r="E52" s="341"/>
      <c r="F52" s="341"/>
    </row>
    <row r="53" spans="1:6" s="130" customFormat="1" ht="31.5" customHeight="1">
      <c r="A53" s="163"/>
      <c r="B53" s="628" t="s">
        <v>106</v>
      </c>
      <c r="C53" s="631"/>
      <c r="D53" s="631"/>
      <c r="E53" s="631"/>
      <c r="F53" s="631"/>
    </row>
    <row r="54" spans="1:6" s="130" customFormat="1" ht="14.25">
      <c r="A54" s="163"/>
      <c r="B54" s="338"/>
      <c r="C54" s="341"/>
      <c r="D54" s="341"/>
      <c r="E54" s="341"/>
      <c r="F54" s="341"/>
    </row>
    <row r="55" spans="1:6" s="130" customFormat="1" ht="24.75" customHeight="1">
      <c r="A55" s="163"/>
      <c r="B55" s="628" t="s">
        <v>107</v>
      </c>
      <c r="C55" s="631"/>
      <c r="D55" s="631"/>
      <c r="E55" s="631"/>
      <c r="F55" s="631"/>
    </row>
    <row r="56" spans="1:6">
      <c r="B56" s="195"/>
      <c r="C56" s="195"/>
      <c r="D56" s="195"/>
      <c r="E56" s="195"/>
      <c r="F56" s="195"/>
    </row>
    <row r="57" spans="1:6">
      <c r="B57" s="195"/>
      <c r="C57" s="195"/>
      <c r="D57" s="195"/>
      <c r="E57" s="195"/>
      <c r="F57" s="195"/>
    </row>
    <row r="58" spans="1:6">
      <c r="B58" s="195"/>
      <c r="C58" s="195"/>
      <c r="D58" s="195"/>
      <c r="E58" s="195"/>
      <c r="F58" s="195"/>
    </row>
    <row r="59" spans="1:6">
      <c r="B59" s="195"/>
      <c r="C59" s="195"/>
      <c r="D59" s="195"/>
      <c r="E59" s="195"/>
      <c r="F59" s="195"/>
    </row>
    <row r="60" spans="1:6">
      <c r="B60" s="195"/>
      <c r="C60" s="195"/>
      <c r="D60" s="195"/>
      <c r="E60" s="195"/>
      <c r="F60" s="195"/>
    </row>
    <row r="61" spans="1:6">
      <c r="B61" s="195"/>
      <c r="C61" s="195"/>
      <c r="D61" s="195"/>
      <c r="E61" s="195"/>
      <c r="F61" s="195"/>
    </row>
    <row r="62" spans="1:6">
      <c r="B62" s="195"/>
      <c r="C62" s="195"/>
      <c r="D62" s="195"/>
      <c r="E62" s="195"/>
      <c r="F62" s="195"/>
    </row>
  </sheetData>
  <mergeCells count="26">
    <mergeCell ref="B17:F17"/>
    <mergeCell ref="B7:F7"/>
    <mergeCell ref="B9:F9"/>
    <mergeCell ref="B11:F11"/>
    <mergeCell ref="B13:F13"/>
    <mergeCell ref="B15:F15"/>
    <mergeCell ref="B38:F38"/>
    <mergeCell ref="B34:F34"/>
    <mergeCell ref="B36:F36"/>
    <mergeCell ref="B22:F22"/>
    <mergeCell ref="B20:F20"/>
    <mergeCell ref="B24:F24"/>
    <mergeCell ref="B26:F26"/>
    <mergeCell ref="B28:F28"/>
    <mergeCell ref="B30:F30"/>
    <mergeCell ref="B32:F32"/>
    <mergeCell ref="B39:F39"/>
    <mergeCell ref="B40:F40"/>
    <mergeCell ref="B53:F53"/>
    <mergeCell ref="B55:F55"/>
    <mergeCell ref="B43:F43"/>
    <mergeCell ref="B45:F45"/>
    <mergeCell ref="B47:F47"/>
    <mergeCell ref="B49:F49"/>
    <mergeCell ref="B51:F51"/>
    <mergeCell ref="B41:F41"/>
  </mergeCells>
  <phoneticPr fontId="28" type="noConversion"/>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2" manualBreakCount="2">
    <brk id="18" max="5" man="1"/>
    <brk id="35"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theme="5" tint="0.79998168889431442"/>
  </sheetPr>
  <dimension ref="A1:I71"/>
  <sheetViews>
    <sheetView view="pageBreakPreview" topLeftCell="A53" zoomScaleNormal="100" zoomScaleSheetLayoutView="100" workbookViewId="0">
      <selection activeCell="D64" sqref="D64"/>
    </sheetView>
  </sheetViews>
  <sheetFormatPr defaultColWidth="9.28515625" defaultRowHeight="12"/>
  <cols>
    <col min="1" max="1" width="5.7109375" style="198" customWidth="1"/>
    <col min="2" max="2" width="42.7109375" style="198" customWidth="1"/>
    <col min="3" max="3" width="8.140625" style="245" customWidth="1"/>
    <col min="4" max="4" width="8.140625" style="524" customWidth="1"/>
    <col min="5" max="5" width="10.140625" style="405" customWidth="1"/>
    <col min="6" max="6" width="10.140625" style="199" customWidth="1"/>
    <col min="7" max="7" width="8.140625" style="199" customWidth="1"/>
    <col min="8" max="8" width="36.5703125" style="213" customWidth="1"/>
    <col min="9" max="16384" width="9.28515625" style="198"/>
  </cols>
  <sheetData>
    <row r="1" spans="1:7">
      <c r="A1" s="224"/>
      <c r="B1" s="224"/>
      <c r="C1" s="231"/>
      <c r="F1" s="233"/>
    </row>
    <row r="2" spans="1:7">
      <c r="A2" s="638" t="s">
        <v>108</v>
      </c>
      <c r="B2" s="639"/>
      <c r="C2" s="639"/>
      <c r="D2" s="639"/>
      <c r="E2" s="639"/>
      <c r="F2" s="640"/>
      <c r="G2" s="234"/>
    </row>
    <row r="3" spans="1:7">
      <c r="A3" s="642" t="s">
        <v>109</v>
      </c>
      <c r="B3" s="642"/>
      <c r="C3" s="642"/>
      <c r="D3" s="642"/>
      <c r="E3" s="642"/>
      <c r="F3" s="642"/>
    </row>
    <row r="4" spans="1:7">
      <c r="A4" s="116" t="s">
        <v>110</v>
      </c>
      <c r="B4" s="116" t="s">
        <v>111</v>
      </c>
      <c r="C4" s="116" t="s">
        <v>112</v>
      </c>
      <c r="D4" s="235" t="s">
        <v>113</v>
      </c>
      <c r="E4" s="235" t="s">
        <v>114</v>
      </c>
      <c r="F4" s="236" t="s">
        <v>115</v>
      </c>
      <c r="G4" s="237"/>
    </row>
    <row r="5" spans="1:7">
      <c r="A5" s="105"/>
      <c r="B5" s="105"/>
      <c r="C5" s="105"/>
      <c r="D5" s="525"/>
      <c r="E5" s="406"/>
      <c r="F5" s="238"/>
      <c r="G5" s="237"/>
    </row>
    <row r="6" spans="1:7" ht="18.75">
      <c r="A6" s="219" t="s">
        <v>43</v>
      </c>
      <c r="B6" s="220" t="s">
        <v>44</v>
      </c>
      <c r="C6" s="121"/>
      <c r="D6" s="526"/>
      <c r="E6" s="262"/>
      <c r="F6" s="206"/>
    </row>
    <row r="7" spans="1:7">
      <c r="A7" s="119"/>
      <c r="B7" s="119"/>
      <c r="C7" s="121"/>
      <c r="D7" s="526"/>
      <c r="E7" s="262"/>
      <c r="F7" s="206"/>
    </row>
    <row r="8" spans="1:7">
      <c r="A8" s="119"/>
      <c r="B8" s="119"/>
      <c r="C8" s="121"/>
      <c r="D8" s="526"/>
      <c r="E8" s="262"/>
      <c r="F8" s="206"/>
    </row>
    <row r="9" spans="1:7" ht="13.5" thickBot="1">
      <c r="A9" s="239" t="s">
        <v>45</v>
      </c>
      <c r="B9" s="641" t="s">
        <v>116</v>
      </c>
      <c r="C9" s="641"/>
      <c r="D9" s="641"/>
      <c r="E9" s="641"/>
      <c r="F9" s="641"/>
      <c r="G9" s="240"/>
    </row>
    <row r="10" spans="1:7" ht="14.25" customHeight="1">
      <c r="A10" s="119"/>
      <c r="B10" s="120"/>
      <c r="C10" s="121"/>
      <c r="D10" s="526"/>
      <c r="E10" s="408"/>
      <c r="F10" s="241"/>
      <c r="G10" s="242"/>
    </row>
    <row r="11" spans="1:7">
      <c r="A11" s="310" t="s">
        <v>117</v>
      </c>
      <c r="B11" s="311"/>
      <c r="C11" s="312"/>
      <c r="D11" s="527"/>
      <c r="E11" s="407"/>
      <c r="F11" s="208"/>
      <c r="G11" s="313"/>
    </row>
    <row r="12" spans="1:7">
      <c r="A12" s="310"/>
      <c r="B12" s="311"/>
      <c r="C12" s="312"/>
      <c r="D12" s="527"/>
      <c r="E12" s="407"/>
      <c r="F12" s="208"/>
      <c r="G12" s="313"/>
    </row>
    <row r="13" spans="1:7" ht="36" customHeight="1">
      <c r="A13" s="636" t="s">
        <v>118</v>
      </c>
      <c r="B13" s="637"/>
      <c r="C13" s="637"/>
      <c r="D13" s="637"/>
      <c r="E13" s="637"/>
      <c r="F13" s="208"/>
      <c r="G13" s="313"/>
    </row>
    <row r="14" spans="1:7">
      <c r="A14" s="111"/>
      <c r="B14" s="288"/>
      <c r="C14" s="288"/>
      <c r="D14" s="528"/>
      <c r="E14" s="408"/>
      <c r="F14" s="208"/>
      <c r="G14" s="313"/>
    </row>
    <row r="15" spans="1:7" ht="60.75" customHeight="1">
      <c r="A15" s="636" t="s">
        <v>119</v>
      </c>
      <c r="B15" s="636"/>
      <c r="C15" s="636"/>
      <c r="D15" s="636"/>
      <c r="E15" s="636"/>
      <c r="F15" s="208"/>
      <c r="G15" s="313"/>
    </row>
    <row r="16" spans="1:7">
      <c r="A16" s="111"/>
      <c r="B16" s="111"/>
      <c r="C16" s="111"/>
      <c r="D16" s="525"/>
      <c r="E16" s="406"/>
      <c r="F16" s="208"/>
      <c r="G16" s="313"/>
    </row>
    <row r="17" spans="1:7" ht="186.75" customHeight="1">
      <c r="A17" s="636" t="s">
        <v>120</v>
      </c>
      <c r="B17" s="637"/>
      <c r="C17" s="637"/>
      <c r="D17" s="637"/>
      <c r="E17" s="637"/>
      <c r="F17" s="208"/>
      <c r="G17" s="313"/>
    </row>
    <row r="18" spans="1:7">
      <c r="A18" s="111"/>
      <c r="B18" s="288"/>
      <c r="C18" s="288"/>
      <c r="D18" s="528"/>
      <c r="E18" s="408"/>
      <c r="F18" s="208"/>
      <c r="G18" s="313"/>
    </row>
    <row r="19" spans="1:7" ht="52.9" customHeight="1">
      <c r="A19" s="636" t="s">
        <v>121</v>
      </c>
      <c r="B19" s="637"/>
      <c r="C19" s="637"/>
      <c r="D19" s="637"/>
      <c r="E19" s="637"/>
      <c r="F19" s="208"/>
      <c r="G19" s="313"/>
    </row>
    <row r="20" spans="1:7" ht="13.5" customHeight="1">
      <c r="A20" s="111"/>
      <c r="B20" s="111"/>
      <c r="C20" s="111"/>
      <c r="D20" s="525"/>
      <c r="E20" s="406"/>
      <c r="F20" s="208"/>
      <c r="G20" s="313"/>
    </row>
    <row r="21" spans="1:7" ht="15" customHeight="1">
      <c r="A21" s="111"/>
      <c r="B21" s="310" t="s">
        <v>122</v>
      </c>
      <c r="C21" s="111"/>
      <c r="D21" s="525"/>
      <c r="E21" s="406"/>
      <c r="F21" s="208"/>
      <c r="G21" s="313"/>
    </row>
    <row r="22" spans="1:7">
      <c r="A22" s="111"/>
      <c r="B22" s="119"/>
      <c r="C22" s="288"/>
      <c r="D22" s="528"/>
      <c r="E22" s="408"/>
      <c r="F22" s="208"/>
      <c r="G22" s="313"/>
    </row>
    <row r="23" spans="1:7" ht="60.75" customHeight="1">
      <c r="A23" s="636" t="s">
        <v>123</v>
      </c>
      <c r="B23" s="637"/>
      <c r="C23" s="637"/>
      <c r="D23" s="637"/>
      <c r="E23" s="637"/>
      <c r="F23" s="208"/>
      <c r="G23" s="313"/>
    </row>
    <row r="24" spans="1:7" ht="15" customHeight="1">
      <c r="A24" s="111"/>
      <c r="B24" s="305"/>
      <c r="C24" s="305"/>
      <c r="D24" s="529"/>
      <c r="E24" s="409"/>
      <c r="F24" s="208"/>
      <c r="G24" s="313"/>
    </row>
    <row r="25" spans="1:7" ht="50.45" customHeight="1">
      <c r="A25" s="636" t="s">
        <v>124</v>
      </c>
      <c r="B25" s="637"/>
      <c r="C25" s="637"/>
      <c r="D25" s="637"/>
      <c r="E25" s="637"/>
      <c r="F25" s="208"/>
      <c r="G25" s="313"/>
    </row>
    <row r="26" spans="1:7" ht="15.75" customHeight="1">
      <c r="A26" s="111"/>
      <c r="B26" s="305"/>
      <c r="C26" s="305"/>
      <c r="D26" s="529"/>
      <c r="E26" s="409"/>
      <c r="F26" s="208"/>
      <c r="G26" s="313"/>
    </row>
    <row r="27" spans="1:7" ht="100.5" customHeight="1">
      <c r="A27" s="636" t="s">
        <v>125</v>
      </c>
      <c r="B27" s="637"/>
      <c r="C27" s="637"/>
      <c r="D27" s="637"/>
      <c r="E27" s="637"/>
      <c r="F27" s="208"/>
      <c r="G27" s="313"/>
    </row>
    <row r="28" spans="1:7" ht="13.5" customHeight="1">
      <c r="A28" s="111"/>
      <c r="B28" s="305"/>
      <c r="C28" s="305"/>
      <c r="D28" s="529"/>
      <c r="E28" s="409"/>
      <c r="F28" s="208"/>
      <c r="G28" s="313"/>
    </row>
    <row r="29" spans="1:7" ht="62.45" customHeight="1">
      <c r="A29" s="636" t="s">
        <v>126</v>
      </c>
      <c r="B29" s="637"/>
      <c r="C29" s="637"/>
      <c r="D29" s="637"/>
      <c r="E29" s="637"/>
      <c r="F29" s="208"/>
      <c r="G29" s="313"/>
    </row>
    <row r="30" spans="1:7" ht="13.5" customHeight="1">
      <c r="A30" s="111"/>
      <c r="B30" s="305"/>
      <c r="C30" s="305"/>
      <c r="D30" s="529"/>
      <c r="E30" s="409"/>
      <c r="F30" s="208"/>
      <c r="G30" s="313"/>
    </row>
    <row r="31" spans="1:7" ht="24.75" customHeight="1">
      <c r="A31" s="636" t="s">
        <v>127</v>
      </c>
      <c r="B31" s="637"/>
      <c r="C31" s="637"/>
      <c r="D31" s="637"/>
      <c r="E31" s="637"/>
      <c r="F31" s="208"/>
      <c r="G31" s="313"/>
    </row>
    <row r="32" spans="1:7" ht="15" customHeight="1">
      <c r="A32" s="111"/>
      <c r="B32" s="305"/>
      <c r="C32" s="305"/>
      <c r="D32" s="529"/>
      <c r="E32" s="409"/>
      <c r="F32" s="208"/>
      <c r="G32" s="313"/>
    </row>
    <row r="33" spans="1:8" ht="68.25" customHeight="1">
      <c r="A33" s="636" t="s">
        <v>128</v>
      </c>
      <c r="B33" s="637"/>
      <c r="C33" s="637"/>
      <c r="D33" s="637"/>
      <c r="E33" s="637"/>
      <c r="F33" s="208"/>
      <c r="G33" s="313"/>
    </row>
    <row r="34" spans="1:8" ht="183" customHeight="1">
      <c r="A34" s="636" t="s">
        <v>129</v>
      </c>
      <c r="B34" s="637"/>
      <c r="C34" s="637"/>
      <c r="D34" s="637"/>
      <c r="E34" s="637"/>
      <c r="F34" s="208"/>
      <c r="G34" s="313"/>
    </row>
    <row r="35" spans="1:8" ht="15" customHeight="1">
      <c r="A35" s="111"/>
      <c r="B35" s="305"/>
      <c r="C35" s="305"/>
      <c r="D35" s="529"/>
      <c r="E35" s="409"/>
      <c r="F35" s="208"/>
      <c r="G35" s="313"/>
    </row>
    <row r="36" spans="1:8" ht="84.75" customHeight="1">
      <c r="A36" s="636" t="s">
        <v>130</v>
      </c>
      <c r="B36" s="637"/>
      <c r="C36" s="637"/>
      <c r="D36" s="637"/>
      <c r="E36" s="637"/>
      <c r="F36" s="208"/>
      <c r="G36" s="313"/>
    </row>
    <row r="37" spans="1:8" ht="15" customHeight="1">
      <c r="A37" s="111"/>
      <c r="B37" s="111"/>
      <c r="C37" s="111"/>
      <c r="D37" s="525"/>
      <c r="E37" s="406"/>
      <c r="F37" s="208"/>
      <c r="G37" s="313"/>
    </row>
    <row r="38" spans="1:8">
      <c r="A38" s="349" t="s">
        <v>27</v>
      </c>
      <c r="B38" s="451" t="s">
        <v>131</v>
      </c>
      <c r="C38" s="112"/>
      <c r="D38" s="526"/>
      <c r="E38" s="410"/>
      <c r="F38" s="206"/>
    </row>
    <row r="39" spans="1:8" ht="132">
      <c r="A39" s="114"/>
      <c r="B39" s="382" t="s">
        <v>404</v>
      </c>
      <c r="C39" s="112"/>
      <c r="D39" s="526"/>
      <c r="E39" s="411"/>
      <c r="F39" s="206"/>
    </row>
    <row r="40" spans="1:8">
      <c r="A40" s="114"/>
      <c r="B40" s="214" t="s">
        <v>132</v>
      </c>
      <c r="C40" s="112" t="s">
        <v>133</v>
      </c>
      <c r="D40" s="109">
        <v>775</v>
      </c>
      <c r="E40" s="108"/>
      <c r="F40" s="81">
        <f>D40*E40</f>
        <v>0</v>
      </c>
      <c r="H40" s="198"/>
    </row>
    <row r="41" spans="1:8">
      <c r="A41" s="114"/>
      <c r="B41" s="214"/>
      <c r="C41" s="112"/>
      <c r="D41" s="526"/>
      <c r="E41" s="410"/>
      <c r="F41" s="81"/>
      <c r="H41" s="198"/>
    </row>
    <row r="42" spans="1:8">
      <c r="A42" s="452" t="s">
        <v>29</v>
      </c>
      <c r="B42" s="453" t="s">
        <v>134</v>
      </c>
      <c r="C42" s="112"/>
      <c r="D42" s="526"/>
      <c r="E42" s="410"/>
      <c r="F42" s="81"/>
      <c r="H42" s="198"/>
    </row>
    <row r="43" spans="1:8" ht="192">
      <c r="A43" s="114"/>
      <c r="B43" s="227" t="s">
        <v>135</v>
      </c>
      <c r="C43" s="112"/>
      <c r="D43" s="526"/>
      <c r="E43" s="410"/>
      <c r="F43" s="206"/>
    </row>
    <row r="44" spans="1:8" ht="156">
      <c r="A44" s="227"/>
      <c r="B44" s="227" t="s">
        <v>136</v>
      </c>
      <c r="C44" s="112"/>
      <c r="D44" s="526"/>
      <c r="E44" s="410"/>
      <c r="F44" s="206"/>
    </row>
    <row r="45" spans="1:8">
      <c r="A45" s="119"/>
      <c r="B45" s="214"/>
      <c r="C45" s="90" t="s">
        <v>137</v>
      </c>
      <c r="D45" s="109">
        <v>1</v>
      </c>
      <c r="E45" s="108"/>
      <c r="F45" s="81">
        <f>D45*E45</f>
        <v>0</v>
      </c>
    </row>
    <row r="46" spans="1:8">
      <c r="A46" s="119"/>
      <c r="B46" s="214"/>
      <c r="C46" s="90"/>
      <c r="D46" s="526"/>
      <c r="E46" s="410"/>
      <c r="F46" s="81"/>
    </row>
    <row r="47" spans="1:8" s="1" customFormat="1" ht="14.25">
      <c r="A47" s="450" t="s">
        <v>138</v>
      </c>
      <c r="B47" s="243" t="s">
        <v>139</v>
      </c>
      <c r="C47" s="90"/>
      <c r="D47" s="526"/>
      <c r="E47" s="410"/>
      <c r="F47" s="81"/>
      <c r="G47" s="199"/>
      <c r="H47" s="213"/>
    </row>
    <row r="48" spans="1:8" s="1" customFormat="1" ht="180">
      <c r="A48" s="110"/>
      <c r="B48" s="227" t="s">
        <v>140</v>
      </c>
      <c r="C48" s="90"/>
      <c r="D48" s="262"/>
      <c r="E48" s="410"/>
      <c r="F48" s="81"/>
      <c r="G48" s="199"/>
      <c r="H48" s="213"/>
    </row>
    <row r="49" spans="1:9" s="1" customFormat="1" ht="14.25">
      <c r="A49" s="200"/>
      <c r="B49" s="196" t="s">
        <v>141</v>
      </c>
      <c r="C49" s="112" t="s">
        <v>133</v>
      </c>
      <c r="D49" s="109">
        <v>2528</v>
      </c>
      <c r="E49" s="108"/>
      <c r="F49" s="81">
        <f>D49*E49</f>
        <v>0</v>
      </c>
      <c r="H49" s="213"/>
    </row>
    <row r="50" spans="1:9" s="1" customFormat="1" ht="14.25">
      <c r="A50" s="200"/>
      <c r="B50" s="196"/>
      <c r="C50" s="112"/>
      <c r="D50" s="262"/>
      <c r="E50" s="410"/>
      <c r="F50" s="81"/>
      <c r="H50" s="213"/>
    </row>
    <row r="51" spans="1:9" s="1" customFormat="1" ht="14.25">
      <c r="A51" s="229" t="s">
        <v>142</v>
      </c>
      <c r="B51" s="141" t="s">
        <v>143</v>
      </c>
      <c r="C51" s="112"/>
      <c r="D51" s="410"/>
      <c r="E51" s="410"/>
      <c r="F51" s="206"/>
      <c r="H51" s="213"/>
    </row>
    <row r="52" spans="1:9" ht="225.6" customHeight="1">
      <c r="A52" s="114"/>
      <c r="B52" s="114" t="s">
        <v>144</v>
      </c>
      <c r="C52" s="209"/>
      <c r="D52" s="262"/>
      <c r="E52" s="410"/>
      <c r="F52" s="109"/>
      <c r="I52" s="199"/>
    </row>
    <row r="53" spans="1:9" ht="15" customHeight="1">
      <c r="A53" s="452"/>
      <c r="B53" s="383" t="s">
        <v>405</v>
      </c>
      <c r="C53" s="124" t="s">
        <v>133</v>
      </c>
      <c r="D53" s="350">
        <v>1910</v>
      </c>
      <c r="E53" s="363"/>
      <c r="F53" s="391">
        <f>D53*E53</f>
        <v>0</v>
      </c>
      <c r="G53" s="396"/>
      <c r="H53" s="398"/>
    </row>
    <row r="54" spans="1:9" ht="15" customHeight="1">
      <c r="A54" s="452"/>
      <c r="B54" s="383"/>
      <c r="C54" s="124"/>
      <c r="D54" s="350"/>
      <c r="E54" s="363"/>
      <c r="F54" s="350"/>
      <c r="G54" s="396"/>
      <c r="H54" s="398"/>
    </row>
    <row r="55" spans="1:9" ht="36">
      <c r="A55" s="369" t="s">
        <v>145</v>
      </c>
      <c r="B55" s="437" t="s">
        <v>499</v>
      </c>
      <c r="C55" s="112"/>
      <c r="D55" s="109"/>
      <c r="E55" s="108"/>
      <c r="F55" s="197"/>
      <c r="G55" s="396"/>
      <c r="H55" s="398"/>
    </row>
    <row r="56" spans="1:9" ht="52.15" customHeight="1">
      <c r="A56" s="388"/>
      <c r="B56" s="523" t="s">
        <v>498</v>
      </c>
      <c r="C56" s="112"/>
      <c r="D56" s="109"/>
      <c r="E56" s="108"/>
      <c r="F56" s="197"/>
    </row>
    <row r="57" spans="1:9" ht="24">
      <c r="A57" s="388"/>
      <c r="B57" s="493" t="s">
        <v>406</v>
      </c>
      <c r="C57" s="112"/>
      <c r="D57" s="109"/>
      <c r="E57" s="108"/>
      <c r="F57" s="197"/>
    </row>
    <row r="58" spans="1:9">
      <c r="A58" s="388"/>
      <c r="B58" s="492" t="s">
        <v>407</v>
      </c>
      <c r="C58" s="112"/>
      <c r="D58" s="109"/>
      <c r="E58" s="108"/>
      <c r="F58" s="197"/>
    </row>
    <row r="59" spans="1:9">
      <c r="A59" s="388"/>
      <c r="B59" s="492" t="s">
        <v>408</v>
      </c>
      <c r="C59" s="112"/>
      <c r="D59" s="109"/>
      <c r="E59" s="108"/>
      <c r="F59" s="197"/>
    </row>
    <row r="60" spans="1:9">
      <c r="A60" s="388"/>
      <c r="B60" s="492" t="s">
        <v>409</v>
      </c>
      <c r="C60" s="112"/>
      <c r="D60" s="109"/>
      <c r="E60" s="108"/>
      <c r="F60" s="197"/>
    </row>
    <row r="61" spans="1:9">
      <c r="A61" s="388"/>
      <c r="B61" s="494"/>
      <c r="C61" s="112" t="s">
        <v>148</v>
      </c>
      <c r="D61" s="90">
        <v>6</v>
      </c>
      <c r="E61" s="108"/>
      <c r="F61" s="139">
        <f>D61*E61</f>
        <v>0</v>
      </c>
    </row>
    <row r="62" spans="1:9">
      <c r="A62" s="114"/>
      <c r="B62" s="214"/>
      <c r="C62" s="112"/>
      <c r="D62" s="109"/>
      <c r="E62" s="363"/>
      <c r="F62" s="350"/>
    </row>
    <row r="63" spans="1:9" ht="24">
      <c r="A63" s="369" t="s">
        <v>149</v>
      </c>
      <c r="B63" s="243" t="s">
        <v>146</v>
      </c>
      <c r="C63" s="90"/>
      <c r="D63" s="526"/>
      <c r="E63" s="410"/>
      <c r="F63" s="206"/>
    </row>
    <row r="64" spans="1:9" ht="168">
      <c r="A64" s="114"/>
      <c r="B64" s="227" t="s">
        <v>147</v>
      </c>
      <c r="C64" s="121"/>
      <c r="D64" s="530"/>
      <c r="E64" s="410"/>
      <c r="F64" s="206"/>
    </row>
    <row r="65" spans="1:6">
      <c r="A65" s="491"/>
      <c r="B65" s="196" t="s">
        <v>415</v>
      </c>
      <c r="C65" s="90" t="s">
        <v>148</v>
      </c>
      <c r="D65" s="90">
        <v>66</v>
      </c>
      <c r="E65" s="108"/>
      <c r="F65" s="197">
        <f t="shared" ref="F65:F67" si="0">D65*E65</f>
        <v>0</v>
      </c>
    </row>
    <row r="66" spans="1:6">
      <c r="A66" s="491"/>
      <c r="B66" s="196" t="s">
        <v>410</v>
      </c>
      <c r="C66" s="90" t="s">
        <v>148</v>
      </c>
      <c r="D66" s="90">
        <v>3</v>
      </c>
      <c r="E66" s="108"/>
      <c r="F66" s="197">
        <f t="shared" si="0"/>
        <v>0</v>
      </c>
    </row>
    <row r="67" spans="1:6">
      <c r="A67" s="491"/>
      <c r="B67" s="196" t="s">
        <v>598</v>
      </c>
      <c r="C67" s="90" t="s">
        <v>148</v>
      </c>
      <c r="D67" s="90">
        <v>6</v>
      </c>
      <c r="E67" s="108"/>
      <c r="F67" s="197">
        <f t="shared" si="0"/>
        <v>0</v>
      </c>
    </row>
    <row r="68" spans="1:6">
      <c r="B68" s="201"/>
      <c r="C68" s="222"/>
      <c r="D68" s="531"/>
      <c r="E68" s="262"/>
      <c r="F68" s="344">
        <f>SUM(F65:F67)</f>
        <v>0</v>
      </c>
    </row>
    <row r="69" spans="1:6" ht="12.75" thickBot="1">
      <c r="F69" s="320"/>
    </row>
    <row r="70" spans="1:6" ht="24.75" thickBot="1">
      <c r="A70" s="247" t="s">
        <v>45</v>
      </c>
      <c r="B70" s="248" t="s">
        <v>150</v>
      </c>
      <c r="C70" s="249"/>
      <c r="D70" s="532"/>
      <c r="E70" s="251" t="s">
        <v>28</v>
      </c>
      <c r="F70" s="164">
        <f>F68+F53+F49+F45+F40+F61</f>
        <v>0</v>
      </c>
    </row>
    <row r="71" spans="1:6">
      <c r="C71" s="198"/>
      <c r="D71" s="533"/>
      <c r="E71" s="396"/>
    </row>
  </sheetData>
  <mergeCells count="15">
    <mergeCell ref="A36:E36"/>
    <mergeCell ref="A33:E33"/>
    <mergeCell ref="A23:E23"/>
    <mergeCell ref="A31:E31"/>
    <mergeCell ref="A27:E27"/>
    <mergeCell ref="A25:E25"/>
    <mergeCell ref="A29:E29"/>
    <mergeCell ref="A34:E34"/>
    <mergeCell ref="A19:E19"/>
    <mergeCell ref="A2:F2"/>
    <mergeCell ref="B9:F9"/>
    <mergeCell ref="A13:E13"/>
    <mergeCell ref="A17:E17"/>
    <mergeCell ref="A15:E15"/>
    <mergeCell ref="A3:F3"/>
  </mergeCells>
  <phoneticPr fontId="28" type="noConversion"/>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4" manualBreakCount="4">
    <brk id="24" max="5" man="1"/>
    <brk id="36" max="5" man="1"/>
    <brk id="46" max="5" man="1"/>
    <brk id="62" max="5" man="1"/>
  </rowBreaks>
  <ignoredErrors>
    <ignoredError sqref="F45"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H29"/>
  <sheetViews>
    <sheetView showWhiteSpace="0" view="pageBreakPreview" zoomScaleNormal="100" zoomScaleSheetLayoutView="100" workbookViewId="0">
      <selection activeCell="E12" sqref="E12:E16"/>
    </sheetView>
  </sheetViews>
  <sheetFormatPr defaultColWidth="9.28515625" defaultRowHeight="12"/>
  <cols>
    <col min="1" max="1" width="5.7109375" style="198" customWidth="1"/>
    <col min="2" max="2" width="42.7109375" style="198" customWidth="1"/>
    <col min="3" max="3" width="8.140625" style="245" customWidth="1"/>
    <col min="4" max="4" width="8.140625" style="232" customWidth="1"/>
    <col min="5" max="5" width="10.140625" style="246" customWidth="1"/>
    <col min="6" max="6" width="10.140625" style="199" customWidth="1"/>
    <col min="7" max="7" width="5.5703125" style="199" customWidth="1"/>
    <col min="8" max="8" width="36.5703125" style="213" customWidth="1"/>
    <col min="9" max="16384" width="9.28515625" style="198"/>
  </cols>
  <sheetData>
    <row r="1" spans="1:8">
      <c r="A1" s="224"/>
      <c r="B1" s="224"/>
      <c r="C1" s="231"/>
      <c r="E1" s="232"/>
      <c r="F1" s="233"/>
    </row>
    <row r="2" spans="1:8">
      <c r="A2" s="638" t="s">
        <v>108</v>
      </c>
      <c r="B2" s="639"/>
      <c r="C2" s="639"/>
      <c r="D2" s="639"/>
      <c r="E2" s="639"/>
      <c r="F2" s="640"/>
      <c r="G2" s="234"/>
    </row>
    <row r="3" spans="1:8">
      <c r="A3" s="642" t="s">
        <v>412</v>
      </c>
      <c r="B3" s="642"/>
      <c r="C3" s="642"/>
      <c r="D3" s="642"/>
      <c r="E3" s="642"/>
      <c r="F3" s="642"/>
    </row>
    <row r="4" spans="1:8">
      <c r="A4" s="116" t="s">
        <v>110</v>
      </c>
      <c r="B4" s="116" t="s">
        <v>111</v>
      </c>
      <c r="C4" s="116" t="s">
        <v>112</v>
      </c>
      <c r="D4" s="235" t="s">
        <v>113</v>
      </c>
      <c r="E4" s="235" t="s">
        <v>114</v>
      </c>
      <c r="F4" s="236" t="s">
        <v>115</v>
      </c>
      <c r="G4" s="237"/>
    </row>
    <row r="5" spans="1:8">
      <c r="A5" s="105"/>
      <c r="B5" s="105"/>
      <c r="C5" s="105"/>
      <c r="D5" s="225"/>
      <c r="E5" s="225"/>
      <c r="F5" s="238"/>
      <c r="G5" s="237"/>
    </row>
    <row r="6" spans="1:8" ht="18.75">
      <c r="A6" s="219" t="s">
        <v>43</v>
      </c>
      <c r="B6" s="220" t="s">
        <v>44</v>
      </c>
      <c r="C6" s="121"/>
      <c r="D6" s="109"/>
      <c r="E6" s="109"/>
      <c r="F6" s="206"/>
    </row>
    <row r="7" spans="1:8">
      <c r="A7" s="119"/>
      <c r="B7" s="119"/>
      <c r="C7" s="121"/>
      <c r="D7" s="109"/>
      <c r="E7" s="109"/>
      <c r="F7" s="206"/>
    </row>
    <row r="8" spans="1:8">
      <c r="A8" s="119"/>
      <c r="B8" s="119"/>
      <c r="C8" s="121"/>
      <c r="D8" s="109"/>
      <c r="E8" s="109"/>
      <c r="F8" s="206"/>
    </row>
    <row r="9" spans="1:8" ht="13.5" thickBot="1">
      <c r="A9" s="239" t="s">
        <v>70</v>
      </c>
      <c r="B9" s="643" t="s">
        <v>413</v>
      </c>
      <c r="C9" s="643"/>
      <c r="D9" s="643"/>
      <c r="E9" s="643"/>
      <c r="F9" s="643"/>
      <c r="G9" s="240"/>
    </row>
    <row r="10" spans="1:8" ht="14.25" customHeight="1">
      <c r="A10" s="119"/>
      <c r="B10" s="120"/>
      <c r="C10" s="121"/>
      <c r="D10" s="109"/>
      <c r="E10" s="107"/>
      <c r="F10" s="241"/>
      <c r="G10" s="242"/>
    </row>
    <row r="11" spans="1:8">
      <c r="A11" s="229" t="s">
        <v>27</v>
      </c>
      <c r="B11" s="243" t="s">
        <v>151</v>
      </c>
      <c r="C11" s="90"/>
      <c r="D11" s="109"/>
      <c r="E11" s="108"/>
      <c r="F11" s="206"/>
    </row>
    <row r="12" spans="1:8" ht="156">
      <c r="A12" s="114"/>
      <c r="B12" s="114" t="s">
        <v>152</v>
      </c>
      <c r="C12" s="121"/>
      <c r="D12" s="109"/>
      <c r="E12" s="108"/>
      <c r="F12" s="206"/>
      <c r="H12" s="244"/>
    </row>
    <row r="13" spans="1:8" s="224" customFormat="1">
      <c r="A13" s="114"/>
      <c r="B13" s="201" t="s">
        <v>416</v>
      </c>
      <c r="C13" s="90" t="s">
        <v>148</v>
      </c>
      <c r="D13" s="90">
        <v>18</v>
      </c>
      <c r="E13" s="108"/>
      <c r="F13" s="109">
        <f t="shared" ref="F13:F16" si="0">D13*E13</f>
        <v>0</v>
      </c>
      <c r="G13" s="109"/>
      <c r="H13" s="108"/>
    </row>
    <row r="14" spans="1:8" s="224" customFormat="1">
      <c r="A14" s="114"/>
      <c r="B14" s="201" t="s">
        <v>414</v>
      </c>
      <c r="C14" s="90" t="s">
        <v>148</v>
      </c>
      <c r="D14" s="90">
        <v>8</v>
      </c>
      <c r="E14" s="108"/>
      <c r="F14" s="109">
        <f t="shared" si="0"/>
        <v>0</v>
      </c>
      <c r="G14" s="109"/>
      <c r="H14" s="108"/>
    </row>
    <row r="15" spans="1:8" s="224" customFormat="1" ht="24">
      <c r="A15" s="114"/>
      <c r="B15" s="201" t="s">
        <v>599</v>
      </c>
      <c r="C15" s="90" t="s">
        <v>148</v>
      </c>
      <c r="D15" s="90">
        <v>15</v>
      </c>
      <c r="E15" s="108"/>
      <c r="F15" s="109">
        <f t="shared" si="0"/>
        <v>0</v>
      </c>
      <c r="G15" s="109"/>
      <c r="H15" s="108"/>
    </row>
    <row r="16" spans="1:8" s="224" customFormat="1" ht="24">
      <c r="A16" s="114"/>
      <c r="B16" s="201" t="s">
        <v>600</v>
      </c>
      <c r="C16" s="90" t="s">
        <v>148</v>
      </c>
      <c r="D16" s="90">
        <v>16</v>
      </c>
      <c r="E16" s="108"/>
      <c r="F16" s="402">
        <f t="shared" si="0"/>
        <v>0</v>
      </c>
      <c r="G16" s="109"/>
      <c r="H16" s="108"/>
    </row>
    <row r="17" spans="1:8" s="224" customFormat="1">
      <c r="A17" s="114"/>
      <c r="B17" s="201"/>
      <c r="C17" s="90"/>
      <c r="D17" s="90"/>
      <c r="E17" s="108"/>
      <c r="F17" s="197">
        <f>SUM(F13:F16)</f>
        <v>0</v>
      </c>
      <c r="G17" s="109"/>
      <c r="H17" s="108"/>
    </row>
    <row r="18" spans="1:8" s="265" customFormat="1" ht="12.75" thickBot="1">
      <c r="A18" s="263"/>
      <c r="B18" s="264"/>
      <c r="D18" s="266"/>
      <c r="E18" s="266"/>
      <c r="F18" s="266"/>
    </row>
    <row r="19" spans="1:8" ht="12.75" thickBot="1">
      <c r="A19" s="464" t="s">
        <v>70</v>
      </c>
      <c r="B19" s="488" t="s">
        <v>411</v>
      </c>
      <c r="C19" s="466"/>
      <c r="D19" s="476"/>
      <c r="E19" s="459" t="s">
        <v>28</v>
      </c>
      <c r="F19" s="468">
        <f>F17</f>
        <v>0</v>
      </c>
      <c r="H19" s="198"/>
    </row>
    <row r="20" spans="1:8">
      <c r="C20" s="198"/>
      <c r="D20" s="489"/>
      <c r="E20" s="199"/>
      <c r="G20" s="27"/>
    </row>
    <row r="21" spans="1:8" hidden="1"/>
    <row r="25" spans="1:8">
      <c r="D25" s="490"/>
    </row>
    <row r="29" spans="1:8">
      <c r="D29" s="490"/>
    </row>
  </sheetData>
  <mergeCells count="3">
    <mergeCell ref="A2:F2"/>
    <mergeCell ref="A3:F3"/>
    <mergeCell ref="B9:F9"/>
  </mergeCells>
  <printOptions horizontalCentered="1"/>
  <pageMargins left="0.7" right="0.7" top="0.75" bottom="0.75" header="0.3" footer="0.3"/>
  <pageSetup paperSize="9" fitToHeight="0"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4" tint="0.79998168889431442"/>
  </sheetPr>
  <dimension ref="A1:H93"/>
  <sheetViews>
    <sheetView view="pageBreakPreview" topLeftCell="A77" zoomScale="145" zoomScaleNormal="100" zoomScaleSheetLayoutView="145" workbookViewId="0">
      <selection activeCell="B28" sqref="B28"/>
    </sheetView>
  </sheetViews>
  <sheetFormatPr defaultColWidth="9.28515625" defaultRowHeight="12"/>
  <cols>
    <col min="1" max="1" width="5.7109375" style="374" customWidth="1"/>
    <col min="2" max="2" width="42.7109375" style="198" customWidth="1"/>
    <col min="3" max="3" width="8.140625" style="245" customWidth="1"/>
    <col min="4" max="4" width="8.140625" style="199" customWidth="1"/>
    <col min="5" max="6" width="10.140625" style="199" customWidth="1"/>
    <col min="7" max="7" width="9.42578125" style="213" hidden="1" customWidth="1"/>
    <col min="8" max="8" width="9.42578125" style="198" hidden="1" customWidth="1"/>
    <col min="9" max="10" width="0" style="198" hidden="1" customWidth="1"/>
    <col min="11" max="16384" width="9.28515625" style="198"/>
  </cols>
  <sheetData>
    <row r="1" spans="1:7" s="1" customFormat="1" ht="15">
      <c r="A1" s="333"/>
      <c r="B1" s="137"/>
      <c r="C1" s="209"/>
      <c r="D1" s="206"/>
      <c r="E1" s="207"/>
      <c r="F1" s="207"/>
      <c r="G1" s="218"/>
    </row>
    <row r="2" spans="1:7">
      <c r="A2" s="638" t="s">
        <v>108</v>
      </c>
      <c r="B2" s="639"/>
      <c r="C2" s="639"/>
      <c r="D2" s="639"/>
      <c r="E2" s="639"/>
      <c r="F2" s="640"/>
    </row>
    <row r="3" spans="1:7">
      <c r="A3" s="642" t="s">
        <v>153</v>
      </c>
      <c r="B3" s="642"/>
      <c r="C3" s="642"/>
      <c r="D3" s="642"/>
      <c r="E3" s="642"/>
      <c r="F3" s="642"/>
    </row>
    <row r="4" spans="1:7" s="1" customFormat="1" ht="14.25">
      <c r="A4" s="368" t="s">
        <v>110</v>
      </c>
      <c r="B4" s="116" t="s">
        <v>111</v>
      </c>
      <c r="C4" s="116" t="s">
        <v>112</v>
      </c>
      <c r="D4" s="268" t="s">
        <v>113</v>
      </c>
      <c r="E4" s="268" t="s">
        <v>114</v>
      </c>
      <c r="F4" s="268" t="s">
        <v>115</v>
      </c>
      <c r="G4" s="218"/>
    </row>
    <row r="5" spans="1:7" s="1" customFormat="1" ht="14.25">
      <c r="A5" s="111"/>
      <c r="B5" s="105"/>
      <c r="C5" s="105"/>
      <c r="D5" s="269"/>
      <c r="E5" s="269"/>
      <c r="F5" s="269"/>
      <c r="G5" s="218"/>
    </row>
    <row r="6" spans="1:7" s="1" customFormat="1" ht="14.25">
      <c r="A6" s="111"/>
      <c r="B6" s="105"/>
      <c r="C6" s="105"/>
      <c r="D6" s="269"/>
      <c r="E6" s="269"/>
      <c r="F6" s="269"/>
      <c r="G6" s="218"/>
    </row>
    <row r="7" spans="1:7" s="1" customFormat="1" ht="15.75" thickBot="1">
      <c r="A7" s="373" t="s">
        <v>47</v>
      </c>
      <c r="B7" s="644" t="s">
        <v>154</v>
      </c>
      <c r="C7" s="644"/>
      <c r="D7" s="644"/>
      <c r="E7" s="644"/>
      <c r="F7" s="644"/>
      <c r="G7" s="218"/>
    </row>
    <row r="8" spans="1:7">
      <c r="A8" s="288"/>
      <c r="B8" s="120"/>
      <c r="C8" s="121"/>
      <c r="D8" s="109"/>
      <c r="E8" s="107"/>
      <c r="F8" s="107"/>
    </row>
    <row r="9" spans="1:7">
      <c r="A9" s="360" t="s">
        <v>117</v>
      </c>
      <c r="B9" s="311"/>
      <c r="C9" s="312"/>
      <c r="D9" s="308"/>
      <c r="E9" s="208"/>
      <c r="F9" s="208"/>
    </row>
    <row r="10" spans="1:7">
      <c r="A10" s="360"/>
      <c r="B10" s="311"/>
      <c r="C10" s="312"/>
      <c r="D10" s="308"/>
      <c r="E10" s="208"/>
      <c r="F10" s="208"/>
    </row>
    <row r="11" spans="1:7" ht="53.25" customHeight="1">
      <c r="A11" s="636" t="s">
        <v>155</v>
      </c>
      <c r="B11" s="637"/>
      <c r="C11" s="637"/>
      <c r="D11" s="637"/>
      <c r="E11" s="637"/>
      <c r="F11" s="208"/>
    </row>
    <row r="12" spans="1:7">
      <c r="A12" s="111"/>
      <c r="B12" s="288"/>
      <c r="C12" s="288"/>
      <c r="D12" s="314"/>
      <c r="E12" s="314"/>
      <c r="F12" s="208"/>
    </row>
    <row r="13" spans="1:7" ht="39.75" customHeight="1">
      <c r="A13" s="636" t="s">
        <v>156</v>
      </c>
      <c r="B13" s="637"/>
      <c r="C13" s="637"/>
      <c r="D13" s="637"/>
      <c r="E13" s="637"/>
      <c r="F13" s="208"/>
    </row>
    <row r="14" spans="1:7">
      <c r="A14" s="111"/>
      <c r="B14" s="111"/>
      <c r="C14" s="111"/>
      <c r="D14" s="315"/>
      <c r="E14" s="315"/>
      <c r="F14" s="208"/>
    </row>
    <row r="15" spans="1:7" ht="65.25" customHeight="1">
      <c r="A15" s="636" t="s">
        <v>157</v>
      </c>
      <c r="B15" s="637"/>
      <c r="C15" s="637"/>
      <c r="D15" s="637"/>
      <c r="E15" s="637"/>
      <c r="F15" s="208"/>
    </row>
    <row r="16" spans="1:7">
      <c r="A16" s="111"/>
      <c r="B16" s="111"/>
      <c r="C16" s="111"/>
      <c r="D16" s="315"/>
      <c r="E16" s="315"/>
      <c r="F16" s="208"/>
    </row>
    <row r="17" spans="1:8" ht="64.5" customHeight="1">
      <c r="A17" s="636" t="s">
        <v>158</v>
      </c>
      <c r="B17" s="637"/>
      <c r="C17" s="637"/>
      <c r="D17" s="637"/>
      <c r="E17" s="637"/>
      <c r="F17" s="208"/>
    </row>
    <row r="18" spans="1:8">
      <c r="A18" s="111"/>
      <c r="B18" s="111"/>
      <c r="C18" s="111"/>
      <c r="D18" s="315"/>
      <c r="E18" s="315"/>
      <c r="F18" s="208"/>
    </row>
    <row r="19" spans="1:8" ht="27" customHeight="1">
      <c r="A19" s="636" t="s">
        <v>159</v>
      </c>
      <c r="B19" s="637"/>
      <c r="C19" s="637"/>
      <c r="D19" s="637"/>
      <c r="E19" s="637"/>
      <c r="F19" s="208"/>
    </row>
    <row r="20" spans="1:8">
      <c r="A20" s="111"/>
      <c r="B20" s="111"/>
      <c r="C20" s="111"/>
      <c r="D20" s="315"/>
      <c r="E20" s="315"/>
      <c r="F20" s="208"/>
    </row>
    <row r="21" spans="1:8" ht="74.25" customHeight="1">
      <c r="A21" s="636" t="s">
        <v>160</v>
      </c>
      <c r="B21" s="637"/>
      <c r="C21" s="637"/>
      <c r="D21" s="637"/>
      <c r="E21" s="637"/>
      <c r="F21" s="208"/>
    </row>
    <row r="22" spans="1:8" ht="14.25" customHeight="1">
      <c r="A22" s="111"/>
      <c r="B22" s="111"/>
      <c r="C22" s="111"/>
      <c r="D22" s="315"/>
      <c r="E22" s="315"/>
      <c r="F22" s="208"/>
    </row>
    <row r="23" spans="1:8" ht="114" customHeight="1">
      <c r="A23" s="636" t="s">
        <v>161</v>
      </c>
      <c r="B23" s="637"/>
      <c r="C23" s="637"/>
      <c r="D23" s="637"/>
      <c r="E23" s="637"/>
      <c r="F23" s="208"/>
    </row>
    <row r="24" spans="1:8" ht="15" customHeight="1">
      <c r="A24" s="111"/>
      <c r="B24" s="111"/>
      <c r="C24" s="111"/>
      <c r="D24" s="315"/>
      <c r="E24" s="315"/>
      <c r="F24" s="208"/>
    </row>
    <row r="25" spans="1:8" ht="39" customHeight="1">
      <c r="A25" s="636" t="s">
        <v>162</v>
      </c>
      <c r="B25" s="637"/>
      <c r="C25" s="637"/>
      <c r="D25" s="637"/>
      <c r="E25" s="637"/>
      <c r="F25" s="208"/>
    </row>
    <row r="26" spans="1:8">
      <c r="A26" s="360"/>
      <c r="B26" s="311"/>
      <c r="C26" s="312"/>
      <c r="D26" s="109"/>
      <c r="E26" s="260"/>
      <c r="F26" s="206"/>
    </row>
    <row r="27" spans="1:8" ht="24">
      <c r="A27" s="111" t="s">
        <v>27</v>
      </c>
      <c r="B27" s="203" t="s">
        <v>163</v>
      </c>
      <c r="C27" s="112"/>
      <c r="D27" s="206"/>
      <c r="E27" s="260"/>
      <c r="F27" s="206"/>
    </row>
    <row r="28" spans="1:8" ht="145.9" customHeight="1">
      <c r="A28" s="111"/>
      <c r="B28" s="227" t="s">
        <v>164</v>
      </c>
      <c r="C28" s="112"/>
      <c r="D28" s="109"/>
      <c r="E28" s="260"/>
      <c r="F28" s="206"/>
    </row>
    <row r="29" spans="1:8">
      <c r="A29" s="111"/>
      <c r="B29" s="227"/>
      <c r="C29" s="112" t="s">
        <v>148</v>
      </c>
      <c r="D29" s="109">
        <v>20</v>
      </c>
      <c r="E29" s="260"/>
      <c r="F29" s="320">
        <f>D29*E29</f>
        <v>0</v>
      </c>
    </row>
    <row r="30" spans="1:8">
      <c r="A30" s="111"/>
      <c r="B30" s="214"/>
      <c r="C30" s="112"/>
      <c r="D30" s="109"/>
      <c r="E30" s="108"/>
      <c r="F30" s="197"/>
      <c r="H30" s="108"/>
    </row>
    <row r="31" spans="1:8">
      <c r="A31" s="111" t="s">
        <v>29</v>
      </c>
      <c r="B31" s="360" t="s">
        <v>418</v>
      </c>
      <c r="C31" s="112"/>
      <c r="D31" s="206"/>
      <c r="E31" s="260"/>
      <c r="F31" s="206"/>
    </row>
    <row r="32" spans="1:8" ht="84">
      <c r="A32" s="111"/>
      <c r="B32" s="495" t="s">
        <v>417</v>
      </c>
      <c r="C32" s="112"/>
      <c r="D32" s="109"/>
      <c r="E32" s="108"/>
      <c r="F32" s="197"/>
      <c r="H32" s="108"/>
    </row>
    <row r="33" spans="1:8">
      <c r="A33" s="111"/>
      <c r="B33" s="214"/>
      <c r="C33" s="112" t="s">
        <v>148</v>
      </c>
      <c r="D33" s="109">
        <v>3</v>
      </c>
      <c r="E33" s="108"/>
      <c r="F33" s="197">
        <f>D33*E33</f>
        <v>0</v>
      </c>
      <c r="H33" s="108"/>
    </row>
    <row r="34" spans="1:8">
      <c r="A34" s="111"/>
      <c r="B34" s="214"/>
      <c r="C34" s="112"/>
      <c r="D34" s="109"/>
      <c r="E34" s="108"/>
      <c r="F34" s="197"/>
      <c r="H34" s="108"/>
    </row>
    <row r="35" spans="1:8" s="1" customFormat="1" ht="14.25">
      <c r="A35" s="450" t="s">
        <v>138</v>
      </c>
      <c r="B35" s="362" t="s">
        <v>422</v>
      </c>
      <c r="C35" s="112"/>
      <c r="D35" s="109"/>
      <c r="E35" s="108"/>
      <c r="F35" s="109"/>
      <c r="G35" s="213"/>
    </row>
    <row r="36" spans="1:8" s="1" customFormat="1" ht="158.44999999999999" customHeight="1">
      <c r="A36" s="111"/>
      <c r="B36" s="227" t="s">
        <v>423</v>
      </c>
      <c r="C36" s="112"/>
      <c r="D36" s="109"/>
      <c r="E36" s="108"/>
      <c r="F36" s="109"/>
      <c r="G36" s="198"/>
    </row>
    <row r="37" spans="1:8" s="1" customFormat="1" ht="14.25">
      <c r="A37" s="111"/>
      <c r="B37" s="112" t="s">
        <v>424</v>
      </c>
      <c r="C37" s="112" t="s">
        <v>165</v>
      </c>
      <c r="D37" s="90">
        <v>110</v>
      </c>
      <c r="E37" s="371"/>
      <c r="F37" s="350">
        <f>D37*E37</f>
        <v>0</v>
      </c>
      <c r="G37" s="198"/>
    </row>
    <row r="38" spans="1:8" s="1" customFormat="1" ht="24">
      <c r="A38" s="111"/>
      <c r="B38" s="112" t="s">
        <v>425</v>
      </c>
      <c r="C38" s="401" t="s">
        <v>165</v>
      </c>
      <c r="D38" s="497">
        <v>136.5</v>
      </c>
      <c r="E38" s="498"/>
      <c r="F38" s="402">
        <f>D38*E38</f>
        <v>0</v>
      </c>
      <c r="G38" s="198"/>
    </row>
    <row r="39" spans="1:8" s="1" customFormat="1" ht="14.25">
      <c r="A39" s="111"/>
      <c r="B39" s="357"/>
      <c r="C39" s="370"/>
      <c r="D39" s="390"/>
      <c r="E39" s="371"/>
      <c r="F39" s="391">
        <f>SUM(F37:F38)</f>
        <v>0</v>
      </c>
      <c r="G39" s="198"/>
    </row>
    <row r="40" spans="1:8" s="1" customFormat="1" ht="14.25">
      <c r="A40" s="111"/>
      <c r="B40" s="112"/>
      <c r="C40" s="112"/>
      <c r="D40" s="496"/>
      <c r="E40" s="108"/>
      <c r="F40" s="197"/>
      <c r="G40" s="340"/>
    </row>
    <row r="41" spans="1:8" s="1" customFormat="1" ht="14.25">
      <c r="A41" s="369" t="s">
        <v>142</v>
      </c>
      <c r="B41" s="316" t="s">
        <v>426</v>
      </c>
      <c r="C41" s="112"/>
      <c r="D41" s="206"/>
      <c r="E41" s="260"/>
      <c r="F41" s="206"/>
      <c r="G41" s="198"/>
    </row>
    <row r="42" spans="1:8" s="1" customFormat="1" ht="60">
      <c r="A42" s="111"/>
      <c r="B42" s="227" t="s">
        <v>427</v>
      </c>
      <c r="C42" s="112"/>
      <c r="D42" s="109"/>
      <c r="E42" s="108"/>
      <c r="F42" s="109"/>
      <c r="G42" s="198"/>
    </row>
    <row r="43" spans="1:8" s="1" customFormat="1" ht="14.25">
      <c r="A43" s="111"/>
      <c r="B43" s="357"/>
      <c r="C43" s="370" t="s">
        <v>165</v>
      </c>
      <c r="D43" s="390">
        <v>367</v>
      </c>
      <c r="E43" s="371"/>
      <c r="F43" s="372">
        <f>D43*E43</f>
        <v>0</v>
      </c>
      <c r="G43" s="198"/>
    </row>
    <row r="44" spans="1:8" s="1" customFormat="1" ht="14.25">
      <c r="A44" s="111"/>
      <c r="B44" s="112"/>
      <c r="C44" s="112"/>
      <c r="D44" s="496"/>
      <c r="E44" s="108"/>
      <c r="F44" s="197"/>
      <c r="G44" s="340"/>
    </row>
    <row r="45" spans="1:8" s="1" customFormat="1" ht="14.25">
      <c r="A45" s="449" t="s">
        <v>145</v>
      </c>
      <c r="B45" s="386" t="s">
        <v>166</v>
      </c>
      <c r="C45" s="112"/>
      <c r="D45" s="521"/>
      <c r="E45" s="260"/>
      <c r="F45" s="206"/>
      <c r="G45" s="340"/>
    </row>
    <row r="46" spans="1:8" s="1" customFormat="1" ht="72">
      <c r="A46" s="111"/>
      <c r="B46" s="227" t="s">
        <v>428</v>
      </c>
      <c r="C46" s="112"/>
      <c r="D46" s="496"/>
      <c r="E46" s="108"/>
      <c r="F46" s="109"/>
      <c r="G46" s="340"/>
    </row>
    <row r="47" spans="1:8">
      <c r="A47" s="114"/>
      <c r="B47" s="196" t="s">
        <v>415</v>
      </c>
      <c r="C47" s="222" t="s">
        <v>148</v>
      </c>
      <c r="D47" s="90">
        <v>66</v>
      </c>
      <c r="E47" s="109"/>
      <c r="F47" s="206">
        <f t="shared" ref="F47:F49" si="0">D47*E47</f>
        <v>0</v>
      </c>
    </row>
    <row r="48" spans="1:8">
      <c r="A48" s="198"/>
      <c r="B48" s="196" t="s">
        <v>410</v>
      </c>
      <c r="C48" s="222" t="s">
        <v>148</v>
      </c>
      <c r="D48" s="90">
        <v>3</v>
      </c>
      <c r="E48" s="109"/>
      <c r="F48" s="206">
        <f t="shared" si="0"/>
        <v>0</v>
      </c>
    </row>
    <row r="49" spans="1:7">
      <c r="A49" s="198"/>
      <c r="B49" s="196" t="s">
        <v>598</v>
      </c>
      <c r="C49" s="222" t="s">
        <v>148</v>
      </c>
      <c r="D49" s="497">
        <v>6</v>
      </c>
      <c r="E49" s="402"/>
      <c r="F49" s="456">
        <f t="shared" si="0"/>
        <v>0</v>
      </c>
    </row>
    <row r="50" spans="1:7" s="380" customFormat="1" ht="14.25">
      <c r="A50" s="198"/>
      <c r="B50" s="201"/>
      <c r="C50" s="222"/>
      <c r="D50" s="109"/>
      <c r="E50" s="109"/>
      <c r="F50" s="81">
        <f>SUM(F47:F49)</f>
        <v>0</v>
      </c>
    </row>
    <row r="51" spans="1:7" s="380" customFormat="1" ht="14.25">
      <c r="A51" s="111"/>
      <c r="B51" s="112"/>
      <c r="C51" s="112"/>
      <c r="D51" s="496"/>
      <c r="E51" s="108"/>
      <c r="F51" s="139"/>
      <c r="G51" s="381"/>
    </row>
    <row r="52" spans="1:7" s="1" customFormat="1" ht="14.25">
      <c r="A52" s="454" t="s">
        <v>149</v>
      </c>
      <c r="B52" s="412" t="s">
        <v>167</v>
      </c>
      <c r="C52" s="392"/>
      <c r="D52" s="393"/>
      <c r="E52" s="394"/>
      <c r="F52" s="393"/>
      <c r="G52" s="218"/>
    </row>
    <row r="53" spans="1:7" s="1" customFormat="1" ht="171" customHeight="1">
      <c r="A53" s="341"/>
      <c r="B53" s="338" t="s">
        <v>429</v>
      </c>
      <c r="C53" s="392"/>
      <c r="D53" s="309"/>
      <c r="E53" s="395"/>
      <c r="F53" s="309"/>
    </row>
    <row r="54" spans="1:7" s="1" customFormat="1" ht="14.25">
      <c r="A54" s="341"/>
      <c r="B54" s="338"/>
      <c r="C54" s="392" t="s">
        <v>165</v>
      </c>
      <c r="D54" s="309">
        <v>390</v>
      </c>
      <c r="E54" s="395"/>
      <c r="F54" s="139">
        <f>D54*E54</f>
        <v>0</v>
      </c>
    </row>
    <row r="55" spans="1:7" s="1" customFormat="1" ht="14.25">
      <c r="A55" s="111"/>
      <c r="B55" s="112"/>
      <c r="C55" s="112"/>
      <c r="D55" s="496"/>
      <c r="E55" s="108"/>
      <c r="F55" s="139"/>
    </row>
    <row r="56" spans="1:7" s="1" customFormat="1" ht="24">
      <c r="A56" s="369" t="s">
        <v>168</v>
      </c>
      <c r="B56" s="386" t="s">
        <v>430</v>
      </c>
      <c r="C56" s="112"/>
      <c r="D56" s="109"/>
      <c r="E56" s="260"/>
      <c r="F56" s="206"/>
    </row>
    <row r="57" spans="1:7" s="1" customFormat="1" ht="243.6" customHeight="1">
      <c r="A57" s="111"/>
      <c r="B57" s="82" t="s">
        <v>431</v>
      </c>
      <c r="C57" s="112"/>
      <c r="D57" s="109"/>
      <c r="E57" s="108"/>
      <c r="F57" s="109"/>
    </row>
    <row r="58" spans="1:7">
      <c r="A58" s="111"/>
      <c r="B58" s="112"/>
      <c r="C58" s="112" t="s">
        <v>148</v>
      </c>
      <c r="D58" s="109">
        <v>8</v>
      </c>
      <c r="E58" s="108"/>
      <c r="F58" s="197">
        <f>E58*D58</f>
        <v>0</v>
      </c>
    </row>
    <row r="59" spans="1:7">
      <c r="A59" s="111"/>
      <c r="B59" s="112"/>
      <c r="C59" s="112"/>
      <c r="D59" s="109"/>
      <c r="E59" s="108"/>
      <c r="F59" s="197"/>
    </row>
    <row r="60" spans="1:7" s="1" customFormat="1" ht="24">
      <c r="A60" s="369" t="s">
        <v>169</v>
      </c>
      <c r="B60" s="203" t="s">
        <v>432</v>
      </c>
      <c r="C60" s="124"/>
      <c r="D60" s="500"/>
      <c r="E60" s="363"/>
      <c r="F60" s="501"/>
      <c r="G60" s="198"/>
    </row>
    <row r="61" spans="1:7" s="1" customFormat="1" ht="114" customHeight="1">
      <c r="A61" s="499"/>
      <c r="B61" s="111" t="s">
        <v>433</v>
      </c>
      <c r="C61" s="112"/>
      <c r="D61" s="84"/>
      <c r="E61" s="108"/>
      <c r="F61" s="502"/>
      <c r="G61" s="198"/>
    </row>
    <row r="62" spans="1:7" s="1" customFormat="1" ht="14.25">
      <c r="A62" s="503"/>
      <c r="B62" s="121"/>
      <c r="C62" s="112" t="s">
        <v>148</v>
      </c>
      <c r="D62" s="84">
        <v>30</v>
      </c>
      <c r="E62" s="108"/>
      <c r="F62" s="502">
        <f>D62*E62</f>
        <v>0</v>
      </c>
      <c r="G62" s="198"/>
    </row>
    <row r="63" spans="1:7" s="1" customFormat="1" ht="14.25">
      <c r="A63" s="503"/>
      <c r="B63" s="121"/>
      <c r="C63" s="112"/>
      <c r="D63" s="84"/>
      <c r="E63" s="108"/>
      <c r="F63" s="502"/>
      <c r="G63" s="198"/>
    </row>
    <row r="64" spans="1:7" s="1" customFormat="1" ht="14.25">
      <c r="A64" s="369" t="s">
        <v>170</v>
      </c>
      <c r="B64" s="203" t="s">
        <v>434</v>
      </c>
      <c r="C64" s="124"/>
      <c r="D64" s="500"/>
      <c r="E64" s="363"/>
      <c r="F64" s="501"/>
      <c r="G64" s="198"/>
    </row>
    <row r="65" spans="1:7" s="1" customFormat="1" ht="63" customHeight="1">
      <c r="A65" s="499"/>
      <c r="B65" s="111" t="s">
        <v>435</v>
      </c>
      <c r="C65" s="112"/>
      <c r="D65" s="84"/>
      <c r="E65" s="108"/>
      <c r="F65" s="502"/>
      <c r="G65" s="198"/>
    </row>
    <row r="66" spans="1:7">
      <c r="A66" s="503"/>
      <c r="B66" s="111" t="s">
        <v>436</v>
      </c>
      <c r="C66" s="112" t="s">
        <v>165</v>
      </c>
      <c r="D66" s="90">
        <v>155</v>
      </c>
      <c r="E66" s="108"/>
      <c r="F66" s="139">
        <f>D66*E66</f>
        <v>0</v>
      </c>
    </row>
    <row r="67" spans="1:7">
      <c r="A67" s="503"/>
      <c r="B67" s="111"/>
      <c r="C67" s="112"/>
      <c r="D67" s="90"/>
      <c r="E67" s="108"/>
      <c r="F67" s="139"/>
    </row>
    <row r="68" spans="1:7" ht="24">
      <c r="A68" s="369" t="s">
        <v>171</v>
      </c>
      <c r="B68" s="203" t="s">
        <v>437</v>
      </c>
      <c r="C68" s="112"/>
      <c r="D68" s="90"/>
      <c r="E68" s="108"/>
      <c r="F68" s="139"/>
    </row>
    <row r="69" spans="1:7" ht="73.5" customHeight="1">
      <c r="A69" s="503"/>
      <c r="B69" s="111" t="s">
        <v>438</v>
      </c>
      <c r="C69" s="112"/>
      <c r="D69" s="90"/>
      <c r="E69" s="108"/>
      <c r="F69" s="139"/>
    </row>
    <row r="70" spans="1:7" ht="14.25">
      <c r="A70" s="503"/>
      <c r="B70" s="261" t="s">
        <v>439</v>
      </c>
      <c r="C70" s="289" t="s">
        <v>239</v>
      </c>
      <c r="D70" s="90">
        <v>16</v>
      </c>
      <c r="E70" s="108"/>
      <c r="F70" s="309">
        <f>D70*E70</f>
        <v>0</v>
      </c>
    </row>
    <row r="71" spans="1:7">
      <c r="A71" s="503"/>
      <c r="B71" s="261" t="s">
        <v>440</v>
      </c>
      <c r="C71" s="401" t="s">
        <v>148</v>
      </c>
      <c r="D71" s="522">
        <v>18</v>
      </c>
      <c r="E71" s="403"/>
      <c r="F71" s="504">
        <f>D71*E71</f>
        <v>0</v>
      </c>
    </row>
    <row r="72" spans="1:7">
      <c r="A72" s="503"/>
      <c r="B72" s="261"/>
      <c r="C72" s="112"/>
      <c r="D72" s="84"/>
      <c r="E72" s="108"/>
      <c r="F72" s="502">
        <f>F70+F71</f>
        <v>0</v>
      </c>
    </row>
    <row r="73" spans="1:7">
      <c r="A73" s="111"/>
      <c r="B73" s="112"/>
      <c r="C73" s="112"/>
      <c r="D73" s="109"/>
      <c r="E73" s="108"/>
      <c r="F73" s="197"/>
    </row>
    <row r="74" spans="1:7" ht="24">
      <c r="A74" s="229" t="s">
        <v>174</v>
      </c>
      <c r="B74" s="203" t="s">
        <v>442</v>
      </c>
      <c r="C74" s="112"/>
      <c r="D74" s="109"/>
      <c r="E74" s="260"/>
      <c r="F74" s="206"/>
    </row>
    <row r="75" spans="1:7" ht="48">
      <c r="A75" s="114"/>
      <c r="B75" s="446" t="s">
        <v>441</v>
      </c>
      <c r="C75" s="112"/>
      <c r="D75" s="84"/>
      <c r="E75" s="366"/>
      <c r="F75" s="91"/>
    </row>
    <row r="76" spans="1:7" ht="51.75" customHeight="1">
      <c r="A76" s="114"/>
      <c r="B76" s="227" t="s">
        <v>172</v>
      </c>
      <c r="C76" s="112"/>
      <c r="D76" s="84"/>
      <c r="E76" s="366"/>
      <c r="F76" s="91"/>
    </row>
    <row r="77" spans="1:7" ht="120">
      <c r="A77" s="114"/>
      <c r="B77" s="227" t="s">
        <v>173</v>
      </c>
      <c r="C77" s="112"/>
      <c r="D77" s="84"/>
      <c r="E77" s="366"/>
      <c r="F77" s="91"/>
    </row>
    <row r="78" spans="1:7" ht="96">
      <c r="A78" s="114"/>
      <c r="B78" s="227" t="s">
        <v>444</v>
      </c>
      <c r="C78" s="112"/>
      <c r="D78" s="84"/>
      <c r="E78" s="366"/>
      <c r="F78" s="91"/>
    </row>
    <row r="79" spans="1:7">
      <c r="A79" s="114"/>
      <c r="B79" s="201" t="s">
        <v>443</v>
      </c>
      <c r="C79" s="113" t="s">
        <v>133</v>
      </c>
      <c r="D79" s="90">
        <v>660</v>
      </c>
      <c r="E79" s="108"/>
      <c r="F79" s="387">
        <f>D79*E79</f>
        <v>0</v>
      </c>
    </row>
    <row r="81" spans="1:6">
      <c r="A81" s="369" t="s">
        <v>179</v>
      </c>
      <c r="B81" s="203" t="s">
        <v>175</v>
      </c>
      <c r="C81" s="112"/>
      <c r="D81" s="206"/>
      <c r="E81" s="260"/>
      <c r="F81" s="206"/>
    </row>
    <row r="82" spans="1:6" ht="322.5" customHeight="1">
      <c r="A82" s="111"/>
      <c r="B82" s="114" t="s">
        <v>419</v>
      </c>
      <c r="C82" s="90" t="s">
        <v>176</v>
      </c>
      <c r="D82" s="109"/>
      <c r="E82" s="108"/>
      <c r="F82" s="109"/>
    </row>
    <row r="83" spans="1:6" ht="48">
      <c r="A83" s="111"/>
      <c r="B83" s="114" t="s">
        <v>420</v>
      </c>
      <c r="C83" s="90"/>
      <c r="D83" s="109"/>
      <c r="E83" s="108"/>
      <c r="F83" s="109"/>
    </row>
    <row r="84" spans="1:6">
      <c r="A84" s="111"/>
      <c r="B84" s="112" t="s">
        <v>177</v>
      </c>
      <c r="C84" s="112" t="s">
        <v>148</v>
      </c>
      <c r="D84" s="90">
        <v>23</v>
      </c>
      <c r="E84" s="108"/>
      <c r="F84" s="109">
        <f>D84*E84</f>
        <v>0</v>
      </c>
    </row>
    <row r="85" spans="1:6" ht="36">
      <c r="A85" s="111"/>
      <c r="B85" s="112" t="s">
        <v>421</v>
      </c>
      <c r="C85" s="112" t="s">
        <v>148</v>
      </c>
      <c r="D85" s="90">
        <v>45</v>
      </c>
      <c r="E85" s="108"/>
      <c r="F85" s="109">
        <f>D85*E85</f>
        <v>0</v>
      </c>
    </row>
    <row r="86" spans="1:6">
      <c r="A86" s="111"/>
      <c r="B86" s="112" t="s">
        <v>178</v>
      </c>
      <c r="C86" s="112" t="s">
        <v>165</v>
      </c>
      <c r="D86" s="90">
        <v>180</v>
      </c>
      <c r="E86" s="108"/>
      <c r="F86" s="109">
        <f>D86*E86</f>
        <v>0</v>
      </c>
    </row>
    <row r="87" spans="1:6">
      <c r="A87" s="369"/>
      <c r="B87" s="111"/>
      <c r="C87" s="215"/>
      <c r="D87" s="228"/>
      <c r="E87" s="216"/>
      <c r="F87" s="204">
        <f>F84+F86+F85</f>
        <v>0</v>
      </c>
    </row>
    <row r="88" spans="1:6">
      <c r="A88" s="369"/>
      <c r="B88" s="111"/>
      <c r="C88" s="112"/>
      <c r="D88" s="109"/>
      <c r="E88" s="108"/>
      <c r="F88" s="197"/>
    </row>
    <row r="89" spans="1:6">
      <c r="A89" s="369" t="s">
        <v>445</v>
      </c>
      <c r="B89" s="360" t="s">
        <v>180</v>
      </c>
      <c r="C89" s="112"/>
      <c r="D89" s="206"/>
      <c r="E89" s="260"/>
      <c r="F89" s="206"/>
    </row>
    <row r="90" spans="1:6" ht="72">
      <c r="A90" s="111"/>
      <c r="B90" s="114" t="s">
        <v>181</v>
      </c>
      <c r="C90" s="209"/>
      <c r="D90" s="109"/>
      <c r="E90" s="108"/>
      <c r="F90" s="109"/>
    </row>
    <row r="91" spans="1:6" ht="14.25">
      <c r="A91" s="111"/>
      <c r="B91" s="1"/>
      <c r="C91" s="121" t="s">
        <v>137</v>
      </c>
      <c r="D91" s="109">
        <v>1</v>
      </c>
      <c r="E91" s="108"/>
      <c r="F91" s="139">
        <f>D91*E91</f>
        <v>0</v>
      </c>
    </row>
    <row r="92" spans="1:6" ht="12.75" thickBot="1"/>
    <row r="93" spans="1:6" ht="24.75" thickBot="1">
      <c r="A93" s="485" t="s">
        <v>47</v>
      </c>
      <c r="B93" s="465" t="s">
        <v>182</v>
      </c>
      <c r="C93" s="466"/>
      <c r="D93" s="467"/>
      <c r="E93" s="459" t="s">
        <v>28</v>
      </c>
      <c r="F93" s="468">
        <f>F91+F87+F79+F72+F66+F62+F58+F54+F50+F43+F39+F33+F29</f>
        <v>0</v>
      </c>
    </row>
  </sheetData>
  <mergeCells count="11">
    <mergeCell ref="A25:E25"/>
    <mergeCell ref="A15:E15"/>
    <mergeCell ref="A17:E17"/>
    <mergeCell ref="A21:E21"/>
    <mergeCell ref="A19:E19"/>
    <mergeCell ref="A23:E23"/>
    <mergeCell ref="A13:E13"/>
    <mergeCell ref="A3:F3"/>
    <mergeCell ref="A2:F2"/>
    <mergeCell ref="B7:F7"/>
    <mergeCell ref="A11:E11"/>
  </mergeCells>
  <phoneticPr fontId="28" type="noConversion"/>
  <printOptions horizontalCentered="1"/>
  <pageMargins left="0.7" right="0.7" top="0.75" bottom="0.75" header="0.3" footer="0.3"/>
  <pageSetup paperSize="9" scale="94"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5" manualBreakCount="5">
    <brk id="26" max="5" man="1"/>
    <brk id="40" max="5" man="1"/>
    <brk id="55" max="5" man="1"/>
    <brk id="72" max="5" man="1"/>
    <brk id="80"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79998168889431442"/>
  </sheetPr>
  <dimension ref="A1:H30"/>
  <sheetViews>
    <sheetView view="pageBreakPreview" zoomScaleNormal="100" zoomScaleSheetLayoutView="100" workbookViewId="0">
      <selection activeCell="E12" sqref="E12:E15"/>
    </sheetView>
  </sheetViews>
  <sheetFormatPr defaultColWidth="9.28515625" defaultRowHeight="12"/>
  <cols>
    <col min="1" max="1" width="5.7109375" style="198" customWidth="1"/>
    <col min="2" max="2" width="42.7109375" style="198" customWidth="1"/>
    <col min="3" max="3" width="8.140625" style="245" customWidth="1"/>
    <col min="4" max="4" width="8.140625" style="233" customWidth="1"/>
    <col min="5" max="6" width="10.140625" style="199" customWidth="1"/>
    <col min="7" max="7" width="10.5703125" style="199" customWidth="1"/>
    <col min="8" max="8" width="9.42578125" style="213" customWidth="1"/>
    <col min="9" max="9" width="9.42578125" style="198" customWidth="1"/>
    <col min="10" max="16384" width="9.28515625" style="198"/>
  </cols>
  <sheetData>
    <row r="1" spans="1:8" s="1" customFormat="1" ht="15">
      <c r="A1" s="137"/>
      <c r="B1" s="137"/>
      <c r="C1" s="209"/>
      <c r="D1" s="206"/>
      <c r="E1" s="207"/>
      <c r="F1" s="207"/>
      <c r="G1" s="384"/>
      <c r="H1" s="218"/>
    </row>
    <row r="2" spans="1:8">
      <c r="A2" s="638" t="s">
        <v>108</v>
      </c>
      <c r="B2" s="639"/>
      <c r="C2" s="639"/>
      <c r="D2" s="639"/>
      <c r="E2" s="639"/>
      <c r="F2" s="640"/>
      <c r="G2" s="267"/>
    </row>
    <row r="3" spans="1:8">
      <c r="A3" s="642" t="s">
        <v>446</v>
      </c>
      <c r="B3" s="642"/>
      <c r="C3" s="642"/>
      <c r="D3" s="642"/>
      <c r="E3" s="642"/>
      <c r="F3" s="642"/>
    </row>
    <row r="4" spans="1:8" s="1" customFormat="1" ht="14.25">
      <c r="A4" s="116" t="s">
        <v>110</v>
      </c>
      <c r="B4" s="116" t="s">
        <v>111</v>
      </c>
      <c r="C4" s="116" t="s">
        <v>112</v>
      </c>
      <c r="D4" s="268" t="s">
        <v>113</v>
      </c>
      <c r="E4" s="268" t="s">
        <v>114</v>
      </c>
      <c r="F4" s="268" t="s">
        <v>115</v>
      </c>
      <c r="G4" s="105"/>
      <c r="H4" s="218"/>
    </row>
    <row r="5" spans="1:8" s="1" customFormat="1" ht="14.25">
      <c r="A5" s="105"/>
      <c r="B5" s="105"/>
      <c r="C5" s="105"/>
      <c r="D5" s="269"/>
      <c r="E5" s="269"/>
      <c r="F5" s="269"/>
      <c r="G5" s="105"/>
      <c r="H5" s="218"/>
    </row>
    <row r="6" spans="1:8" s="1" customFormat="1" ht="14.25">
      <c r="A6" s="105"/>
      <c r="B6" s="105"/>
      <c r="C6" s="105"/>
      <c r="D6" s="269"/>
      <c r="E6" s="269"/>
      <c r="F6" s="269"/>
      <c r="G6" s="105"/>
      <c r="H6" s="218"/>
    </row>
    <row r="7" spans="1:8" s="1" customFormat="1" ht="15.75" thickBot="1">
      <c r="A7" s="106" t="s">
        <v>72</v>
      </c>
      <c r="B7" s="644" t="s">
        <v>447</v>
      </c>
      <c r="C7" s="644"/>
      <c r="D7" s="644"/>
      <c r="E7" s="644"/>
      <c r="F7" s="644"/>
      <c r="G7" s="270"/>
      <c r="H7" s="218"/>
    </row>
    <row r="8" spans="1:8">
      <c r="A8" s="119"/>
      <c r="B8" s="120"/>
      <c r="C8" s="121"/>
      <c r="D8" s="109"/>
      <c r="E8" s="107"/>
      <c r="F8" s="107"/>
      <c r="G8" s="107"/>
    </row>
    <row r="9" spans="1:8" ht="11.45" customHeight="1">
      <c r="A9" s="114"/>
      <c r="B9" s="201"/>
      <c r="C9" s="112"/>
      <c r="D9" s="109"/>
      <c r="E9" s="108"/>
      <c r="F9" s="197"/>
    </row>
    <row r="10" spans="1:8" ht="24">
      <c r="A10" s="114" t="s">
        <v>27</v>
      </c>
      <c r="B10" s="203" t="s">
        <v>448</v>
      </c>
      <c r="C10" s="198"/>
      <c r="G10" s="206"/>
      <c r="H10" s="198"/>
    </row>
    <row r="11" spans="1:8" ht="86.25" customHeight="1">
      <c r="A11" s="202"/>
      <c r="B11" s="114" t="s">
        <v>183</v>
      </c>
      <c r="C11" s="198"/>
      <c r="G11" s="198"/>
      <c r="H11" s="109"/>
    </row>
    <row r="12" spans="1:8" s="224" customFormat="1" ht="12" customHeight="1">
      <c r="A12" s="114"/>
      <c r="B12" s="201" t="s">
        <v>449</v>
      </c>
      <c r="C12" s="90" t="s">
        <v>148</v>
      </c>
      <c r="D12" s="90">
        <v>18</v>
      </c>
      <c r="E12" s="109"/>
      <c r="F12" s="206">
        <f t="shared" ref="F12:F15" si="0">D12*E12</f>
        <v>0</v>
      </c>
      <c r="G12" s="109"/>
      <c r="H12" s="108"/>
    </row>
    <row r="13" spans="1:8" s="224" customFormat="1" ht="12" customHeight="1">
      <c r="A13" s="114"/>
      <c r="B13" s="201" t="s">
        <v>414</v>
      </c>
      <c r="C13" s="90" t="s">
        <v>148</v>
      </c>
      <c r="D13" s="90">
        <v>8</v>
      </c>
      <c r="E13" s="109"/>
      <c r="F13" s="206">
        <f t="shared" ref="F13" si="1">D13*E13</f>
        <v>0</v>
      </c>
      <c r="G13" s="109"/>
      <c r="H13" s="108"/>
    </row>
    <row r="14" spans="1:8" s="224" customFormat="1" ht="12" customHeight="1">
      <c r="A14" s="114"/>
      <c r="B14" s="201" t="s">
        <v>599</v>
      </c>
      <c r="C14" s="90" t="s">
        <v>148</v>
      </c>
      <c r="D14" s="90">
        <v>15</v>
      </c>
      <c r="E14" s="108"/>
      <c r="F14" s="206">
        <f t="shared" si="0"/>
        <v>0</v>
      </c>
      <c r="G14" s="109"/>
      <c r="H14" s="108"/>
    </row>
    <row r="15" spans="1:8" s="224" customFormat="1" ht="12" customHeight="1">
      <c r="A15" s="114"/>
      <c r="B15" s="201" t="s">
        <v>600</v>
      </c>
      <c r="C15" s="90" t="s">
        <v>148</v>
      </c>
      <c r="D15" s="90">
        <v>16</v>
      </c>
      <c r="E15" s="108"/>
      <c r="F15" s="206">
        <f t="shared" si="0"/>
        <v>0</v>
      </c>
      <c r="G15" s="109"/>
      <c r="H15" s="108"/>
    </row>
    <row r="16" spans="1:8">
      <c r="A16" s="263"/>
      <c r="B16" s="264"/>
      <c r="C16" s="215"/>
      <c r="D16" s="228"/>
      <c r="E16" s="216"/>
      <c r="F16" s="344">
        <f>SUM(F12:F15)</f>
        <v>0</v>
      </c>
    </row>
    <row r="17" spans="1:6" ht="12.75" thickBot="1">
      <c r="A17" s="202"/>
      <c r="B17" s="111"/>
      <c r="C17" s="261"/>
      <c r="D17" s="109"/>
      <c r="E17" s="108"/>
      <c r="F17" s="197"/>
    </row>
    <row r="18" spans="1:6" ht="12.75" thickBot="1">
      <c r="A18" s="247" t="s">
        <v>72</v>
      </c>
      <c r="B18" s="248" t="s">
        <v>450</v>
      </c>
      <c r="C18" s="249"/>
      <c r="D18" s="271"/>
      <c r="E18" s="251" t="s">
        <v>28</v>
      </c>
      <c r="F18" s="164">
        <f>F16</f>
        <v>0</v>
      </c>
    </row>
    <row r="19" spans="1:6">
      <c r="A19" s="272"/>
      <c r="B19" s="272"/>
      <c r="C19" s="273"/>
      <c r="D19" s="206"/>
      <c r="E19" s="274"/>
      <c r="F19" s="274"/>
    </row>
    <row r="20" spans="1:6">
      <c r="B20" s="487"/>
    </row>
    <row r="21" spans="1:6">
      <c r="D21" s="489"/>
    </row>
    <row r="22" spans="1:6" hidden="1"/>
    <row r="26" spans="1:6">
      <c r="D26" s="489"/>
    </row>
    <row r="30" spans="1:6">
      <c r="D30" s="489"/>
    </row>
  </sheetData>
  <mergeCells count="3">
    <mergeCell ref="A2:F2"/>
    <mergeCell ref="A3:F3"/>
    <mergeCell ref="B7:F7"/>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sheetPr>
  <dimension ref="A1:H55"/>
  <sheetViews>
    <sheetView view="pageLayout" topLeftCell="A35" zoomScaleNormal="100" zoomScaleSheetLayoutView="100" workbookViewId="0">
      <selection activeCell="D41" sqref="D41"/>
    </sheetView>
  </sheetViews>
  <sheetFormatPr defaultColWidth="9.28515625" defaultRowHeight="14.25"/>
  <cols>
    <col min="1" max="1" width="5.7109375" style="130" customWidth="1"/>
    <col min="2" max="2" width="42.7109375" style="130" customWidth="1"/>
    <col min="3" max="3" width="8.140625" style="275" customWidth="1"/>
    <col min="4" max="4" width="8.140625" style="233" customWidth="1"/>
    <col min="5" max="6" width="10.140625" style="230" customWidth="1"/>
    <col min="7" max="9" width="9.28515625" style="130"/>
    <col min="10" max="10" width="45.42578125" style="130" customWidth="1"/>
    <col min="11" max="16384" width="9.28515625" style="130"/>
  </cols>
  <sheetData>
    <row r="1" spans="1:7" ht="15">
      <c r="A1" s="137"/>
      <c r="B1" s="137"/>
      <c r="C1" s="209"/>
      <c r="D1" s="206"/>
      <c r="E1" s="207"/>
      <c r="F1" s="207"/>
    </row>
    <row r="2" spans="1:7">
      <c r="A2" s="638" t="s">
        <v>108</v>
      </c>
      <c r="B2" s="639"/>
      <c r="C2" s="639"/>
      <c r="D2" s="639"/>
      <c r="E2" s="639"/>
      <c r="F2" s="640"/>
    </row>
    <row r="3" spans="1:7">
      <c r="A3" s="648" t="s">
        <v>451</v>
      </c>
      <c r="B3" s="648"/>
      <c r="C3" s="648"/>
      <c r="D3" s="648"/>
      <c r="E3" s="648"/>
      <c r="F3" s="648"/>
      <c r="G3" s="230"/>
    </row>
    <row r="4" spans="1:7">
      <c r="A4" s="116" t="s">
        <v>110</v>
      </c>
      <c r="B4" s="116" t="s">
        <v>111</v>
      </c>
      <c r="C4" s="116" t="s">
        <v>112</v>
      </c>
      <c r="D4" s="268" t="s">
        <v>113</v>
      </c>
      <c r="E4" s="268" t="s">
        <v>114</v>
      </c>
      <c r="F4" s="268" t="s">
        <v>115</v>
      </c>
    </row>
    <row r="5" spans="1:7">
      <c r="A5" s="105"/>
      <c r="B5" s="105"/>
      <c r="C5" s="105"/>
      <c r="D5" s="269"/>
      <c r="E5" s="269"/>
      <c r="F5" s="269"/>
    </row>
    <row r="6" spans="1:7">
      <c r="A6" s="105"/>
      <c r="B6" s="105"/>
      <c r="C6" s="105"/>
      <c r="D6" s="269"/>
      <c r="E6" s="269"/>
      <c r="F6" s="269"/>
    </row>
    <row r="7" spans="1:7" ht="15.75" thickBot="1">
      <c r="A7" s="106" t="s">
        <v>184</v>
      </c>
      <c r="B7" s="644" t="s">
        <v>185</v>
      </c>
      <c r="C7" s="644"/>
      <c r="D7" s="644"/>
      <c r="E7" s="644"/>
      <c r="F7" s="644"/>
    </row>
    <row r="8" spans="1:7">
      <c r="A8" s="119"/>
      <c r="B8" s="120"/>
      <c r="C8" s="121"/>
      <c r="D8" s="109"/>
      <c r="E8" s="107"/>
      <c r="F8" s="107"/>
    </row>
    <row r="9" spans="1:7">
      <c r="A9" s="310" t="s">
        <v>117</v>
      </c>
      <c r="B9" s="311"/>
      <c r="C9" s="312"/>
      <c r="D9" s="308"/>
      <c r="E9" s="208"/>
      <c r="F9" s="208"/>
    </row>
    <row r="10" spans="1:7">
      <c r="A10" s="310"/>
      <c r="B10" s="311"/>
      <c r="C10" s="312"/>
      <c r="D10" s="308"/>
      <c r="E10" s="208"/>
      <c r="F10" s="208"/>
    </row>
    <row r="11" spans="1:7" ht="29.25" customHeight="1">
      <c r="A11" s="645" t="s">
        <v>186</v>
      </c>
      <c r="B11" s="646"/>
      <c r="C11" s="646"/>
      <c r="D11" s="646"/>
      <c r="E11" s="646"/>
      <c r="F11" s="208"/>
    </row>
    <row r="12" spans="1:7">
      <c r="A12" s="287"/>
      <c r="B12" s="252"/>
      <c r="C12" s="252"/>
      <c r="D12" s="345"/>
      <c r="E12" s="345"/>
      <c r="F12" s="208"/>
    </row>
    <row r="13" spans="1:7" ht="135.75" customHeight="1">
      <c r="A13" s="645" t="s">
        <v>187</v>
      </c>
      <c r="B13" s="646"/>
      <c r="C13" s="646"/>
      <c r="D13" s="646"/>
      <c r="E13" s="646"/>
      <c r="F13" s="208"/>
    </row>
    <row r="14" spans="1:7">
      <c r="A14" s="287"/>
      <c r="B14" s="287"/>
      <c r="C14" s="287"/>
      <c r="D14" s="346"/>
      <c r="E14" s="346"/>
      <c r="F14" s="208"/>
    </row>
    <row r="15" spans="1:7" ht="85.5" customHeight="1">
      <c r="A15" s="645" t="s">
        <v>188</v>
      </c>
      <c r="B15" s="646"/>
      <c r="C15" s="646"/>
      <c r="D15" s="646"/>
      <c r="E15" s="646"/>
      <c r="F15" s="208"/>
    </row>
    <row r="16" spans="1:7">
      <c r="A16" s="287"/>
      <c r="B16" s="287"/>
      <c r="C16" s="287"/>
      <c r="D16" s="346"/>
      <c r="E16" s="346"/>
      <c r="F16" s="208"/>
    </row>
    <row r="17" spans="1:6" ht="96" customHeight="1">
      <c r="A17" s="645" t="s">
        <v>189</v>
      </c>
      <c r="B17" s="646"/>
      <c r="C17" s="646"/>
      <c r="D17" s="646"/>
      <c r="E17" s="646"/>
      <c r="F17" s="208"/>
    </row>
    <row r="18" spans="1:6">
      <c r="A18" s="287"/>
      <c r="B18" s="287"/>
      <c r="C18" s="287"/>
      <c r="D18" s="346"/>
      <c r="E18" s="346"/>
      <c r="F18" s="208"/>
    </row>
    <row r="19" spans="1:6" ht="42.75" customHeight="1">
      <c r="A19" s="645" t="s">
        <v>190</v>
      </c>
      <c r="B19" s="646"/>
      <c r="C19" s="646"/>
      <c r="D19" s="646"/>
      <c r="E19" s="646"/>
      <c r="F19" s="208"/>
    </row>
    <row r="20" spans="1:6">
      <c r="A20" s="287"/>
      <c r="B20" s="287"/>
      <c r="C20" s="287"/>
      <c r="D20" s="346"/>
      <c r="E20" s="346"/>
      <c r="F20" s="208"/>
    </row>
    <row r="21" spans="1:6" ht="52.5" customHeight="1">
      <c r="A21" s="645" t="s">
        <v>191</v>
      </c>
      <c r="B21" s="646"/>
      <c r="C21" s="646"/>
      <c r="D21" s="646"/>
      <c r="E21" s="646"/>
      <c r="F21" s="208"/>
    </row>
    <row r="22" spans="1:6">
      <c r="A22" s="287"/>
      <c r="B22" s="287"/>
      <c r="C22" s="287"/>
      <c r="D22" s="346"/>
      <c r="E22" s="346"/>
      <c r="F22" s="208"/>
    </row>
    <row r="23" spans="1:6" ht="39.75" customHeight="1">
      <c r="A23" s="645" t="s">
        <v>192</v>
      </c>
      <c r="B23" s="646"/>
      <c r="C23" s="646"/>
      <c r="D23" s="646"/>
      <c r="E23" s="646"/>
      <c r="F23" s="208"/>
    </row>
    <row r="24" spans="1:6">
      <c r="A24" s="287"/>
      <c r="B24" s="287"/>
      <c r="C24" s="287"/>
      <c r="D24" s="346"/>
      <c r="E24" s="346"/>
      <c r="F24" s="208"/>
    </row>
    <row r="25" spans="1:6" ht="74.25" customHeight="1">
      <c r="A25" s="645" t="s">
        <v>193</v>
      </c>
      <c r="B25" s="646"/>
      <c r="C25" s="646"/>
      <c r="D25" s="646"/>
      <c r="E25" s="646"/>
      <c r="F25" s="208"/>
    </row>
    <row r="26" spans="1:6">
      <c r="A26" s="287"/>
      <c r="B26" s="287"/>
      <c r="C26" s="287"/>
      <c r="D26" s="346"/>
      <c r="E26" s="346"/>
      <c r="F26" s="208"/>
    </row>
    <row r="27" spans="1:6" ht="255.75" customHeight="1">
      <c r="A27" s="645" t="s">
        <v>194</v>
      </c>
      <c r="B27" s="646"/>
      <c r="C27" s="646"/>
      <c r="D27" s="646"/>
      <c r="E27" s="646"/>
      <c r="F27" s="208"/>
    </row>
    <row r="28" spans="1:6">
      <c r="A28" s="287"/>
      <c r="B28" s="287"/>
      <c r="C28" s="287"/>
      <c r="D28" s="346"/>
      <c r="E28" s="346"/>
      <c r="F28" s="208"/>
    </row>
    <row r="29" spans="1:6" ht="63" customHeight="1">
      <c r="A29" s="647" t="s">
        <v>195</v>
      </c>
      <c r="B29" s="647"/>
      <c r="C29" s="647"/>
      <c r="D29" s="647"/>
      <c r="E29" s="647"/>
      <c r="F29" s="208"/>
    </row>
    <row r="30" spans="1:6">
      <c r="A30" s="287"/>
      <c r="B30" s="287"/>
      <c r="C30" s="287"/>
      <c r="D30" s="346"/>
      <c r="E30" s="346"/>
      <c r="F30" s="208"/>
    </row>
    <row r="31" spans="1:6" ht="42.75" customHeight="1">
      <c r="A31" s="645" t="s">
        <v>196</v>
      </c>
      <c r="B31" s="646"/>
      <c r="C31" s="646"/>
      <c r="D31" s="646"/>
      <c r="E31" s="646"/>
      <c r="F31" s="208"/>
    </row>
    <row r="32" spans="1:6">
      <c r="A32" s="110"/>
      <c r="B32" s="317"/>
      <c r="C32" s="317"/>
      <c r="D32" s="347"/>
      <c r="E32" s="347"/>
      <c r="F32" s="208"/>
    </row>
    <row r="33" spans="1:8" ht="60.75" customHeight="1">
      <c r="A33" s="645" t="s">
        <v>197</v>
      </c>
      <c r="B33" s="646"/>
      <c r="C33" s="646"/>
      <c r="D33" s="646"/>
      <c r="E33" s="646"/>
      <c r="F33" s="208"/>
    </row>
    <row r="34" spans="1:8">
      <c r="A34" s="287"/>
      <c r="B34" s="287"/>
      <c r="C34" s="287"/>
      <c r="D34" s="346"/>
      <c r="E34" s="346"/>
      <c r="F34" s="208"/>
    </row>
    <row r="35" spans="1:8" ht="37.9" customHeight="1">
      <c r="A35" s="645" t="s">
        <v>198</v>
      </c>
      <c r="B35" s="646"/>
      <c r="C35" s="646"/>
      <c r="D35" s="646"/>
      <c r="E35" s="646"/>
      <c r="F35" s="208"/>
    </row>
    <row r="36" spans="1:8" ht="9.75" customHeight="1">
      <c r="A36" s="287"/>
      <c r="B36" s="287"/>
      <c r="C36" s="287"/>
      <c r="D36" s="346"/>
      <c r="E36" s="346"/>
      <c r="F36" s="208"/>
    </row>
    <row r="37" spans="1:8" ht="37.5" customHeight="1">
      <c r="A37" s="645" t="s">
        <v>199</v>
      </c>
      <c r="B37" s="646"/>
      <c r="C37" s="646"/>
      <c r="D37" s="646"/>
      <c r="E37" s="646"/>
      <c r="F37" s="208"/>
    </row>
    <row r="38" spans="1:8" ht="30" customHeight="1">
      <c r="A38" s="645" t="s">
        <v>200</v>
      </c>
      <c r="B38" s="646"/>
      <c r="C38" s="646"/>
      <c r="D38" s="646"/>
      <c r="E38" s="646"/>
      <c r="F38" s="208"/>
    </row>
    <row r="39" spans="1:8">
      <c r="A39" s="361" t="s">
        <v>27</v>
      </c>
      <c r="B39" s="362" t="s">
        <v>201</v>
      </c>
      <c r="C39" s="210"/>
      <c r="D39" s="256"/>
      <c r="E39" s="255"/>
      <c r="F39" s="256"/>
    </row>
    <row r="40" spans="1:8" ht="84">
      <c r="A40" s="287"/>
      <c r="B40" s="286" t="s">
        <v>202</v>
      </c>
      <c r="C40" s="252"/>
      <c r="D40" s="211"/>
      <c r="E40" s="212"/>
      <c r="F40" s="257"/>
    </row>
    <row r="41" spans="1:8" ht="96">
      <c r="A41" s="287"/>
      <c r="B41" s="286" t="s">
        <v>203</v>
      </c>
      <c r="C41" s="252"/>
      <c r="D41" s="211"/>
      <c r="E41" s="212"/>
      <c r="F41" s="257"/>
    </row>
    <row r="42" spans="1:8" ht="72">
      <c r="A42" s="286"/>
      <c r="B42" s="286" t="s">
        <v>204</v>
      </c>
      <c r="C42" s="210"/>
      <c r="D42" s="211"/>
      <c r="E42" s="212"/>
      <c r="F42" s="211"/>
    </row>
    <row r="43" spans="1:8" s="224" customFormat="1" ht="12">
      <c r="A43" s="114"/>
      <c r="B43" s="196" t="s">
        <v>415</v>
      </c>
      <c r="C43" s="383" t="s">
        <v>148</v>
      </c>
      <c r="D43" s="90">
        <v>66</v>
      </c>
      <c r="E43" s="109"/>
      <c r="F43" s="206">
        <f t="shared" ref="F43:F45" si="0">D43*E43</f>
        <v>0</v>
      </c>
      <c r="G43" s="109"/>
      <c r="H43" s="223"/>
    </row>
    <row r="44" spans="1:8" s="198" customFormat="1" ht="12">
      <c r="B44" s="196" t="s">
        <v>410</v>
      </c>
      <c r="C44" s="383" t="s">
        <v>148</v>
      </c>
      <c r="D44" s="90">
        <v>3</v>
      </c>
      <c r="E44" s="109"/>
      <c r="F44" s="206">
        <f t="shared" si="0"/>
        <v>0</v>
      </c>
    </row>
    <row r="45" spans="1:8" s="198" customFormat="1" ht="12">
      <c r="B45" s="196" t="s">
        <v>598</v>
      </c>
      <c r="C45" s="588" t="s">
        <v>148</v>
      </c>
      <c r="D45" s="497">
        <v>6</v>
      </c>
      <c r="E45" s="402"/>
      <c r="F45" s="456">
        <f t="shared" si="0"/>
        <v>0</v>
      </c>
    </row>
    <row r="46" spans="1:8">
      <c r="A46" s="198"/>
      <c r="B46" s="201"/>
      <c r="C46" s="222"/>
      <c r="D46" s="109"/>
      <c r="E46" s="109"/>
      <c r="F46" s="81">
        <f>SUM(F43:F45)</f>
        <v>0</v>
      </c>
    </row>
    <row r="47" spans="1:8">
      <c r="A47" s="198"/>
      <c r="B47" s="201"/>
      <c r="C47" s="222"/>
      <c r="D47" s="109"/>
      <c r="E47" s="109"/>
      <c r="F47" s="81"/>
    </row>
    <row r="48" spans="1:8" ht="24">
      <c r="A48" s="253" t="s">
        <v>29</v>
      </c>
      <c r="B48" s="505" t="s">
        <v>452</v>
      </c>
      <c r="C48" s="506"/>
      <c r="D48" s="507"/>
      <c r="E48" s="508"/>
      <c r="F48" s="509"/>
    </row>
    <row r="49" spans="1:6" ht="108">
      <c r="A49" s="506"/>
      <c r="B49" s="286" t="s">
        <v>454</v>
      </c>
      <c r="C49" s="506"/>
      <c r="D49" s="507"/>
      <c r="E49" s="508"/>
      <c r="F49" s="509"/>
    </row>
    <row r="50" spans="1:6">
      <c r="A50" s="506"/>
      <c r="B50" s="510" t="s">
        <v>453</v>
      </c>
      <c r="C50" s="376" t="s">
        <v>455</v>
      </c>
      <c r="D50" s="90">
        <v>60</v>
      </c>
      <c r="E50" s="108"/>
      <c r="F50" s="197">
        <f>D50*E50</f>
        <v>0</v>
      </c>
    </row>
    <row r="51" spans="1:6">
      <c r="A51" s="198"/>
      <c r="B51" s="201"/>
      <c r="C51" s="222"/>
      <c r="D51" s="496"/>
      <c r="E51" s="109"/>
      <c r="F51" s="81"/>
    </row>
    <row r="52" spans="1:6">
      <c r="A52" s="361" t="s">
        <v>138</v>
      </c>
      <c r="B52" s="141" t="s">
        <v>206</v>
      </c>
      <c r="C52" s="222"/>
      <c r="D52" s="496"/>
      <c r="E52" s="109"/>
      <c r="F52" s="81"/>
    </row>
    <row r="53" spans="1:6" ht="38.25">
      <c r="A53" s="253"/>
      <c r="B53" s="287" t="s">
        <v>456</v>
      </c>
      <c r="C53" s="376" t="s">
        <v>455</v>
      </c>
      <c r="D53" s="256">
        <v>60</v>
      </c>
      <c r="E53" s="255"/>
      <c r="F53" s="258">
        <f>D53*E53</f>
        <v>0</v>
      </c>
    </row>
    <row r="54" spans="1:6" ht="15" thickBot="1">
      <c r="A54" s="253"/>
      <c r="B54" s="259"/>
      <c r="C54" s="210"/>
      <c r="D54" s="256"/>
      <c r="E54" s="255"/>
      <c r="F54" s="258"/>
    </row>
    <row r="55" spans="1:6" ht="15" thickBot="1">
      <c r="A55" s="479" t="s">
        <v>207</v>
      </c>
      <c r="B55" s="480" t="s">
        <v>208</v>
      </c>
      <c r="C55" s="481"/>
      <c r="D55" s="482"/>
      <c r="E55" s="483" t="s">
        <v>28</v>
      </c>
      <c r="F55" s="484">
        <f>F46+F50+F53</f>
        <v>0</v>
      </c>
    </row>
  </sheetData>
  <mergeCells count="18">
    <mergeCell ref="A17:E17"/>
    <mergeCell ref="A19:E19"/>
    <mergeCell ref="A21:E21"/>
    <mergeCell ref="A2:F2"/>
    <mergeCell ref="A3:F3"/>
    <mergeCell ref="B7:F7"/>
    <mergeCell ref="A11:E11"/>
    <mergeCell ref="A13:E13"/>
    <mergeCell ref="A15:E15"/>
    <mergeCell ref="A38:E38"/>
    <mergeCell ref="A33:E33"/>
    <mergeCell ref="A35:E35"/>
    <mergeCell ref="A23:E23"/>
    <mergeCell ref="A25:E25"/>
    <mergeCell ref="A27:E27"/>
    <mergeCell ref="A29:E29"/>
    <mergeCell ref="A31:E31"/>
    <mergeCell ref="A37:E37"/>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79998168889431442"/>
  </sheetPr>
  <dimension ref="A1:H18"/>
  <sheetViews>
    <sheetView view="pageLayout" zoomScale="130" zoomScaleNormal="100" zoomScaleSheetLayoutView="100" zoomScalePageLayoutView="130" workbookViewId="0">
      <selection activeCell="D28" sqref="D28"/>
    </sheetView>
  </sheetViews>
  <sheetFormatPr defaultColWidth="9.28515625" defaultRowHeight="14.25"/>
  <cols>
    <col min="1" max="1" width="5.7109375" style="130" customWidth="1"/>
    <col min="2" max="2" width="42.7109375" style="130" customWidth="1"/>
    <col min="3" max="3" width="8.140625" style="275" customWidth="1"/>
    <col min="4" max="4" width="8.140625" style="233" customWidth="1"/>
    <col min="5" max="6" width="10.140625" style="230" customWidth="1"/>
    <col min="7" max="9" width="9.28515625" style="130"/>
    <col min="10" max="10" width="45.42578125" style="130" customWidth="1"/>
    <col min="11" max="16384" width="9.28515625" style="130"/>
  </cols>
  <sheetData>
    <row r="1" spans="1:8" ht="15">
      <c r="A1" s="137"/>
      <c r="B1" s="137"/>
      <c r="C1" s="209"/>
      <c r="D1" s="206"/>
      <c r="E1" s="207"/>
      <c r="F1" s="207"/>
    </row>
    <row r="2" spans="1:8">
      <c r="A2" s="638" t="s">
        <v>108</v>
      </c>
      <c r="B2" s="639"/>
      <c r="C2" s="639"/>
      <c r="D2" s="639"/>
      <c r="E2" s="639"/>
      <c r="F2" s="640"/>
    </row>
    <row r="3" spans="1:8">
      <c r="A3" s="648" t="s">
        <v>458</v>
      </c>
      <c r="B3" s="648"/>
      <c r="C3" s="648"/>
      <c r="D3" s="648"/>
      <c r="E3" s="648"/>
      <c r="F3" s="648"/>
      <c r="G3" s="230"/>
    </row>
    <row r="4" spans="1:8">
      <c r="A4" s="116" t="s">
        <v>110</v>
      </c>
      <c r="B4" s="116" t="s">
        <v>111</v>
      </c>
      <c r="C4" s="116" t="s">
        <v>112</v>
      </c>
      <c r="D4" s="268" t="s">
        <v>113</v>
      </c>
      <c r="E4" s="268" t="s">
        <v>114</v>
      </c>
      <c r="F4" s="268" t="s">
        <v>115</v>
      </c>
    </row>
    <row r="5" spans="1:8">
      <c r="A5" s="105"/>
      <c r="B5" s="105"/>
      <c r="C5" s="105"/>
      <c r="D5" s="269"/>
      <c r="E5" s="269"/>
      <c r="F5" s="269"/>
    </row>
    <row r="6" spans="1:8" ht="15.75" thickBot="1">
      <c r="A6" s="106" t="s">
        <v>209</v>
      </c>
      <c r="B6" s="644" t="s">
        <v>457</v>
      </c>
      <c r="C6" s="644"/>
      <c r="D6" s="644"/>
      <c r="E6" s="644"/>
      <c r="F6" s="644"/>
    </row>
    <row r="7" spans="1:8">
      <c r="A7" s="119"/>
      <c r="B7" s="120"/>
      <c r="C7" s="121"/>
      <c r="D7" s="109"/>
      <c r="E7" s="107"/>
      <c r="F7" s="107"/>
    </row>
    <row r="8" spans="1:8">
      <c r="A8" s="253" t="s">
        <v>27</v>
      </c>
      <c r="B8" s="254" t="s">
        <v>201</v>
      </c>
      <c r="C8" s="210"/>
      <c r="D8" s="256"/>
      <c r="E8" s="255"/>
      <c r="F8" s="256"/>
    </row>
    <row r="9" spans="1:8" ht="84">
      <c r="A9" s="287"/>
      <c r="B9" s="286" t="s">
        <v>202</v>
      </c>
      <c r="C9" s="252"/>
      <c r="D9" s="211"/>
      <c r="E9" s="212"/>
      <c r="F9" s="257"/>
    </row>
    <row r="10" spans="1:8" ht="96">
      <c r="A10" s="287"/>
      <c r="B10" s="286" t="s">
        <v>203</v>
      </c>
      <c r="C10" s="252"/>
      <c r="D10" s="211"/>
      <c r="E10" s="212"/>
      <c r="F10" s="257"/>
    </row>
    <row r="11" spans="1:8" ht="72">
      <c r="A11" s="286"/>
      <c r="B11" s="286" t="s">
        <v>204</v>
      </c>
      <c r="C11" s="210"/>
      <c r="D11" s="211"/>
      <c r="E11" s="212"/>
      <c r="F11" s="211"/>
    </row>
    <row r="12" spans="1:8" s="224" customFormat="1" ht="12">
      <c r="A12" s="114"/>
      <c r="B12" s="201" t="s">
        <v>449</v>
      </c>
      <c r="C12" s="90" t="s">
        <v>148</v>
      </c>
      <c r="D12" s="90">
        <v>18</v>
      </c>
      <c r="E12" s="109"/>
      <c r="F12" s="206">
        <f t="shared" ref="F12:F15" si="0">D12*E12</f>
        <v>0</v>
      </c>
      <c r="G12" s="109"/>
      <c r="H12" s="108"/>
    </row>
    <row r="13" spans="1:8" s="224" customFormat="1" ht="12">
      <c r="A13" s="114"/>
      <c r="B13" s="201" t="s">
        <v>414</v>
      </c>
      <c r="C13" s="90" t="s">
        <v>148</v>
      </c>
      <c r="D13" s="90">
        <v>8</v>
      </c>
      <c r="E13" s="109"/>
      <c r="F13" s="206">
        <f t="shared" ref="F13" si="1">D13*E13</f>
        <v>0</v>
      </c>
      <c r="G13" s="109"/>
      <c r="H13" s="108"/>
    </row>
    <row r="14" spans="1:8" s="224" customFormat="1" ht="24">
      <c r="A14" s="114"/>
      <c r="B14" s="201" t="s">
        <v>599</v>
      </c>
      <c r="C14" s="90" t="s">
        <v>148</v>
      </c>
      <c r="D14" s="90">
        <v>15</v>
      </c>
      <c r="E14" s="108"/>
      <c r="F14" s="206">
        <f t="shared" si="0"/>
        <v>0</v>
      </c>
      <c r="G14" s="109"/>
      <c r="H14" s="108"/>
    </row>
    <row r="15" spans="1:8" s="224" customFormat="1" ht="24">
      <c r="A15" s="114"/>
      <c r="B15" s="201" t="s">
        <v>600</v>
      </c>
      <c r="C15" s="497" t="s">
        <v>148</v>
      </c>
      <c r="D15" s="497">
        <v>16</v>
      </c>
      <c r="E15" s="403"/>
      <c r="F15" s="456">
        <f t="shared" si="0"/>
        <v>0</v>
      </c>
      <c r="G15" s="109"/>
      <c r="H15" s="108"/>
    </row>
    <row r="16" spans="1:8" s="224" customFormat="1" ht="12">
      <c r="A16" s="114"/>
      <c r="B16" s="201"/>
      <c r="C16" s="222"/>
      <c r="D16" s="109"/>
      <c r="E16" s="109"/>
      <c r="F16" s="320">
        <f>SUM(F12:F15)</f>
        <v>0</v>
      </c>
      <c r="G16" s="109"/>
      <c r="H16" s="108"/>
    </row>
    <row r="17" spans="1:6" ht="12.6" customHeight="1" thickBot="1">
      <c r="A17" s="253"/>
      <c r="B17" s="198"/>
      <c r="C17" s="198"/>
      <c r="E17" s="199"/>
      <c r="F17" s="199"/>
    </row>
    <row r="18" spans="1:6" ht="15" thickBot="1">
      <c r="A18" s="479" t="s">
        <v>74</v>
      </c>
      <c r="B18" s="480" t="s">
        <v>459</v>
      </c>
      <c r="C18" s="481"/>
      <c r="D18" s="482"/>
      <c r="E18" s="483" t="s">
        <v>28</v>
      </c>
      <c r="F18" s="484">
        <f>F16</f>
        <v>0</v>
      </c>
    </row>
  </sheetData>
  <mergeCells count="3">
    <mergeCell ref="A2:F2"/>
    <mergeCell ref="A3:F3"/>
    <mergeCell ref="B6:F6"/>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7" tint="0.79998168889431442"/>
  </sheetPr>
  <dimension ref="A1:H94"/>
  <sheetViews>
    <sheetView view="pageLayout" topLeftCell="A79" zoomScale="115" zoomScaleNormal="100" zoomScaleSheetLayoutView="100" zoomScalePageLayoutView="115" workbookViewId="0">
      <selection activeCell="C89" sqref="C89"/>
    </sheetView>
  </sheetViews>
  <sheetFormatPr defaultColWidth="9.28515625" defaultRowHeight="14.25"/>
  <cols>
    <col min="1" max="1" width="5.7109375" style="130" customWidth="1"/>
    <col min="2" max="2" width="42.7109375" style="130" customWidth="1"/>
    <col min="3" max="3" width="8.140625" style="275" customWidth="1"/>
    <col min="4" max="4" width="8.140625" style="206" customWidth="1"/>
    <col min="5" max="6" width="10.140625" style="206" customWidth="1"/>
    <col min="7" max="9" width="9.28515625" style="130"/>
    <col min="10" max="10" width="45.42578125" style="130" customWidth="1"/>
    <col min="11" max="16384" width="9.28515625" style="130"/>
  </cols>
  <sheetData>
    <row r="1" spans="1:7" ht="15">
      <c r="A1" s="137"/>
      <c r="B1" s="137"/>
      <c r="C1" s="209"/>
    </row>
    <row r="2" spans="1:7">
      <c r="A2" s="638" t="s">
        <v>108</v>
      </c>
      <c r="B2" s="639"/>
      <c r="C2" s="639"/>
      <c r="D2" s="639"/>
      <c r="E2" s="639"/>
      <c r="F2" s="640"/>
    </row>
    <row r="3" spans="1:7">
      <c r="A3" s="642" t="s">
        <v>210</v>
      </c>
      <c r="B3" s="642"/>
      <c r="C3" s="642"/>
      <c r="D3" s="642"/>
      <c r="E3" s="642"/>
      <c r="F3" s="642"/>
      <c r="G3" s="230"/>
    </row>
    <row r="4" spans="1:7">
      <c r="A4" s="116" t="s">
        <v>110</v>
      </c>
      <c r="B4" s="116" t="s">
        <v>111</v>
      </c>
      <c r="C4" s="116" t="s">
        <v>112</v>
      </c>
      <c r="D4" s="268" t="s">
        <v>113</v>
      </c>
      <c r="E4" s="268" t="s">
        <v>114</v>
      </c>
      <c r="F4" s="268" t="s">
        <v>115</v>
      </c>
    </row>
    <row r="5" spans="1:7">
      <c r="A5" s="105"/>
      <c r="B5" s="105"/>
      <c r="C5" s="105"/>
      <c r="D5" s="269"/>
      <c r="E5" s="269"/>
      <c r="F5" s="269"/>
    </row>
    <row r="6" spans="1:7" ht="15.75" thickBot="1">
      <c r="A6" s="106" t="s">
        <v>53</v>
      </c>
      <c r="B6" s="644" t="s">
        <v>211</v>
      </c>
      <c r="C6" s="644"/>
      <c r="D6" s="644"/>
      <c r="E6" s="644"/>
      <c r="F6" s="644"/>
    </row>
    <row r="7" spans="1:7">
      <c r="A7" s="119"/>
      <c r="B7" s="120"/>
      <c r="C7" s="121"/>
      <c r="D7" s="109"/>
      <c r="E7" s="107"/>
      <c r="F7" s="107"/>
    </row>
    <row r="8" spans="1:7">
      <c r="A8" s="310" t="s">
        <v>117</v>
      </c>
      <c r="B8" s="311"/>
      <c r="C8" s="312"/>
      <c r="D8" s="308"/>
      <c r="E8" s="208"/>
      <c r="F8" s="208"/>
    </row>
    <row r="9" spans="1:7">
      <c r="A9" s="310"/>
      <c r="B9" s="311"/>
      <c r="C9" s="312"/>
      <c r="D9" s="308"/>
      <c r="E9" s="208"/>
      <c r="F9" s="208"/>
    </row>
    <row r="10" spans="1:7" ht="156.75" customHeight="1">
      <c r="A10" s="636" t="s">
        <v>212</v>
      </c>
      <c r="B10" s="637"/>
      <c r="C10" s="637"/>
      <c r="D10" s="637"/>
      <c r="E10" s="637"/>
      <c r="F10" s="208"/>
    </row>
    <row r="11" spans="1:7">
      <c r="A11" s="111"/>
      <c r="B11" s="288"/>
      <c r="C11" s="288"/>
      <c r="D11" s="314"/>
      <c r="E11" s="314"/>
      <c r="F11" s="208"/>
    </row>
    <row r="12" spans="1:7" ht="39.75" customHeight="1">
      <c r="A12" s="636" t="s">
        <v>213</v>
      </c>
      <c r="B12" s="637"/>
      <c r="C12" s="637"/>
      <c r="D12" s="637"/>
      <c r="E12" s="637"/>
      <c r="F12" s="208"/>
    </row>
    <row r="13" spans="1:7">
      <c r="A13" s="111"/>
      <c r="B13" s="111"/>
      <c r="C13" s="111"/>
      <c r="D13" s="315"/>
      <c r="E13" s="315"/>
      <c r="F13" s="208"/>
    </row>
    <row r="14" spans="1:7" ht="37.5" customHeight="1">
      <c r="A14" s="636" t="s">
        <v>214</v>
      </c>
      <c r="B14" s="637"/>
      <c r="C14" s="637"/>
      <c r="D14" s="637"/>
      <c r="E14" s="637"/>
      <c r="F14" s="208"/>
    </row>
    <row r="15" spans="1:7">
      <c r="A15" s="310"/>
      <c r="B15" s="203"/>
      <c r="C15" s="203"/>
      <c r="D15" s="308"/>
      <c r="E15" s="208"/>
      <c r="F15" s="208"/>
    </row>
    <row r="16" spans="1:7" ht="29.25" customHeight="1">
      <c r="A16" s="636" t="s">
        <v>215</v>
      </c>
      <c r="B16" s="637"/>
      <c r="C16" s="637"/>
      <c r="D16" s="637"/>
      <c r="E16" s="637"/>
      <c r="F16" s="208"/>
    </row>
    <row r="17" spans="1:6" ht="15">
      <c r="A17" s="110"/>
      <c r="B17" s="318"/>
      <c r="C17" s="318"/>
      <c r="D17" s="347"/>
      <c r="E17" s="347"/>
      <c r="F17" s="208"/>
    </row>
    <row r="18" spans="1:6" ht="37.5" customHeight="1">
      <c r="A18" s="636" t="s">
        <v>216</v>
      </c>
      <c r="B18" s="637"/>
      <c r="C18" s="637"/>
      <c r="D18" s="637"/>
      <c r="E18" s="637"/>
      <c r="F18" s="208"/>
    </row>
    <row r="19" spans="1:6" ht="15">
      <c r="A19" s="110"/>
      <c r="B19" s="318"/>
      <c r="C19" s="318"/>
      <c r="D19" s="347"/>
      <c r="E19" s="347"/>
      <c r="F19" s="208"/>
    </row>
    <row r="20" spans="1:6" ht="48.75" customHeight="1">
      <c r="A20" s="636" t="s">
        <v>217</v>
      </c>
      <c r="B20" s="637"/>
      <c r="C20" s="637"/>
      <c r="D20" s="637"/>
      <c r="E20" s="637"/>
      <c r="F20" s="208"/>
    </row>
    <row r="21" spans="1:6" ht="15">
      <c r="A21" s="110"/>
      <c r="B21" s="318"/>
      <c r="C21" s="318"/>
      <c r="D21" s="347"/>
      <c r="E21" s="347"/>
      <c r="F21" s="208"/>
    </row>
    <row r="22" spans="1:6" ht="85.5" customHeight="1">
      <c r="A22" s="636" t="s">
        <v>218</v>
      </c>
      <c r="B22" s="637"/>
      <c r="C22" s="637"/>
      <c r="D22" s="637"/>
      <c r="E22" s="637"/>
      <c r="F22" s="208"/>
    </row>
    <row r="23" spans="1:6" ht="15">
      <c r="A23" s="110"/>
      <c r="B23" s="318"/>
      <c r="C23" s="318"/>
      <c r="D23" s="347"/>
      <c r="E23" s="347"/>
      <c r="F23" s="208"/>
    </row>
    <row r="24" spans="1:6" ht="63.75" customHeight="1">
      <c r="A24" s="636" t="s">
        <v>219</v>
      </c>
      <c r="B24" s="637"/>
      <c r="C24" s="637"/>
      <c r="D24" s="637"/>
      <c r="E24" s="637"/>
      <c r="F24" s="208"/>
    </row>
    <row r="25" spans="1:6" ht="15">
      <c r="A25" s="110"/>
      <c r="B25" s="318"/>
      <c r="C25" s="318"/>
      <c r="D25" s="347"/>
      <c r="E25" s="347"/>
      <c r="F25" s="208"/>
    </row>
    <row r="26" spans="1:6" ht="78" customHeight="1">
      <c r="A26" s="636" t="s">
        <v>220</v>
      </c>
      <c r="B26" s="637"/>
      <c r="C26" s="637"/>
      <c r="D26" s="637"/>
      <c r="E26" s="637"/>
      <c r="F26" s="208"/>
    </row>
    <row r="27" spans="1:6" ht="15">
      <c r="A27" s="110"/>
      <c r="B27" s="318"/>
      <c r="C27" s="318"/>
      <c r="D27" s="347"/>
      <c r="E27" s="347"/>
      <c r="F27" s="208"/>
    </row>
    <row r="28" spans="1:6" ht="43.5" customHeight="1">
      <c r="A28" s="636" t="s">
        <v>221</v>
      </c>
      <c r="B28" s="637"/>
      <c r="C28" s="637"/>
      <c r="D28" s="637"/>
      <c r="E28" s="637"/>
      <c r="F28" s="208"/>
    </row>
    <row r="29" spans="1:6" ht="15">
      <c r="A29" s="110"/>
      <c r="B29" s="318"/>
      <c r="C29" s="318"/>
      <c r="D29" s="347"/>
      <c r="E29" s="347"/>
      <c r="F29" s="208"/>
    </row>
    <row r="30" spans="1:6" ht="41.25" customHeight="1">
      <c r="A30" s="636" t="s">
        <v>222</v>
      </c>
      <c r="B30" s="637"/>
      <c r="C30" s="637"/>
      <c r="D30" s="637"/>
      <c r="E30" s="637"/>
      <c r="F30" s="208"/>
    </row>
    <row r="31" spans="1:6" ht="15">
      <c r="A31" s="110"/>
      <c r="B31" s="318"/>
      <c r="C31" s="318"/>
      <c r="D31" s="347"/>
      <c r="E31" s="347"/>
      <c r="F31" s="208"/>
    </row>
    <row r="32" spans="1:6" ht="134.44999999999999" customHeight="1">
      <c r="A32" s="649" t="s">
        <v>223</v>
      </c>
      <c r="B32" s="650"/>
      <c r="C32" s="650"/>
      <c r="D32" s="650"/>
      <c r="E32" s="650"/>
      <c r="F32" s="208"/>
    </row>
    <row r="33" spans="1:6" ht="15">
      <c r="A33" s="110"/>
      <c r="B33" s="318"/>
      <c r="C33" s="318"/>
      <c r="D33" s="347"/>
      <c r="E33" s="347"/>
      <c r="F33" s="208"/>
    </row>
    <row r="34" spans="1:6" ht="34.9" customHeight="1">
      <c r="A34" s="636" t="s">
        <v>224</v>
      </c>
      <c r="B34" s="637"/>
      <c r="C34" s="637"/>
      <c r="D34" s="637"/>
      <c r="E34" s="637"/>
      <c r="F34" s="208"/>
    </row>
    <row r="35" spans="1:6" ht="15">
      <c r="A35" s="110"/>
      <c r="B35" s="318"/>
      <c r="C35" s="318"/>
      <c r="D35" s="347"/>
      <c r="E35" s="347"/>
      <c r="F35" s="208"/>
    </row>
    <row r="36" spans="1:6" ht="232.5" customHeight="1">
      <c r="A36" s="649" t="s">
        <v>225</v>
      </c>
      <c r="B36" s="650"/>
      <c r="C36" s="650"/>
      <c r="D36" s="650"/>
      <c r="E36" s="650"/>
      <c r="F36" s="208"/>
    </row>
    <row r="37" spans="1:6" ht="15">
      <c r="A37" s="110"/>
      <c r="B37" s="318"/>
      <c r="C37" s="318"/>
      <c r="D37" s="347"/>
      <c r="E37" s="347"/>
      <c r="F37" s="208"/>
    </row>
    <row r="38" spans="1:6" ht="51" customHeight="1">
      <c r="A38" s="636" t="s">
        <v>226</v>
      </c>
      <c r="B38" s="637"/>
      <c r="C38" s="637"/>
      <c r="D38" s="637"/>
      <c r="E38" s="637"/>
      <c r="F38" s="208"/>
    </row>
    <row r="39" spans="1:6" ht="15" customHeight="1">
      <c r="A39" s="110"/>
      <c r="B39" s="318"/>
      <c r="C39" s="318"/>
      <c r="D39" s="347"/>
      <c r="E39" s="347"/>
      <c r="F39" s="208"/>
    </row>
    <row r="40" spans="1:6" ht="51.75" customHeight="1">
      <c r="A40" s="636" t="s">
        <v>227</v>
      </c>
      <c r="B40" s="637"/>
      <c r="C40" s="637"/>
      <c r="D40" s="637"/>
      <c r="E40" s="637"/>
      <c r="F40" s="208"/>
    </row>
    <row r="41" spans="1:6" ht="15">
      <c r="A41" s="110"/>
      <c r="B41" s="318"/>
      <c r="C41" s="318"/>
      <c r="D41" s="347"/>
      <c r="E41" s="347"/>
      <c r="F41" s="208"/>
    </row>
    <row r="42" spans="1:6" ht="55.5" customHeight="1">
      <c r="A42" s="636" t="s">
        <v>228</v>
      </c>
      <c r="B42" s="637"/>
      <c r="C42" s="637"/>
      <c r="D42" s="637"/>
      <c r="E42" s="637"/>
      <c r="F42" s="208"/>
    </row>
    <row r="43" spans="1:6" ht="15">
      <c r="A43" s="110"/>
      <c r="B43" s="319"/>
      <c r="C43" s="319"/>
      <c r="D43" s="347"/>
      <c r="E43" s="347"/>
      <c r="F43" s="208"/>
    </row>
    <row r="44" spans="1:6" ht="44.25" customHeight="1">
      <c r="A44" s="636" t="s">
        <v>229</v>
      </c>
      <c r="B44" s="637"/>
      <c r="C44" s="637"/>
      <c r="D44" s="651"/>
      <c r="E44" s="637"/>
      <c r="F44" s="208"/>
    </row>
    <row r="45" spans="1:6" ht="15">
      <c r="A45" s="110"/>
      <c r="B45" s="319"/>
      <c r="C45" s="319"/>
      <c r="D45" s="347"/>
      <c r="E45" s="347"/>
      <c r="F45" s="208"/>
    </row>
    <row r="46" spans="1:6" ht="45.75" customHeight="1">
      <c r="A46" s="636" t="s">
        <v>230</v>
      </c>
      <c r="B46" s="637"/>
      <c r="C46" s="637"/>
      <c r="D46" s="637"/>
      <c r="E46" s="637"/>
      <c r="F46" s="208"/>
    </row>
    <row r="47" spans="1:6" ht="15">
      <c r="A47" s="110"/>
      <c r="B47" s="319"/>
      <c r="C47" s="319"/>
      <c r="D47" s="347"/>
      <c r="E47" s="347"/>
      <c r="F47" s="208"/>
    </row>
    <row r="48" spans="1:6" ht="50.25" customHeight="1">
      <c r="A48" s="636" t="s">
        <v>231</v>
      </c>
      <c r="B48" s="637"/>
      <c r="C48" s="637"/>
      <c r="D48" s="651"/>
      <c r="E48" s="637"/>
      <c r="F48" s="208"/>
    </row>
    <row r="49" spans="1:8" ht="15">
      <c r="A49" s="110"/>
      <c r="B49" s="318"/>
      <c r="C49" s="318"/>
      <c r="D49" s="347"/>
      <c r="E49" s="347"/>
      <c r="F49" s="208"/>
    </row>
    <row r="50" spans="1:8" ht="88.5" customHeight="1">
      <c r="A50" s="636" t="s">
        <v>232</v>
      </c>
      <c r="B50" s="637"/>
      <c r="C50" s="637"/>
      <c r="D50" s="637"/>
      <c r="E50" s="637"/>
      <c r="F50" s="208"/>
    </row>
    <row r="51" spans="1:8" s="1" customFormat="1" ht="24">
      <c r="A51" s="369" t="s">
        <v>27</v>
      </c>
      <c r="B51" s="243" t="s">
        <v>460</v>
      </c>
      <c r="C51" s="511"/>
      <c r="D51" s="512"/>
      <c r="E51" s="511"/>
      <c r="F51" s="513"/>
    </row>
    <row r="52" spans="1:8" ht="34.5" customHeight="1">
      <c r="A52" s="105"/>
      <c r="B52" s="111" t="s">
        <v>461</v>
      </c>
      <c r="C52" s="93"/>
      <c r="D52" s="514"/>
      <c r="E52" s="93"/>
      <c r="F52" s="515"/>
    </row>
    <row r="53" spans="1:8" ht="132">
      <c r="A53" s="516"/>
      <c r="B53" s="111" t="s">
        <v>462</v>
      </c>
      <c r="C53" s="438"/>
      <c r="D53" s="517"/>
      <c r="E53" s="445"/>
      <c r="F53" s="518"/>
    </row>
    <row r="54" spans="1:8" ht="36">
      <c r="A54" s="516"/>
      <c r="B54" s="111" t="s">
        <v>463</v>
      </c>
      <c r="C54" s="438"/>
      <c r="D54" s="517"/>
      <c r="E54" s="445"/>
      <c r="F54" s="518"/>
    </row>
    <row r="55" spans="1:8" ht="72">
      <c r="A55" s="105"/>
      <c r="B55" s="82" t="s">
        <v>497</v>
      </c>
      <c r="C55" s="112"/>
      <c r="D55" s="90"/>
      <c r="E55" s="108"/>
      <c r="F55" s="100"/>
    </row>
    <row r="56" spans="1:8">
      <c r="A56" s="516"/>
      <c r="B56" s="261" t="s">
        <v>464</v>
      </c>
      <c r="C56" s="112" t="s">
        <v>133</v>
      </c>
      <c r="D56" s="109">
        <v>572</v>
      </c>
      <c r="E56" s="108"/>
      <c r="F56" s="139">
        <f>D56*E56</f>
        <v>0</v>
      </c>
    </row>
    <row r="57" spans="1:8">
      <c r="A57" s="516"/>
      <c r="B57" s="291"/>
      <c r="C57" s="1"/>
      <c r="D57" s="90"/>
      <c r="E57" s="108"/>
      <c r="F57" s="519"/>
    </row>
    <row r="58" spans="1:8" ht="24">
      <c r="A58" s="200" t="s">
        <v>29</v>
      </c>
      <c r="B58" s="203" t="s">
        <v>465</v>
      </c>
      <c r="C58" s="203"/>
      <c r="D58" s="439"/>
      <c r="E58" s="365"/>
      <c r="F58" s="208"/>
    </row>
    <row r="59" spans="1:8" ht="36">
      <c r="A59" s="200"/>
      <c r="B59" s="111" t="s">
        <v>240</v>
      </c>
      <c r="C59" s="203"/>
      <c r="D59" s="439"/>
      <c r="E59" s="365"/>
      <c r="F59" s="208"/>
    </row>
    <row r="60" spans="1:8" ht="165" customHeight="1">
      <c r="A60" s="200"/>
      <c r="B60" s="111" t="s">
        <v>466</v>
      </c>
      <c r="C60" s="203"/>
      <c r="D60" s="439"/>
      <c r="E60" s="365"/>
      <c r="F60" s="208"/>
    </row>
    <row r="61" spans="1:8" ht="36">
      <c r="A61" s="200"/>
      <c r="B61" s="111" t="s">
        <v>233</v>
      </c>
      <c r="C61" s="203"/>
      <c r="D61" s="439"/>
      <c r="E61" s="365"/>
      <c r="F61" s="208"/>
    </row>
    <row r="62" spans="1:8" ht="36">
      <c r="A62" s="440"/>
      <c r="B62" s="111" t="s">
        <v>467</v>
      </c>
      <c r="C62" s="441"/>
      <c r="D62" s="442"/>
      <c r="E62" s="443"/>
      <c r="F62" s="444"/>
      <c r="H62" s="290"/>
    </row>
    <row r="63" spans="1:8" ht="156">
      <c r="A63" s="122" t="s">
        <v>234</v>
      </c>
      <c r="B63" s="111" t="s">
        <v>494</v>
      </c>
      <c r="C63" s="203"/>
      <c r="D63" s="439"/>
      <c r="E63" s="365"/>
      <c r="F63" s="208"/>
    </row>
    <row r="64" spans="1:8" ht="324">
      <c r="A64" s="122" t="s">
        <v>235</v>
      </c>
      <c r="B64" s="111" t="s">
        <v>468</v>
      </c>
      <c r="C64" s="203"/>
      <c r="D64" s="439"/>
      <c r="E64" s="365"/>
      <c r="F64" s="208"/>
    </row>
    <row r="65" spans="1:8" ht="132">
      <c r="A65" s="122" t="s">
        <v>236</v>
      </c>
      <c r="B65" s="111" t="s">
        <v>469</v>
      </c>
      <c r="C65" s="203"/>
      <c r="D65" s="439"/>
      <c r="E65" s="365"/>
      <c r="F65" s="208"/>
    </row>
    <row r="66" spans="1:8" ht="84">
      <c r="A66" s="122" t="s">
        <v>237</v>
      </c>
      <c r="B66" s="111" t="s">
        <v>470</v>
      </c>
      <c r="C66" s="203"/>
      <c r="D66" s="439"/>
      <c r="E66" s="365"/>
      <c r="F66" s="208"/>
    </row>
    <row r="67" spans="1:8" ht="147">
      <c r="A67" s="122" t="s">
        <v>238</v>
      </c>
      <c r="B67" s="111" t="s">
        <v>495</v>
      </c>
      <c r="C67" s="203"/>
      <c r="D67" s="439"/>
      <c r="E67" s="365"/>
      <c r="F67" s="208"/>
    </row>
    <row r="68" spans="1:8" ht="72">
      <c r="A68" s="122" t="s">
        <v>300</v>
      </c>
      <c r="B68" s="111" t="s">
        <v>471</v>
      </c>
      <c r="C68" s="203"/>
      <c r="D68" s="439"/>
      <c r="E68" s="365"/>
      <c r="F68" s="208"/>
    </row>
    <row r="69" spans="1:8">
      <c r="A69" s="122"/>
      <c r="B69" s="111"/>
      <c r="C69" s="203"/>
      <c r="D69" s="439"/>
      <c r="E69" s="365"/>
      <c r="F69" s="208"/>
    </row>
    <row r="70" spans="1:8" ht="60">
      <c r="A70" s="202" t="s">
        <v>472</v>
      </c>
      <c r="B70" s="111" t="s">
        <v>473</v>
      </c>
      <c r="C70" s="289"/>
      <c r="D70" s="84"/>
      <c r="E70" s="108"/>
      <c r="F70" s="109"/>
    </row>
    <row r="71" spans="1:8">
      <c r="A71" s="202"/>
      <c r="B71" s="261" t="s">
        <v>474</v>
      </c>
      <c r="C71" s="289" t="s">
        <v>239</v>
      </c>
      <c r="D71" s="90">
        <v>680</v>
      </c>
      <c r="E71" s="108"/>
      <c r="F71" s="309">
        <f>D71*E71</f>
        <v>0</v>
      </c>
    </row>
    <row r="72" spans="1:8">
      <c r="A72" s="202"/>
      <c r="B72" s="261" t="s">
        <v>475</v>
      </c>
      <c r="C72" s="289" t="s">
        <v>239</v>
      </c>
      <c r="D72" s="90">
        <v>660</v>
      </c>
      <c r="E72" s="108"/>
      <c r="F72" s="309">
        <f>D72*E72</f>
        <v>0</v>
      </c>
    </row>
    <row r="73" spans="1:8">
      <c r="A73" s="202"/>
      <c r="B73" s="261" t="s">
        <v>476</v>
      </c>
      <c r="C73" s="289" t="s">
        <v>239</v>
      </c>
      <c r="D73" s="90">
        <v>690</v>
      </c>
      <c r="E73" s="108"/>
      <c r="F73" s="309">
        <f>D73*E73</f>
        <v>0</v>
      </c>
      <c r="G73" s="413"/>
      <c r="H73" s="413"/>
    </row>
    <row r="74" spans="1:8">
      <c r="A74" s="202"/>
      <c r="B74" s="111"/>
      <c r="C74" s="289"/>
      <c r="D74" s="84"/>
      <c r="E74" s="108"/>
      <c r="F74" s="109"/>
      <c r="G74" s="413"/>
      <c r="H74" s="413"/>
    </row>
    <row r="75" spans="1:8" ht="48">
      <c r="A75" s="202" t="s">
        <v>477</v>
      </c>
      <c r="B75" s="111" t="s">
        <v>478</v>
      </c>
      <c r="C75" s="1"/>
      <c r="D75" s="1"/>
      <c r="E75"/>
      <c r="F75" s="1"/>
    </row>
    <row r="76" spans="1:8">
      <c r="A76" s="202"/>
      <c r="B76" s="261" t="s">
        <v>474</v>
      </c>
      <c r="C76" s="289" t="s">
        <v>239</v>
      </c>
      <c r="D76" s="90">
        <v>32</v>
      </c>
      <c r="E76" s="108"/>
      <c r="F76" s="309">
        <f>D76*E76</f>
        <v>0</v>
      </c>
    </row>
    <row r="77" spans="1:8">
      <c r="A77" s="202"/>
      <c r="B77" s="261" t="s">
        <v>479</v>
      </c>
      <c r="C77" s="289" t="s">
        <v>239</v>
      </c>
      <c r="D77" s="90">
        <v>24</v>
      </c>
      <c r="E77" s="108"/>
      <c r="F77" s="309">
        <f>D77*E77</f>
        <v>0</v>
      </c>
    </row>
    <row r="78" spans="1:8">
      <c r="A78" s="202"/>
      <c r="B78" s="261"/>
      <c r="C78" s="289"/>
      <c r="D78" s="90"/>
      <c r="E78" s="108"/>
      <c r="F78" s="309"/>
      <c r="G78" s="290"/>
    </row>
    <row r="79" spans="1:8" ht="72">
      <c r="A79" s="202" t="s">
        <v>480</v>
      </c>
      <c r="B79" s="111" t="s">
        <v>481</v>
      </c>
      <c r="C79" s="1"/>
      <c r="D79" s="1"/>
      <c r="E79"/>
      <c r="F79" s="1"/>
      <c r="G79" s="290"/>
    </row>
    <row r="80" spans="1:8">
      <c r="A80" s="202"/>
      <c r="B80" s="111"/>
      <c r="C80" s="112" t="s">
        <v>165</v>
      </c>
      <c r="D80" s="90">
        <f>50.8*1.1</f>
        <v>55.88</v>
      </c>
      <c r="E80" s="108"/>
      <c r="F80" s="309">
        <f>D80*E80</f>
        <v>0</v>
      </c>
    </row>
    <row r="81" spans="1:6">
      <c r="A81" s="202"/>
      <c r="B81" s="111"/>
      <c r="C81" s="112"/>
      <c r="D81" s="84"/>
      <c r="E81" s="108"/>
      <c r="F81" s="309"/>
    </row>
    <row r="82" spans="1:6" ht="48">
      <c r="A82" s="202" t="s">
        <v>482</v>
      </c>
      <c r="B82" s="111" t="s">
        <v>483</v>
      </c>
      <c r="C82" s="1"/>
      <c r="D82" s="1"/>
      <c r="E82"/>
      <c r="F82" s="1"/>
    </row>
    <row r="83" spans="1:6">
      <c r="A83" s="202"/>
      <c r="B83" s="261" t="s">
        <v>484</v>
      </c>
      <c r="C83" s="112" t="s">
        <v>165</v>
      </c>
      <c r="D83" s="90">
        <v>56</v>
      </c>
      <c r="E83" s="108"/>
      <c r="F83" s="309">
        <f>D83*E83</f>
        <v>0</v>
      </c>
    </row>
    <row r="84" spans="1:6">
      <c r="A84" s="202"/>
      <c r="B84" s="261" t="s">
        <v>485</v>
      </c>
      <c r="C84" s="112" t="s">
        <v>165</v>
      </c>
      <c r="D84" s="90">
        <v>150</v>
      </c>
      <c r="E84" s="108"/>
      <c r="F84" s="309">
        <f>D84*E84</f>
        <v>0</v>
      </c>
    </row>
    <row r="85" spans="1:6">
      <c r="A85" s="202"/>
      <c r="B85" s="111"/>
      <c r="C85" s="112"/>
      <c r="D85" s="84"/>
      <c r="E85" s="108"/>
      <c r="F85" s="309"/>
    </row>
    <row r="86" spans="1:6" ht="48">
      <c r="A86" s="202" t="s">
        <v>486</v>
      </c>
      <c r="B86" s="111" t="s">
        <v>487</v>
      </c>
      <c r="C86" s="1"/>
      <c r="D86" s="1"/>
      <c r="E86"/>
      <c r="F86" s="1"/>
    </row>
    <row r="87" spans="1:6">
      <c r="A87" s="202"/>
      <c r="B87" s="111"/>
      <c r="C87" s="112" t="s">
        <v>148</v>
      </c>
      <c r="D87" s="84">
        <v>6</v>
      </c>
      <c r="E87" s="108"/>
      <c r="F87" s="309">
        <f>D87*E87</f>
        <v>0</v>
      </c>
    </row>
    <row r="88" spans="1:6">
      <c r="A88" s="202"/>
      <c r="B88" s="111"/>
      <c r="C88" s="112"/>
      <c r="D88" s="84"/>
      <c r="E88" s="108"/>
      <c r="F88" s="309"/>
    </row>
    <row r="89" spans="1:6" ht="72">
      <c r="A89" s="202" t="s">
        <v>488</v>
      </c>
      <c r="B89" s="111" t="s">
        <v>489</v>
      </c>
      <c r="C89" s="112"/>
      <c r="D89" s="84"/>
      <c r="E89" s="108"/>
      <c r="F89" s="109"/>
    </row>
    <row r="90" spans="1:6">
      <c r="A90" s="202"/>
      <c r="B90" s="111"/>
      <c r="C90" s="112" t="s">
        <v>148</v>
      </c>
      <c r="D90" s="84">
        <v>4</v>
      </c>
      <c r="E90" s="108"/>
      <c r="F90" s="309">
        <f>D90*E90</f>
        <v>0</v>
      </c>
    </row>
    <row r="91" spans="1:6">
      <c r="A91" s="202"/>
      <c r="B91" s="111"/>
      <c r="C91" s="215"/>
      <c r="D91" s="520"/>
      <c r="E91" s="216"/>
      <c r="F91" s="204">
        <f>SUM(F71:F90)</f>
        <v>0</v>
      </c>
    </row>
    <row r="92" spans="1:6" ht="15" thickBot="1">
      <c r="A92" s="122"/>
      <c r="B92" s="261"/>
      <c r="C92" s="289"/>
      <c r="D92" s="109"/>
      <c r="E92" s="108"/>
      <c r="F92" s="350"/>
    </row>
    <row r="93" spans="1:6" ht="15" thickBot="1">
      <c r="A93" s="477" t="s">
        <v>53</v>
      </c>
      <c r="B93" s="465" t="s">
        <v>241</v>
      </c>
      <c r="C93" s="478"/>
      <c r="D93" s="458"/>
      <c r="E93" s="459" t="s">
        <v>28</v>
      </c>
      <c r="F93" s="460">
        <f>F91+F56</f>
        <v>0</v>
      </c>
    </row>
    <row r="94" spans="1:6">
      <c r="D94" s="225"/>
    </row>
  </sheetData>
  <mergeCells count="24">
    <mergeCell ref="A40:E40"/>
    <mergeCell ref="A20:E20"/>
    <mergeCell ref="A24:E24"/>
    <mergeCell ref="A26:E26"/>
    <mergeCell ref="A16:E16"/>
    <mergeCell ref="A18:E18"/>
    <mergeCell ref="A34:E34"/>
    <mergeCell ref="A36:E36"/>
    <mergeCell ref="A50:E50"/>
    <mergeCell ref="A42:E42"/>
    <mergeCell ref="A44:E44"/>
    <mergeCell ref="A46:E46"/>
    <mergeCell ref="A48:E48"/>
    <mergeCell ref="A2:F2"/>
    <mergeCell ref="B6:F6"/>
    <mergeCell ref="A10:E10"/>
    <mergeCell ref="A38:E38"/>
    <mergeCell ref="A22:E22"/>
    <mergeCell ref="A28:E28"/>
    <mergeCell ref="A3:F3"/>
    <mergeCell ref="A12:E12"/>
    <mergeCell ref="A30:E30"/>
    <mergeCell ref="A32:E32"/>
    <mergeCell ref="A14:E14"/>
  </mergeCells>
  <phoneticPr fontId="28" type="noConversion"/>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6" manualBreakCount="6">
    <brk id="24" max="5" man="1"/>
    <brk id="36" max="5" man="1"/>
    <brk id="50" max="5" man="1"/>
    <brk id="62" max="5" man="1"/>
    <brk id="65" max="5" man="1"/>
    <brk id="78"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79998168889431442"/>
  </sheetPr>
  <dimension ref="A1:K40"/>
  <sheetViews>
    <sheetView showRuler="0" view="pageBreakPreview" topLeftCell="A12" zoomScale="115" zoomScaleNormal="100" zoomScaleSheetLayoutView="115" workbookViewId="0">
      <selection activeCell="C22" sqref="C22"/>
    </sheetView>
  </sheetViews>
  <sheetFormatPr defaultColWidth="9.28515625" defaultRowHeight="14.25"/>
  <cols>
    <col min="1" max="1" width="5.7109375" style="130" customWidth="1"/>
    <col min="2" max="2" width="42.7109375" style="130" customWidth="1"/>
    <col min="3" max="3" width="8.140625" style="275" customWidth="1"/>
    <col min="4" max="4" width="8.140625" style="233" customWidth="1"/>
    <col min="5" max="6" width="10.140625" style="230" customWidth="1"/>
    <col min="7" max="9" width="9.28515625" style="130"/>
    <col min="10" max="10" width="45.42578125" style="130" customWidth="1"/>
    <col min="11" max="16384" width="9.28515625" style="130"/>
  </cols>
  <sheetData>
    <row r="1" spans="1:7" ht="15">
      <c r="A1" s="137"/>
      <c r="B1" s="137"/>
      <c r="C1" s="209"/>
      <c r="D1" s="206"/>
      <c r="E1" s="207"/>
      <c r="F1" s="207"/>
    </row>
    <row r="2" spans="1:7">
      <c r="A2" s="638" t="s">
        <v>108</v>
      </c>
      <c r="B2" s="639"/>
      <c r="C2" s="639"/>
      <c r="D2" s="639"/>
      <c r="E2" s="639"/>
      <c r="F2" s="640"/>
    </row>
    <row r="3" spans="1:7">
      <c r="A3" s="648" t="s">
        <v>509</v>
      </c>
      <c r="B3" s="648"/>
      <c r="C3" s="648"/>
      <c r="D3" s="648"/>
      <c r="E3" s="648"/>
      <c r="F3" s="648"/>
      <c r="G3" s="230"/>
    </row>
    <row r="4" spans="1:7">
      <c r="A4" s="116" t="s">
        <v>110</v>
      </c>
      <c r="B4" s="116" t="s">
        <v>111</v>
      </c>
      <c r="C4" s="116" t="s">
        <v>112</v>
      </c>
      <c r="D4" s="268" t="s">
        <v>113</v>
      </c>
      <c r="E4" s="268" t="s">
        <v>114</v>
      </c>
      <c r="F4" s="268" t="s">
        <v>115</v>
      </c>
    </row>
    <row r="5" spans="1:7">
      <c r="A5" s="105"/>
      <c r="B5" s="105"/>
      <c r="C5" s="105"/>
      <c r="D5" s="269"/>
      <c r="E5" s="269"/>
      <c r="F5" s="269"/>
    </row>
    <row r="6" spans="1:7">
      <c r="A6" s="105"/>
      <c r="B6" s="105"/>
      <c r="C6" s="105"/>
      <c r="D6" s="269"/>
      <c r="E6" s="269"/>
      <c r="F6" s="269"/>
    </row>
    <row r="7" spans="1:7" ht="15.75" thickBot="1">
      <c r="A7" s="106" t="s">
        <v>500</v>
      </c>
      <c r="B7" s="644" t="s">
        <v>501</v>
      </c>
      <c r="C7" s="644"/>
      <c r="D7" s="644"/>
      <c r="E7" s="644"/>
      <c r="F7" s="644"/>
    </row>
    <row r="8" spans="1:7">
      <c r="A8" s="119"/>
      <c r="B8" s="120"/>
      <c r="C8" s="121"/>
      <c r="D8" s="109"/>
      <c r="E8" s="107"/>
      <c r="F8" s="107"/>
    </row>
    <row r="9" spans="1:7">
      <c r="A9" s="310" t="s">
        <v>117</v>
      </c>
      <c r="B9" s="311"/>
      <c r="C9" s="312"/>
      <c r="D9" s="308"/>
      <c r="E9" s="208"/>
      <c r="F9" s="208"/>
    </row>
    <row r="10" spans="1:7">
      <c r="A10" s="310"/>
      <c r="B10" s="311"/>
      <c r="C10" s="312"/>
      <c r="D10" s="308"/>
      <c r="E10" s="208"/>
      <c r="F10" s="208"/>
    </row>
    <row r="11" spans="1:7" ht="56.25" customHeight="1">
      <c r="A11" s="645" t="s">
        <v>502</v>
      </c>
      <c r="B11" s="646"/>
      <c r="C11" s="646"/>
      <c r="D11" s="646"/>
      <c r="E11" s="646"/>
      <c r="F11" s="208"/>
    </row>
    <row r="12" spans="1:7">
      <c r="A12" s="287"/>
      <c r="B12" s="252"/>
      <c r="C12" s="252"/>
      <c r="D12" s="345"/>
      <c r="E12" s="345"/>
      <c r="F12" s="208"/>
    </row>
    <row r="13" spans="1:7" ht="45" customHeight="1">
      <c r="A13" s="645" t="s">
        <v>503</v>
      </c>
      <c r="B13" s="646"/>
      <c r="C13" s="646"/>
      <c r="D13" s="646"/>
      <c r="E13" s="646"/>
      <c r="F13" s="208"/>
    </row>
    <row r="14" spans="1:7">
      <c r="A14" s="287"/>
      <c r="B14" s="287"/>
      <c r="C14" s="287"/>
      <c r="D14" s="346"/>
      <c r="E14" s="346"/>
      <c r="F14" s="208"/>
    </row>
    <row r="15" spans="1:7" ht="116.25" customHeight="1">
      <c r="A15" s="645" t="s">
        <v>504</v>
      </c>
      <c r="B15" s="646"/>
      <c r="C15" s="646"/>
      <c r="D15" s="646"/>
      <c r="E15" s="646"/>
      <c r="F15" s="208"/>
    </row>
    <row r="16" spans="1:7">
      <c r="A16" s="287"/>
      <c r="B16" s="287"/>
      <c r="C16" s="287"/>
      <c r="D16" s="346"/>
      <c r="E16" s="346"/>
      <c r="F16" s="208"/>
    </row>
    <row r="17" spans="1:11" ht="61.5" customHeight="1">
      <c r="A17" s="645" t="s">
        <v>505</v>
      </c>
      <c r="B17" s="646"/>
      <c r="C17" s="646"/>
      <c r="D17" s="646"/>
      <c r="E17" s="646"/>
      <c r="F17" s="208"/>
    </row>
    <row r="18" spans="1:11">
      <c r="A18" s="287"/>
      <c r="B18" s="287"/>
      <c r="C18" s="287"/>
      <c r="D18" s="346"/>
      <c r="E18" s="346"/>
      <c r="F18" s="208"/>
    </row>
    <row r="19" spans="1:11" ht="63.75" customHeight="1">
      <c r="A19" s="645" t="s">
        <v>506</v>
      </c>
      <c r="B19" s="646"/>
      <c r="C19" s="646"/>
      <c r="D19" s="646"/>
      <c r="E19" s="646"/>
      <c r="F19" s="208"/>
    </row>
    <row r="20" spans="1:11" s="198" customFormat="1" ht="24">
      <c r="A20" s="110" t="s">
        <v>27</v>
      </c>
      <c r="B20" s="203" t="s">
        <v>510</v>
      </c>
      <c r="C20" s="112"/>
      <c r="D20" s="552"/>
      <c r="E20" s="553"/>
      <c r="F20" s="347"/>
    </row>
    <row r="21" spans="1:11" s="198" customFormat="1" ht="96">
      <c r="A21" s="114"/>
      <c r="B21" s="82" t="s">
        <v>511</v>
      </c>
      <c r="C21" s="112"/>
      <c r="D21" s="552"/>
      <c r="E21" s="554"/>
      <c r="F21" s="555"/>
    </row>
    <row r="22" spans="1:11" s="198" customFormat="1" ht="12">
      <c r="A22" s="114"/>
      <c r="B22" s="201"/>
      <c r="C22" s="112" t="s">
        <v>512</v>
      </c>
      <c r="D22" s="196">
        <v>65</v>
      </c>
      <c r="E22" s="556"/>
      <c r="F22" s="557">
        <f>D22*E22</f>
        <v>0</v>
      </c>
    </row>
    <row r="23" spans="1:11" s="198" customFormat="1" ht="12.75">
      <c r="A23" s="114"/>
      <c r="B23" s="201"/>
      <c r="C23" s="112"/>
      <c r="D23" s="558"/>
      <c r="E23" s="556"/>
      <c r="F23" s="559"/>
      <c r="K23" s="461"/>
    </row>
    <row r="24" spans="1:11" s="198" customFormat="1" ht="12.75">
      <c r="A24" s="110" t="s">
        <v>29</v>
      </c>
      <c r="B24" s="203" t="s">
        <v>513</v>
      </c>
      <c r="C24" s="112"/>
      <c r="D24" s="552"/>
      <c r="E24" s="553"/>
      <c r="F24" s="347"/>
      <c r="K24" s="461"/>
    </row>
    <row r="25" spans="1:11" s="198" customFormat="1" ht="51" customHeight="1">
      <c r="A25" s="114"/>
      <c r="B25" s="82" t="s">
        <v>514</v>
      </c>
      <c r="C25" s="112"/>
      <c r="D25" s="558"/>
      <c r="E25" s="556"/>
      <c r="F25" s="559"/>
    </row>
    <row r="26" spans="1:11" s="198" customFormat="1" ht="12">
      <c r="A26" s="114"/>
      <c r="B26" s="201"/>
      <c r="C26" s="112" t="s">
        <v>512</v>
      </c>
      <c r="D26" s="196">
        <v>46</v>
      </c>
      <c r="E26" s="556"/>
      <c r="F26" s="557">
        <f>D26*E26</f>
        <v>0</v>
      </c>
    </row>
    <row r="27" spans="1:11" s="198" customFormat="1" ht="12.75">
      <c r="A27" s="114"/>
      <c r="B27" s="201"/>
      <c r="C27" s="112"/>
      <c r="D27" s="558"/>
      <c r="E27" s="556"/>
      <c r="F27" s="559"/>
      <c r="K27" s="461"/>
    </row>
    <row r="28" spans="1:11" s="198" customFormat="1" ht="12.75">
      <c r="A28" s="110" t="s">
        <v>138</v>
      </c>
      <c r="B28" s="203" t="s">
        <v>515</v>
      </c>
      <c r="C28" s="112"/>
      <c r="D28" s="552"/>
      <c r="E28" s="553"/>
      <c r="F28" s="347"/>
      <c r="K28" s="461"/>
    </row>
    <row r="29" spans="1:11" s="198" customFormat="1" ht="43.15" customHeight="1">
      <c r="A29" s="114"/>
      <c r="B29" s="82" t="s">
        <v>518</v>
      </c>
      <c r="C29" s="551"/>
      <c r="D29" s="558"/>
      <c r="E29" s="556"/>
      <c r="F29" s="559"/>
      <c r="K29" s="461"/>
    </row>
    <row r="30" spans="1:11">
      <c r="A30" s="114"/>
      <c r="B30" s="560"/>
      <c r="C30" s="112" t="s">
        <v>512</v>
      </c>
      <c r="D30" s="196">
        <v>18</v>
      </c>
      <c r="E30" s="556"/>
      <c r="F30" s="557">
        <f>D30*E30</f>
        <v>0</v>
      </c>
    </row>
    <row r="31" spans="1:11">
      <c r="A31" s="114"/>
      <c r="B31" s="560"/>
      <c r="C31" s="551"/>
      <c r="D31" s="558"/>
      <c r="E31" s="556"/>
      <c r="F31" s="559"/>
    </row>
    <row r="32" spans="1:11">
      <c r="A32" s="110" t="s">
        <v>142</v>
      </c>
      <c r="B32" s="203" t="s">
        <v>516</v>
      </c>
      <c r="C32" s="112"/>
      <c r="D32" s="552"/>
      <c r="E32" s="553"/>
      <c r="F32" s="347"/>
    </row>
    <row r="33" spans="1:6" ht="36">
      <c r="A33" s="114"/>
      <c r="B33" s="82" t="s">
        <v>517</v>
      </c>
      <c r="C33" s="551"/>
      <c r="D33" s="558"/>
      <c r="E33" s="556"/>
      <c r="F33" s="559"/>
    </row>
    <row r="34" spans="1:6">
      <c r="A34" s="114"/>
      <c r="B34" s="560"/>
      <c r="C34" s="112" t="s">
        <v>512</v>
      </c>
      <c r="D34" s="196">
        <v>8</v>
      </c>
      <c r="E34" s="556"/>
      <c r="F34" s="557">
        <f>D34*E34</f>
        <v>0</v>
      </c>
    </row>
    <row r="35" spans="1:6">
      <c r="A35" s="536"/>
      <c r="B35" s="358"/>
      <c r="C35" s="534"/>
      <c r="D35" s="299"/>
      <c r="E35" s="537"/>
      <c r="F35" s="535"/>
    </row>
    <row r="36" spans="1:6">
      <c r="A36" s="539" t="s">
        <v>145</v>
      </c>
      <c r="B36" s="540" t="s">
        <v>507</v>
      </c>
      <c r="C36" s="541"/>
      <c r="D36" s="542"/>
      <c r="E36" s="542"/>
      <c r="F36" s="542"/>
    </row>
    <row r="37" spans="1:6" ht="36">
      <c r="A37" s="543"/>
      <c r="B37" s="544" t="s">
        <v>508</v>
      </c>
      <c r="C37" s="545"/>
      <c r="D37" s="546"/>
      <c r="E37" s="546"/>
      <c r="F37" s="547"/>
    </row>
    <row r="38" spans="1:6">
      <c r="A38" s="543"/>
      <c r="B38" s="548"/>
      <c r="C38" s="541" t="s">
        <v>205</v>
      </c>
      <c r="D38" s="542">
        <v>200</v>
      </c>
      <c r="E38" s="549"/>
      <c r="F38" s="550">
        <f>D38*E38</f>
        <v>0</v>
      </c>
    </row>
    <row r="39" spans="1:6" ht="15" thickBot="1"/>
    <row r="40" spans="1:6" ht="15" thickBot="1">
      <c r="A40" s="479" t="s">
        <v>53</v>
      </c>
      <c r="B40" s="480" t="s">
        <v>501</v>
      </c>
      <c r="C40" s="481"/>
      <c r="D40" s="482"/>
      <c r="E40" s="483" t="s">
        <v>28</v>
      </c>
      <c r="F40" s="484">
        <f>F38+F34+F30+F26+F22</f>
        <v>0</v>
      </c>
    </row>
  </sheetData>
  <mergeCells count="8">
    <mergeCell ref="A17:E17"/>
    <mergeCell ref="A19:E19"/>
    <mergeCell ref="A2:F2"/>
    <mergeCell ref="A3:F3"/>
    <mergeCell ref="B7:F7"/>
    <mergeCell ref="A11:E11"/>
    <mergeCell ref="A13:E13"/>
    <mergeCell ref="A15:E15"/>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1" manualBreakCount="1">
    <brk id="19" max="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theme="2" tint="-9.9978637043366805E-2"/>
  </sheetPr>
  <dimension ref="A1:G67"/>
  <sheetViews>
    <sheetView view="pageBreakPreview" topLeftCell="A44" zoomScaleNormal="100" zoomScaleSheetLayoutView="100" workbookViewId="0">
      <selection activeCell="B38" sqref="B38"/>
    </sheetView>
  </sheetViews>
  <sheetFormatPr defaultColWidth="9.28515625" defaultRowHeight="14.25"/>
  <cols>
    <col min="1" max="1" width="5.7109375" style="1" customWidth="1"/>
    <col min="2" max="2" width="42.7109375" style="1" customWidth="1"/>
    <col min="3" max="3" width="8.140625" style="132" customWidth="1"/>
    <col min="4" max="4" width="8.140625" style="233" customWidth="1"/>
    <col min="5" max="6" width="10.140625" style="99" customWidth="1"/>
    <col min="7" max="8" width="9.28515625" style="1"/>
    <col min="9" max="9" width="0" style="1" hidden="1" customWidth="1"/>
    <col min="10" max="16384" width="9.28515625" style="1"/>
  </cols>
  <sheetData>
    <row r="1" spans="1:6">
      <c r="A1" s="652"/>
      <c r="B1" s="652"/>
      <c r="C1" s="652"/>
      <c r="D1" s="652"/>
      <c r="E1" s="652"/>
      <c r="F1" s="652"/>
    </row>
    <row r="2" spans="1:6">
      <c r="A2" s="638" t="s">
        <v>108</v>
      </c>
      <c r="B2" s="639"/>
      <c r="C2" s="639"/>
      <c r="D2" s="639"/>
      <c r="E2" s="639"/>
      <c r="F2" s="640"/>
    </row>
    <row r="3" spans="1:6" ht="15">
      <c r="A3" s="137" t="s">
        <v>242</v>
      </c>
      <c r="B3" s="137"/>
      <c r="C3" s="209"/>
      <c r="D3" s="206"/>
      <c r="E3" s="207"/>
      <c r="F3" s="207"/>
    </row>
    <row r="4" spans="1:6">
      <c r="A4" s="116" t="s">
        <v>110</v>
      </c>
      <c r="B4" s="116" t="s">
        <v>111</v>
      </c>
      <c r="C4" s="116" t="s">
        <v>112</v>
      </c>
      <c r="D4" s="268" t="s">
        <v>113</v>
      </c>
      <c r="E4" s="268" t="s">
        <v>114</v>
      </c>
      <c r="F4" s="268" t="s">
        <v>115</v>
      </c>
    </row>
    <row r="5" spans="1:6">
      <c r="A5" s="105"/>
      <c r="B5" s="105"/>
      <c r="C5" s="105"/>
      <c r="D5" s="269"/>
      <c r="E5" s="269"/>
      <c r="F5" s="269"/>
    </row>
    <row r="6" spans="1:6" ht="18.75">
      <c r="A6" s="219" t="s">
        <v>55</v>
      </c>
      <c r="B6" s="220" t="s">
        <v>243</v>
      </c>
      <c r="C6" s="209"/>
      <c r="D6" s="206"/>
      <c r="E6" s="207"/>
      <c r="F6" s="207"/>
    </row>
    <row r="7" spans="1:6" ht="12" customHeight="1">
      <c r="A7" s="219"/>
      <c r="B7" s="220"/>
      <c r="C7" s="209"/>
      <c r="D7" s="206"/>
      <c r="E7" s="207"/>
      <c r="F7" s="207"/>
    </row>
    <row r="8" spans="1:6" ht="12" customHeight="1">
      <c r="A8" s="137"/>
      <c r="B8" s="137"/>
      <c r="C8" s="209"/>
      <c r="D8" s="206"/>
      <c r="E8" s="207"/>
      <c r="F8" s="207"/>
    </row>
    <row r="9" spans="1:6" ht="15.75" thickBot="1">
      <c r="A9" s="106" t="s">
        <v>57</v>
      </c>
      <c r="B9" s="644" t="s">
        <v>244</v>
      </c>
      <c r="C9" s="644"/>
      <c r="D9" s="644"/>
      <c r="E9" s="644"/>
      <c r="F9" s="644"/>
    </row>
    <row r="10" spans="1:6">
      <c r="A10" s="119"/>
      <c r="B10" s="120"/>
      <c r="C10" s="121"/>
      <c r="D10" s="109"/>
      <c r="E10" s="107"/>
      <c r="F10" s="107"/>
    </row>
    <row r="11" spans="1:6">
      <c r="A11" s="310" t="s">
        <v>117</v>
      </c>
      <c r="B11" s="311"/>
      <c r="C11" s="312"/>
      <c r="D11" s="308"/>
      <c r="E11" s="208"/>
      <c r="F11" s="208"/>
    </row>
    <row r="12" spans="1:6">
      <c r="A12" s="310"/>
      <c r="B12" s="311"/>
      <c r="C12" s="312"/>
      <c r="D12" s="308"/>
      <c r="E12" s="208"/>
      <c r="F12" s="208"/>
    </row>
    <row r="13" spans="1:6" ht="132.75" customHeight="1">
      <c r="A13" s="649" t="s">
        <v>245</v>
      </c>
      <c r="B13" s="653"/>
      <c r="C13" s="653"/>
      <c r="D13" s="653"/>
      <c r="E13" s="653"/>
      <c r="F13" s="208"/>
    </row>
    <row r="14" spans="1:6">
      <c r="A14" s="310"/>
      <c r="B14" s="203"/>
      <c r="C14" s="203"/>
      <c r="D14" s="308"/>
      <c r="E14" s="208" t="s">
        <v>246</v>
      </c>
      <c r="F14" s="208"/>
    </row>
    <row r="15" spans="1:6" ht="40.15" customHeight="1">
      <c r="A15" s="649" t="s">
        <v>247</v>
      </c>
      <c r="B15" s="653"/>
      <c r="C15" s="653"/>
      <c r="D15" s="653"/>
      <c r="E15" s="653"/>
      <c r="F15" s="208"/>
    </row>
    <row r="16" spans="1:6">
      <c r="A16" s="110"/>
      <c r="B16" s="317"/>
      <c r="C16" s="317"/>
      <c r="D16" s="347"/>
      <c r="E16" s="347"/>
      <c r="F16" s="208"/>
    </row>
    <row r="17" spans="1:6" ht="30.75" customHeight="1">
      <c r="A17" s="649" t="s">
        <v>248</v>
      </c>
      <c r="B17" s="653"/>
      <c r="C17" s="653"/>
      <c r="D17" s="653"/>
      <c r="E17" s="653"/>
      <c r="F17" s="208"/>
    </row>
    <row r="18" spans="1:6">
      <c r="A18" s="310"/>
      <c r="B18" s="203"/>
      <c r="C18" s="203"/>
      <c r="D18" s="308"/>
      <c r="E18" s="208"/>
      <c r="F18" s="208"/>
    </row>
    <row r="19" spans="1:6" ht="112.5" customHeight="1">
      <c r="A19" s="649" t="s">
        <v>249</v>
      </c>
      <c r="B19" s="653"/>
      <c r="C19" s="653"/>
      <c r="D19" s="653"/>
      <c r="E19" s="653"/>
      <c r="F19" s="208"/>
    </row>
    <row r="20" spans="1:6">
      <c r="A20" s="110"/>
      <c r="B20" s="317"/>
      <c r="C20" s="317"/>
      <c r="D20" s="347"/>
      <c r="E20" s="347"/>
      <c r="F20" s="208"/>
    </row>
    <row r="21" spans="1:6" ht="53.45" customHeight="1">
      <c r="A21" s="649" t="s">
        <v>250</v>
      </c>
      <c r="B21" s="653"/>
      <c r="C21" s="653"/>
      <c r="D21" s="653"/>
      <c r="E21" s="653"/>
      <c r="F21" s="208"/>
    </row>
    <row r="22" spans="1:6">
      <c r="A22" s="110"/>
      <c r="B22" s="317"/>
      <c r="C22" s="317"/>
      <c r="D22" s="347"/>
      <c r="E22" s="347"/>
      <c r="F22" s="208"/>
    </row>
    <row r="23" spans="1:6" ht="62.25" customHeight="1">
      <c r="A23" s="649" t="s">
        <v>251</v>
      </c>
      <c r="B23" s="653"/>
      <c r="C23" s="653"/>
      <c r="D23" s="653"/>
      <c r="E23" s="653"/>
      <c r="F23" s="208"/>
    </row>
    <row r="24" spans="1:6">
      <c r="A24" s="110"/>
      <c r="B24" s="317"/>
      <c r="C24" s="317"/>
      <c r="D24" s="347"/>
      <c r="E24" s="347"/>
      <c r="F24" s="208"/>
    </row>
    <row r="25" spans="1:6" ht="63" customHeight="1">
      <c r="A25" s="649" t="s">
        <v>252</v>
      </c>
      <c r="B25" s="653"/>
      <c r="C25" s="653"/>
      <c r="D25" s="653"/>
      <c r="E25" s="653"/>
      <c r="F25" s="208"/>
    </row>
    <row r="26" spans="1:6">
      <c r="A26" s="110"/>
      <c r="B26" s="317"/>
      <c r="C26" s="317"/>
      <c r="D26" s="347"/>
      <c r="E26" s="347"/>
      <c r="F26" s="208"/>
    </row>
    <row r="27" spans="1:6" ht="55.5" customHeight="1">
      <c r="A27" s="649" t="s">
        <v>253</v>
      </c>
      <c r="B27" s="653"/>
      <c r="C27" s="653"/>
      <c r="D27" s="653"/>
      <c r="E27" s="653"/>
      <c r="F27" s="208"/>
    </row>
    <row r="28" spans="1:6">
      <c r="A28" s="110"/>
      <c r="B28" s="317"/>
      <c r="C28" s="317"/>
      <c r="D28" s="347"/>
      <c r="E28" s="347"/>
      <c r="F28" s="208"/>
    </row>
    <row r="29" spans="1:6" ht="121.9" customHeight="1">
      <c r="A29" s="649" t="s">
        <v>254</v>
      </c>
      <c r="B29" s="653"/>
      <c r="C29" s="653"/>
      <c r="D29" s="653"/>
      <c r="E29" s="653"/>
      <c r="F29" s="208"/>
    </row>
    <row r="30" spans="1:6">
      <c r="A30" s="110"/>
      <c r="B30" s="317"/>
      <c r="C30" s="317"/>
      <c r="D30" s="347"/>
      <c r="E30" s="347"/>
      <c r="F30" s="208"/>
    </row>
    <row r="31" spans="1:6" ht="95.45" customHeight="1">
      <c r="A31" s="649" t="s">
        <v>255</v>
      </c>
      <c r="B31" s="653"/>
      <c r="C31" s="653"/>
      <c r="D31" s="653"/>
      <c r="E31" s="653"/>
      <c r="F31" s="208"/>
    </row>
    <row r="32" spans="1:6">
      <c r="A32" s="110"/>
      <c r="B32" s="317"/>
      <c r="C32" s="317"/>
      <c r="D32" s="317"/>
      <c r="E32" s="317"/>
      <c r="F32" s="208"/>
    </row>
    <row r="33" spans="1:7" ht="15.75" customHeight="1">
      <c r="A33" s="369" t="s">
        <v>27</v>
      </c>
      <c r="B33" s="203" t="s">
        <v>523</v>
      </c>
      <c r="C33" s="124"/>
      <c r="D33" s="350"/>
      <c r="E33" s="363"/>
      <c r="F33" s="350"/>
    </row>
    <row r="34" spans="1:7" ht="65.25" customHeight="1">
      <c r="A34" s="561"/>
      <c r="B34" s="111" t="s">
        <v>541</v>
      </c>
      <c r="C34" s="261"/>
      <c r="D34" s="107"/>
      <c r="E34" s="562"/>
      <c r="F34" s="107"/>
    </row>
    <row r="35" spans="1:7" ht="36">
      <c r="A35" s="561"/>
      <c r="B35" s="111" t="s">
        <v>542</v>
      </c>
      <c r="C35" s="261"/>
      <c r="D35" s="107"/>
      <c r="E35" s="562"/>
      <c r="F35" s="107"/>
    </row>
    <row r="36" spans="1:7" ht="131.25" customHeight="1">
      <c r="A36" s="561"/>
      <c r="B36" s="111" t="s">
        <v>543</v>
      </c>
      <c r="C36" s="261"/>
      <c r="D36" s="107"/>
      <c r="E36" s="562"/>
      <c r="F36" s="107"/>
    </row>
    <row r="37" spans="1:7" ht="26.25">
      <c r="A37" s="563"/>
      <c r="B37" s="111" t="s">
        <v>524</v>
      </c>
      <c r="C37" s="261"/>
      <c r="D37" s="107"/>
      <c r="E37" s="564"/>
      <c r="F37" s="107"/>
    </row>
    <row r="38" spans="1:7" ht="15">
      <c r="A38" s="565"/>
      <c r="B38" s="112" t="s">
        <v>525</v>
      </c>
      <c r="C38" s="112" t="s">
        <v>165</v>
      </c>
      <c r="D38" s="109">
        <v>366</v>
      </c>
      <c r="E38" s="108"/>
      <c r="F38" s="309">
        <f>D38*E38</f>
        <v>0</v>
      </c>
      <c r="G38" s="290"/>
    </row>
    <row r="39" spans="1:7" ht="15">
      <c r="A39" s="565"/>
      <c r="B39" s="112" t="s">
        <v>526</v>
      </c>
      <c r="C39" s="112" t="s">
        <v>133</v>
      </c>
      <c r="D39" s="109">
        <v>147</v>
      </c>
      <c r="E39" s="108"/>
      <c r="F39" s="309">
        <f>D39*E39</f>
        <v>0</v>
      </c>
    </row>
    <row r="40" spans="1:7" ht="15">
      <c r="A40" s="565"/>
      <c r="B40" s="392" t="s">
        <v>256</v>
      </c>
      <c r="C40" s="401" t="s">
        <v>133</v>
      </c>
      <c r="D40" s="402">
        <v>120</v>
      </c>
      <c r="E40" s="403"/>
      <c r="F40" s="573">
        <f>D40*E40</f>
        <v>0</v>
      </c>
    </row>
    <row r="41" spans="1:7" ht="15">
      <c r="A41" s="565"/>
      <c r="B41" s="392"/>
      <c r="C41" s="112"/>
      <c r="D41" s="109"/>
      <c r="E41" s="108"/>
      <c r="F41" s="197">
        <f>F38+F39+F40</f>
        <v>0</v>
      </c>
    </row>
    <row r="42" spans="1:7" ht="15">
      <c r="A42" s="565"/>
      <c r="B42" s="112"/>
      <c r="C42" s="112"/>
      <c r="D42" s="109"/>
      <c r="E42" s="108"/>
      <c r="F42" s="197"/>
    </row>
    <row r="43" spans="1:7">
      <c r="A43" s="369" t="s">
        <v>29</v>
      </c>
      <c r="B43" s="203" t="s">
        <v>527</v>
      </c>
      <c r="C43" s="124"/>
      <c r="D43" s="350"/>
      <c r="E43" s="363"/>
      <c r="F43" s="350"/>
    </row>
    <row r="44" spans="1:7" ht="213.75" customHeight="1">
      <c r="A44" s="561"/>
      <c r="B44" s="110" t="s">
        <v>544</v>
      </c>
      <c r="C44" s="261"/>
      <c r="D44" s="107"/>
      <c r="E44" s="562"/>
      <c r="F44" s="107"/>
    </row>
    <row r="45" spans="1:7" ht="15">
      <c r="A45" s="565"/>
      <c r="B45" s="112" t="s">
        <v>528</v>
      </c>
      <c r="C45" s="112" t="s">
        <v>165</v>
      </c>
      <c r="D45" s="109">
        <v>110</v>
      </c>
      <c r="E45" s="108"/>
      <c r="F45" s="309">
        <f>D45*E45</f>
        <v>0</v>
      </c>
    </row>
    <row r="46" spans="1:7" ht="15">
      <c r="A46" s="565"/>
      <c r="B46" s="112" t="s">
        <v>529</v>
      </c>
      <c r="C46" s="112" t="s">
        <v>133</v>
      </c>
      <c r="D46" s="109">
        <f>D45*0.1</f>
        <v>11</v>
      </c>
      <c r="E46" s="108"/>
      <c r="F46" s="309">
        <f>D46*E46</f>
        <v>0</v>
      </c>
    </row>
    <row r="47" spans="1:7" ht="15">
      <c r="A47" s="565"/>
      <c r="B47" s="112" t="s">
        <v>530</v>
      </c>
      <c r="C47" s="112" t="s">
        <v>165</v>
      </c>
      <c r="D47" s="109">
        <v>151</v>
      </c>
      <c r="E47" s="108"/>
      <c r="F47" s="309">
        <f>D47*E47</f>
        <v>0</v>
      </c>
    </row>
    <row r="48" spans="1:7" ht="15">
      <c r="A48" s="565"/>
      <c r="B48" s="112" t="s">
        <v>531</v>
      </c>
      <c r="C48" s="112" t="s">
        <v>133</v>
      </c>
      <c r="D48" s="109">
        <v>49</v>
      </c>
      <c r="E48" s="108"/>
      <c r="F48" s="309">
        <f>D48*E48</f>
        <v>0</v>
      </c>
    </row>
    <row r="49" spans="1:6" ht="15">
      <c r="A49" s="565"/>
      <c r="B49" s="112" t="s">
        <v>532</v>
      </c>
      <c r="C49" s="401" t="s">
        <v>133</v>
      </c>
      <c r="D49" s="402">
        <v>16</v>
      </c>
      <c r="E49" s="403"/>
      <c r="F49" s="573">
        <f>D49*E49</f>
        <v>0</v>
      </c>
    </row>
    <row r="50" spans="1:6" ht="15">
      <c r="A50" s="565"/>
      <c r="B50" s="112"/>
      <c r="C50" s="112"/>
      <c r="D50" s="109"/>
      <c r="E50" s="108"/>
      <c r="F50" s="197">
        <f>F45+F46+F47+F48+F49</f>
        <v>0</v>
      </c>
    </row>
    <row r="51" spans="1:6" ht="15">
      <c r="A51" s="565"/>
      <c r="B51" s="112"/>
      <c r="C51" s="112"/>
      <c r="D51" s="109"/>
      <c r="E51" s="108"/>
      <c r="F51" s="197"/>
    </row>
    <row r="52" spans="1:6">
      <c r="A52" s="449" t="s">
        <v>138</v>
      </c>
      <c r="B52" s="386" t="s">
        <v>533</v>
      </c>
      <c r="C52" s="112"/>
      <c r="D52" s="109"/>
      <c r="E52" s="108"/>
      <c r="F52" s="197"/>
    </row>
    <row r="53" spans="1:6" ht="293.25" customHeight="1">
      <c r="A53" s="566"/>
      <c r="B53" s="111" t="s">
        <v>545</v>
      </c>
      <c r="C53" s="385"/>
      <c r="D53" s="567"/>
      <c r="E53" s="150"/>
      <c r="F53" s="568"/>
    </row>
    <row r="54" spans="1:6" ht="15">
      <c r="A54" s="565"/>
      <c r="B54" s="112"/>
      <c r="C54" s="112" t="s">
        <v>133</v>
      </c>
      <c r="D54" s="109">
        <v>13</v>
      </c>
      <c r="E54" s="108"/>
      <c r="F54" s="197">
        <f>D54*E54</f>
        <v>0</v>
      </c>
    </row>
    <row r="55" spans="1:6" ht="15">
      <c r="A55" s="565"/>
      <c r="B55" s="112"/>
      <c r="C55" s="112"/>
      <c r="D55" s="109"/>
      <c r="E55" s="108"/>
      <c r="F55" s="197"/>
    </row>
    <row r="56" spans="1:6">
      <c r="A56" s="574" t="s">
        <v>142</v>
      </c>
      <c r="B56" s="316" t="s">
        <v>534</v>
      </c>
      <c r="C56" s="112"/>
      <c r="D56" s="109"/>
      <c r="E56" s="108"/>
      <c r="F56" s="197"/>
    </row>
    <row r="57" spans="1:6" ht="144">
      <c r="A57" s="565"/>
      <c r="B57" s="452" t="s">
        <v>535</v>
      </c>
      <c r="C57" s="112"/>
      <c r="D57" s="90"/>
      <c r="E57" s="108"/>
      <c r="F57" s="109"/>
    </row>
    <row r="58" spans="1:6" ht="15">
      <c r="A58" s="565"/>
      <c r="B58" s="261"/>
      <c r="C58" s="112" t="s">
        <v>165</v>
      </c>
      <c r="D58" s="90">
        <v>6</v>
      </c>
      <c r="E58" s="108"/>
      <c r="F58" s="197">
        <f>D58*E58</f>
        <v>0</v>
      </c>
    </row>
    <row r="59" spans="1:6">
      <c r="A59" s="499"/>
      <c r="B59" s="111"/>
      <c r="C59" s="112"/>
      <c r="D59" s="109"/>
      <c r="E59" s="108"/>
      <c r="F59" s="197"/>
    </row>
    <row r="60" spans="1:6" ht="15">
      <c r="A60" s="449" t="s">
        <v>145</v>
      </c>
      <c r="B60" s="386" t="s">
        <v>536</v>
      </c>
      <c r="C60" s="569"/>
      <c r="D60" s="570"/>
      <c r="E60" s="569"/>
      <c r="F60" s="571"/>
    </row>
    <row r="61" spans="1:6" ht="120">
      <c r="A61" s="202"/>
      <c r="B61" s="120" t="s">
        <v>546</v>
      </c>
      <c r="C61" s="112"/>
      <c r="D61" s="90"/>
      <c r="E61" s="108"/>
      <c r="F61" s="197"/>
    </row>
    <row r="62" spans="1:6">
      <c r="A62" s="202"/>
      <c r="B62" s="427" t="s">
        <v>537</v>
      </c>
      <c r="C62" s="112" t="s">
        <v>165</v>
      </c>
      <c r="D62" s="109">
        <f>186.4*1.1</f>
        <v>205.04000000000002</v>
      </c>
      <c r="E62" s="108"/>
      <c r="F62" s="309">
        <f>D62*E62</f>
        <v>0</v>
      </c>
    </row>
    <row r="63" spans="1:6">
      <c r="A63" s="572"/>
      <c r="B63" s="427" t="s">
        <v>538</v>
      </c>
      <c r="C63" s="112" t="s">
        <v>165</v>
      </c>
      <c r="D63" s="90">
        <v>30</v>
      </c>
      <c r="E63" s="108"/>
      <c r="F63" s="309">
        <f>D63*E63</f>
        <v>0</v>
      </c>
    </row>
    <row r="64" spans="1:6">
      <c r="A64" s="572"/>
      <c r="B64" s="427" t="s">
        <v>539</v>
      </c>
      <c r="C64" s="401" t="s">
        <v>540</v>
      </c>
      <c r="D64" s="497">
        <v>30</v>
      </c>
      <c r="E64" s="403"/>
      <c r="F64" s="573">
        <f>D64*E64</f>
        <v>0</v>
      </c>
    </row>
    <row r="65" spans="1:6">
      <c r="A65" s="572"/>
      <c r="B65" s="427"/>
      <c r="C65" s="112"/>
      <c r="D65" s="90"/>
      <c r="E65" s="108"/>
      <c r="F65" s="197">
        <f>F62+F63+F64</f>
        <v>0</v>
      </c>
    </row>
    <row r="66" spans="1:6" ht="15" thickBot="1">
      <c r="A66" s="114"/>
      <c r="B66" s="110"/>
      <c r="C66" s="112"/>
      <c r="D66" s="109"/>
      <c r="E66" s="108"/>
      <c r="F66" s="197"/>
    </row>
    <row r="67" spans="1:6" ht="15" thickBot="1">
      <c r="A67" s="464" t="s">
        <v>57</v>
      </c>
      <c r="B67" s="465" t="s">
        <v>258</v>
      </c>
      <c r="C67" s="475"/>
      <c r="D67" s="476"/>
      <c r="E67" s="459" t="s">
        <v>28</v>
      </c>
      <c r="F67" s="468">
        <f>F65+F58+F50+F41+F54</f>
        <v>0</v>
      </c>
    </row>
  </sheetData>
  <mergeCells count="13">
    <mergeCell ref="A19:E19"/>
    <mergeCell ref="A21:E21"/>
    <mergeCell ref="A31:E31"/>
    <mergeCell ref="A23:E23"/>
    <mergeCell ref="A25:E25"/>
    <mergeCell ref="A27:E27"/>
    <mergeCell ref="A29:E29"/>
    <mergeCell ref="A1:F1"/>
    <mergeCell ref="A17:E17"/>
    <mergeCell ref="A2:F2"/>
    <mergeCell ref="B9:F9"/>
    <mergeCell ref="A13:E13"/>
    <mergeCell ref="A15:E15"/>
  </mergeCells>
  <phoneticPr fontId="28" type="noConversion"/>
  <printOptions horizontalCentered="1"/>
  <pageMargins left="0.7" right="0.7" top="0.75" bottom="0.75" header="0.3" footer="0.3"/>
  <pageSetup paperSize="9" fitToHeight="0"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4" manualBreakCount="4">
    <brk id="24" max="5" man="1"/>
    <brk id="32" max="5" man="1"/>
    <brk id="50" max="5" man="1"/>
    <brk id="58" max="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39997558519241921"/>
  </sheetPr>
  <dimension ref="A1:P75"/>
  <sheetViews>
    <sheetView view="pageBreakPreview" topLeftCell="A56" zoomScaleNormal="90" zoomScaleSheetLayoutView="100" workbookViewId="0">
      <selection activeCell="E73" sqref="E40:E73"/>
    </sheetView>
  </sheetViews>
  <sheetFormatPr defaultColWidth="6.7109375" defaultRowHeight="14.25"/>
  <cols>
    <col min="1" max="1" width="5.7109375" style="292" customWidth="1"/>
    <col min="2" max="2" width="42.7109375" style="1" customWidth="1"/>
    <col min="3" max="3" width="8.140625" style="132" customWidth="1"/>
    <col min="4" max="4" width="8.140625" style="584" customWidth="1"/>
    <col min="5" max="5" width="10.140625" style="130" customWidth="1"/>
    <col min="6" max="6" width="10.140625" style="99" customWidth="1"/>
    <col min="7" max="7" width="15.7109375" style="1" hidden="1" customWidth="1"/>
    <col min="8" max="8" width="6.7109375" style="218" hidden="1" customWidth="1"/>
    <col min="9" max="16" width="0" style="1" hidden="1" customWidth="1"/>
    <col min="17" max="16384" width="6.7109375" style="1"/>
  </cols>
  <sheetData>
    <row r="1" spans="1:7" ht="15">
      <c r="A1" s="430"/>
      <c r="B1" s="137"/>
      <c r="C1" s="209"/>
      <c r="D1" s="578"/>
      <c r="E1" s="137"/>
      <c r="F1" s="207"/>
      <c r="G1" s="99"/>
    </row>
    <row r="2" spans="1:7">
      <c r="A2" s="638" t="s">
        <v>108</v>
      </c>
      <c r="B2" s="639"/>
      <c r="C2" s="639"/>
      <c r="D2" s="639"/>
      <c r="E2" s="639"/>
      <c r="F2" s="640"/>
    </row>
    <row r="3" spans="1:7">
      <c r="A3" s="642" t="s">
        <v>548</v>
      </c>
      <c r="B3" s="642"/>
      <c r="C3" s="642"/>
      <c r="D3" s="642"/>
      <c r="E3" s="642"/>
      <c r="F3" s="642"/>
      <c r="G3" s="414"/>
    </row>
    <row r="4" spans="1:7">
      <c r="A4" s="117" t="s">
        <v>110</v>
      </c>
      <c r="B4" s="116" t="s">
        <v>111</v>
      </c>
      <c r="C4" s="116" t="s">
        <v>112</v>
      </c>
      <c r="D4" s="579" t="s">
        <v>113</v>
      </c>
      <c r="E4" s="116" t="s">
        <v>114</v>
      </c>
      <c r="F4" s="116" t="s">
        <v>115</v>
      </c>
    </row>
    <row r="5" spans="1:7">
      <c r="A5" s="118"/>
      <c r="B5" s="105"/>
      <c r="C5" s="105"/>
      <c r="D5" s="580"/>
      <c r="E5" s="105"/>
      <c r="F5" s="105"/>
    </row>
    <row r="6" spans="1:7" ht="15.75" thickBot="1">
      <c r="A6" s="431" t="s">
        <v>75</v>
      </c>
      <c r="B6" s="644" t="s">
        <v>549</v>
      </c>
      <c r="C6" s="644"/>
      <c r="D6" s="644"/>
      <c r="E6" s="644"/>
      <c r="F6" s="644"/>
    </row>
    <row r="7" spans="1:7">
      <c r="A7" s="205"/>
      <c r="B7" s="120"/>
      <c r="C7" s="121"/>
      <c r="D7" s="90"/>
      <c r="E7" s="122"/>
      <c r="F7" s="107"/>
    </row>
    <row r="8" spans="1:7" ht="15">
      <c r="A8" s="432"/>
      <c r="B8" s="307" t="s">
        <v>81</v>
      </c>
      <c r="C8" s="124"/>
      <c r="D8" s="578"/>
      <c r="E8" s="137"/>
      <c r="F8" s="206"/>
    </row>
    <row r="9" spans="1:7" ht="15">
      <c r="A9" s="432"/>
      <c r="B9" s="307"/>
      <c r="C9" s="124"/>
      <c r="D9" s="578"/>
      <c r="E9" s="137"/>
      <c r="F9" s="206"/>
    </row>
    <row r="10" spans="1:7" ht="155.25" customHeight="1">
      <c r="A10" s="432"/>
      <c r="B10" s="656" t="s">
        <v>259</v>
      </c>
      <c r="C10" s="656"/>
      <c r="D10" s="656"/>
      <c r="E10" s="656"/>
      <c r="F10" s="206"/>
    </row>
    <row r="11" spans="1:7">
      <c r="A11" s="432"/>
      <c r="B11" s="111"/>
      <c r="C11" s="111"/>
      <c r="D11" s="82"/>
      <c r="E11" s="111"/>
      <c r="F11" s="206"/>
    </row>
    <row r="12" spans="1:7" ht="228" customHeight="1">
      <c r="A12" s="432"/>
      <c r="B12" s="656" t="s">
        <v>260</v>
      </c>
      <c r="C12" s="656"/>
      <c r="D12" s="656"/>
      <c r="E12" s="656"/>
      <c r="F12" s="206"/>
    </row>
    <row r="13" spans="1:7" ht="15" customHeight="1">
      <c r="A13" s="432"/>
      <c r="B13" s="656"/>
      <c r="C13" s="656"/>
      <c r="D13" s="656"/>
      <c r="E13" s="656"/>
      <c r="F13" s="206"/>
    </row>
    <row r="14" spans="1:7" ht="14.25" customHeight="1">
      <c r="A14" s="432"/>
      <c r="B14" s="111"/>
      <c r="C14" s="111"/>
      <c r="D14" s="82"/>
      <c r="E14" s="111"/>
      <c r="F14" s="206"/>
    </row>
    <row r="15" spans="1:7" ht="62.25" customHeight="1">
      <c r="A15" s="432"/>
      <c r="B15" s="656" t="s">
        <v>261</v>
      </c>
      <c r="C15" s="656"/>
      <c r="D15" s="656"/>
      <c r="E15" s="656"/>
      <c r="F15" s="206"/>
    </row>
    <row r="16" spans="1:7" ht="14.25" customHeight="1">
      <c r="A16" s="432"/>
      <c r="B16" s="111"/>
      <c r="C16" s="111"/>
      <c r="D16" s="82"/>
      <c r="E16" s="111"/>
      <c r="F16" s="206"/>
    </row>
    <row r="17" spans="1:16" ht="79.5" customHeight="1">
      <c r="A17" s="432"/>
      <c r="B17" s="656" t="s">
        <v>262</v>
      </c>
      <c r="C17" s="656"/>
      <c r="D17" s="656"/>
      <c r="E17" s="656"/>
      <c r="F17" s="206"/>
    </row>
    <row r="18" spans="1:16" ht="12" customHeight="1">
      <c r="A18" s="432"/>
      <c r="B18" s="657" t="s">
        <v>263</v>
      </c>
      <c r="C18" s="657"/>
      <c r="D18" s="657"/>
      <c r="E18" s="657"/>
      <c r="F18" s="206"/>
    </row>
    <row r="19" spans="1:16" ht="14.25" customHeight="1">
      <c r="A19" s="432"/>
      <c r="B19" s="111"/>
      <c r="C19" s="111"/>
      <c r="D19" s="82"/>
      <c r="E19" s="111"/>
      <c r="F19" s="206"/>
    </row>
    <row r="20" spans="1:16" ht="148.5" customHeight="1">
      <c r="A20" s="432"/>
      <c r="B20" s="656" t="s">
        <v>264</v>
      </c>
      <c r="C20" s="656"/>
      <c r="D20" s="656"/>
      <c r="E20" s="656"/>
      <c r="F20" s="206"/>
    </row>
    <row r="21" spans="1:16" ht="14.25" customHeight="1">
      <c r="A21" s="432"/>
      <c r="B21" s="111"/>
      <c r="C21" s="111"/>
      <c r="D21" s="82"/>
      <c r="E21" s="111"/>
      <c r="F21" s="206"/>
    </row>
    <row r="22" spans="1:16" ht="54" customHeight="1">
      <c r="A22" s="432"/>
      <c r="B22" s="656" t="s">
        <v>265</v>
      </c>
      <c r="C22" s="656"/>
      <c r="D22" s="656"/>
      <c r="E22" s="656"/>
      <c r="F22" s="206"/>
    </row>
    <row r="23" spans="1:16" ht="14.25" customHeight="1">
      <c r="A23" s="432"/>
      <c r="B23" s="111"/>
      <c r="C23" s="111"/>
      <c r="D23" s="82"/>
      <c r="E23" s="111"/>
      <c r="F23" s="206"/>
    </row>
    <row r="24" spans="1:16" ht="14.25" customHeight="1">
      <c r="A24" s="432"/>
      <c r="B24" s="656" t="s">
        <v>266</v>
      </c>
      <c r="C24" s="656"/>
      <c r="D24" s="656"/>
      <c r="E24" s="656"/>
      <c r="F24" s="206"/>
    </row>
    <row r="25" spans="1:16" ht="14.25" customHeight="1">
      <c r="A25" s="432"/>
      <c r="B25" s="111"/>
      <c r="C25" s="111"/>
      <c r="D25" s="82"/>
      <c r="E25" s="111"/>
      <c r="F25" s="206"/>
    </row>
    <row r="26" spans="1:16" ht="30" customHeight="1">
      <c r="A26" s="432"/>
      <c r="B26" s="656" t="s">
        <v>267</v>
      </c>
      <c r="C26" s="656"/>
      <c r="D26" s="656"/>
      <c r="E26" s="656"/>
      <c r="F26" s="206"/>
    </row>
    <row r="27" spans="1:16" ht="98.25" customHeight="1">
      <c r="A27" s="432"/>
      <c r="B27" s="656" t="s">
        <v>268</v>
      </c>
      <c r="C27" s="656"/>
      <c r="D27" s="656"/>
      <c r="E27" s="656"/>
      <c r="F27" s="206"/>
      <c r="G27" s="130"/>
    </row>
    <row r="28" spans="1:16" ht="14.25" customHeight="1">
      <c r="A28" s="433"/>
      <c r="B28" s="322"/>
      <c r="C28" s="323"/>
      <c r="D28" s="581"/>
      <c r="E28" s="108"/>
      <c r="F28" s="324"/>
      <c r="G28" s="130"/>
    </row>
    <row r="29" spans="1:16">
      <c r="A29" s="432"/>
      <c r="B29" s="291"/>
      <c r="C29" s="1"/>
      <c r="D29" s="90"/>
      <c r="E29" s="108"/>
      <c r="F29" s="100"/>
    </row>
    <row r="30" spans="1:16">
      <c r="A30" s="129" t="s">
        <v>27</v>
      </c>
      <c r="B30" s="141" t="s">
        <v>561</v>
      </c>
      <c r="C30" s="124"/>
      <c r="D30" s="90"/>
      <c r="E30" s="108"/>
      <c r="F30" s="100"/>
    </row>
    <row r="31" spans="1:16" ht="60">
      <c r="A31" s="434"/>
      <c r="B31" s="328" t="s">
        <v>551</v>
      </c>
      <c r="C31" s="325"/>
      <c r="D31" s="582"/>
      <c r="E31" s="108"/>
      <c r="F31" s="100"/>
      <c r="G31" s="655"/>
      <c r="H31" s="655"/>
      <c r="I31" s="655"/>
      <c r="J31" s="655"/>
      <c r="K31" s="655"/>
      <c r="L31" s="655"/>
      <c r="M31" s="655"/>
      <c r="N31" s="655"/>
      <c r="O31" s="655"/>
      <c r="P31" s="655"/>
    </row>
    <row r="32" spans="1:16" ht="36">
      <c r="A32" s="435" t="s">
        <v>234</v>
      </c>
      <c r="B32" s="328" t="s">
        <v>565</v>
      </c>
      <c r="C32" s="325"/>
      <c r="D32" s="582"/>
      <c r="E32" s="108"/>
      <c r="F32" s="100"/>
      <c r="G32" s="655"/>
      <c r="H32" s="655"/>
      <c r="I32" s="655"/>
      <c r="J32" s="655"/>
      <c r="K32" s="655"/>
      <c r="L32" s="655"/>
      <c r="M32" s="655"/>
      <c r="N32" s="655"/>
      <c r="O32" s="655"/>
      <c r="P32" s="655"/>
    </row>
    <row r="33" spans="1:16">
      <c r="A33" s="435" t="s">
        <v>235</v>
      </c>
      <c r="B33" s="328" t="s">
        <v>552</v>
      </c>
      <c r="C33" s="325"/>
      <c r="D33" s="582"/>
      <c r="E33" s="108"/>
      <c r="F33" s="100"/>
      <c r="G33" s="655"/>
      <c r="H33" s="655"/>
      <c r="I33" s="655"/>
      <c r="J33" s="655"/>
      <c r="K33" s="655"/>
      <c r="L33" s="655"/>
      <c r="M33" s="655"/>
      <c r="N33" s="655"/>
      <c r="O33" s="655"/>
      <c r="P33" s="655"/>
    </row>
    <row r="34" spans="1:16" ht="24">
      <c r="A34" s="435" t="s">
        <v>236</v>
      </c>
      <c r="B34" s="328" t="s">
        <v>553</v>
      </c>
      <c r="C34" s="325"/>
      <c r="D34" s="582"/>
      <c r="E34" s="108"/>
      <c r="F34" s="100"/>
      <c r="G34" s="655"/>
      <c r="H34" s="655"/>
      <c r="I34" s="655"/>
      <c r="J34" s="655"/>
      <c r="K34" s="655"/>
      <c r="L34" s="655"/>
      <c r="M34" s="655"/>
      <c r="N34" s="655"/>
      <c r="O34" s="655"/>
      <c r="P34" s="655"/>
    </row>
    <row r="35" spans="1:16" ht="36">
      <c r="A35" s="435" t="s">
        <v>237</v>
      </c>
      <c r="B35" s="328" t="s">
        <v>554</v>
      </c>
      <c r="C35" s="325"/>
      <c r="D35" s="582"/>
      <c r="E35" s="108"/>
      <c r="F35" s="100"/>
      <c r="G35" s="655"/>
      <c r="H35" s="655"/>
      <c r="I35" s="655"/>
      <c r="J35" s="655"/>
      <c r="K35" s="655"/>
      <c r="L35" s="655"/>
      <c r="M35" s="655"/>
      <c r="N35" s="655"/>
      <c r="O35" s="655"/>
      <c r="P35" s="655"/>
    </row>
    <row r="36" spans="1:16" ht="24">
      <c r="A36" s="435" t="s">
        <v>238</v>
      </c>
      <c r="B36" s="328" t="s">
        <v>555</v>
      </c>
      <c r="C36" s="325"/>
      <c r="D36" s="582"/>
      <c r="E36" s="108"/>
      <c r="F36" s="100"/>
      <c r="G36" s="655"/>
      <c r="H36" s="655"/>
      <c r="I36" s="655"/>
      <c r="J36" s="655"/>
      <c r="K36" s="655"/>
      <c r="L36" s="655"/>
      <c r="M36" s="655"/>
      <c r="N36" s="655"/>
      <c r="O36" s="655"/>
      <c r="P36" s="655"/>
    </row>
    <row r="37" spans="1:16" ht="40.15" customHeight="1">
      <c r="A37" s="435" t="s">
        <v>300</v>
      </c>
      <c r="B37" s="328" t="s">
        <v>556</v>
      </c>
      <c r="C37" s="325"/>
      <c r="D37" s="582"/>
      <c r="E37" s="108"/>
      <c r="F37" s="100"/>
      <c r="G37" s="655"/>
      <c r="H37" s="655"/>
      <c r="I37" s="655"/>
      <c r="J37" s="655"/>
      <c r="K37" s="655"/>
      <c r="L37" s="655"/>
      <c r="M37" s="655"/>
      <c r="N37" s="655"/>
      <c r="O37" s="655"/>
      <c r="P37" s="655"/>
    </row>
    <row r="38" spans="1:16" ht="48">
      <c r="A38" s="435" t="s">
        <v>303</v>
      </c>
      <c r="B38" s="328" t="s">
        <v>557</v>
      </c>
      <c r="C38" s="325"/>
      <c r="D38" s="196"/>
      <c r="E38" s="108"/>
      <c r="F38" s="109"/>
      <c r="G38" s="130"/>
    </row>
    <row r="39" spans="1:16" ht="24">
      <c r="A39" s="432"/>
      <c r="B39" s="110" t="s">
        <v>270</v>
      </c>
      <c r="C39" s="137"/>
      <c r="D39" s="90"/>
      <c r="E39" s="108"/>
      <c r="F39" s="100"/>
    </row>
    <row r="40" spans="1:16">
      <c r="A40" s="432"/>
      <c r="B40" s="316" t="s">
        <v>558</v>
      </c>
      <c r="C40" s="112" t="s">
        <v>148</v>
      </c>
      <c r="D40" s="90">
        <v>12</v>
      </c>
      <c r="E40" s="108"/>
      <c r="F40" s="197">
        <f>D40*E40</f>
        <v>0</v>
      </c>
    </row>
    <row r="41" spans="1:16">
      <c r="A41" s="432"/>
      <c r="B41" s="291"/>
      <c r="C41" s="1"/>
      <c r="D41" s="90"/>
      <c r="E41" s="108"/>
      <c r="F41" s="100"/>
    </row>
    <row r="42" spans="1:16">
      <c r="A42" s="129" t="s">
        <v>29</v>
      </c>
      <c r="B42" s="141" t="s">
        <v>560</v>
      </c>
      <c r="C42" s="124"/>
      <c r="D42" s="90"/>
      <c r="E42" s="108"/>
      <c r="F42" s="100"/>
    </row>
    <row r="43" spans="1:16" ht="60">
      <c r="A43" s="434"/>
      <c r="B43" s="328" t="s">
        <v>551</v>
      </c>
      <c r="C43" s="325"/>
      <c r="D43" s="582"/>
      <c r="E43" s="108"/>
      <c r="F43" s="100"/>
      <c r="G43" s="654"/>
      <c r="H43" s="655"/>
      <c r="I43" s="655"/>
      <c r="J43" s="655"/>
      <c r="K43" s="655"/>
      <c r="L43" s="655"/>
      <c r="M43" s="655"/>
      <c r="N43" s="655"/>
    </row>
    <row r="44" spans="1:16" ht="36">
      <c r="A44" s="435" t="s">
        <v>234</v>
      </c>
      <c r="B44" s="328" t="s">
        <v>565</v>
      </c>
      <c r="C44" s="325"/>
      <c r="D44" s="582"/>
      <c r="E44" s="108"/>
      <c r="F44" s="100"/>
      <c r="G44" s="655"/>
      <c r="H44" s="655"/>
      <c r="I44" s="655"/>
      <c r="J44" s="655"/>
      <c r="K44" s="655"/>
      <c r="L44" s="655"/>
      <c r="M44" s="655"/>
      <c r="N44" s="655"/>
    </row>
    <row r="45" spans="1:16">
      <c r="A45" s="435" t="s">
        <v>235</v>
      </c>
      <c r="B45" s="328" t="s">
        <v>552</v>
      </c>
      <c r="C45" s="325"/>
      <c r="D45" s="582"/>
      <c r="E45" s="108"/>
      <c r="F45" s="100"/>
      <c r="G45" s="655"/>
      <c r="H45" s="655"/>
      <c r="I45" s="655"/>
      <c r="J45" s="655"/>
      <c r="K45" s="655"/>
      <c r="L45" s="655"/>
      <c r="M45" s="655"/>
      <c r="N45" s="655"/>
    </row>
    <row r="46" spans="1:16" ht="24">
      <c r="A46" s="435" t="s">
        <v>236</v>
      </c>
      <c r="B46" s="328" t="s">
        <v>553</v>
      </c>
      <c r="C46" s="325"/>
      <c r="D46" s="582"/>
      <c r="E46" s="108"/>
      <c r="F46" s="100"/>
      <c r="G46" s="655"/>
      <c r="H46" s="655"/>
      <c r="I46" s="655"/>
      <c r="J46" s="655"/>
      <c r="K46" s="655"/>
      <c r="L46" s="655"/>
      <c r="M46" s="655"/>
      <c r="N46" s="655"/>
    </row>
    <row r="47" spans="1:16" ht="24">
      <c r="A47" s="435" t="s">
        <v>237</v>
      </c>
      <c r="B47" s="328" t="s">
        <v>555</v>
      </c>
      <c r="C47" s="325"/>
      <c r="D47" s="582"/>
      <c r="E47" s="108"/>
      <c r="F47" s="100"/>
      <c r="G47" s="655"/>
      <c r="H47" s="655"/>
      <c r="I47" s="655"/>
      <c r="J47" s="655"/>
      <c r="K47" s="655"/>
      <c r="L47" s="655"/>
      <c r="M47" s="655"/>
      <c r="N47" s="655"/>
    </row>
    <row r="48" spans="1:16" ht="48">
      <c r="A48" s="435" t="s">
        <v>238</v>
      </c>
      <c r="B48" s="328" t="s">
        <v>556</v>
      </c>
      <c r="C48" s="325"/>
      <c r="D48" s="582"/>
      <c r="E48" s="108"/>
      <c r="F48" s="100"/>
    </row>
    <row r="49" spans="1:8" ht="48">
      <c r="A49" s="435" t="s">
        <v>300</v>
      </c>
      <c r="B49" s="328" t="s">
        <v>557</v>
      </c>
      <c r="C49" s="325"/>
      <c r="D49" s="196"/>
      <c r="E49" s="108"/>
      <c r="F49" s="109"/>
    </row>
    <row r="50" spans="1:8" ht="24">
      <c r="A50" s="432"/>
      <c r="B50" s="110" t="s">
        <v>270</v>
      </c>
      <c r="C50" s="137"/>
      <c r="D50" s="90"/>
      <c r="E50" s="108"/>
      <c r="F50" s="100"/>
      <c r="G50" s="380"/>
    </row>
    <row r="51" spans="1:8">
      <c r="A51" s="432"/>
      <c r="B51" s="316" t="s">
        <v>559</v>
      </c>
      <c r="C51" s="112" t="s">
        <v>148</v>
      </c>
      <c r="D51" s="90">
        <v>54</v>
      </c>
      <c r="E51" s="108"/>
      <c r="F51" s="197">
        <f>D51*E51</f>
        <v>0</v>
      </c>
    </row>
    <row r="52" spans="1:8">
      <c r="A52" s="432"/>
      <c r="B52" s="291"/>
      <c r="C52" s="1"/>
      <c r="D52" s="90"/>
      <c r="E52" s="108"/>
      <c r="F52" s="100"/>
    </row>
    <row r="53" spans="1:8">
      <c r="A53" s="129" t="s">
        <v>138</v>
      </c>
      <c r="B53" s="141" t="s">
        <v>562</v>
      </c>
      <c r="C53" s="124"/>
      <c r="D53" s="90"/>
      <c r="E53" s="108"/>
      <c r="F53" s="100"/>
    </row>
    <row r="54" spans="1:8" ht="60">
      <c r="A54" s="434"/>
      <c r="B54" s="328" t="s">
        <v>564</v>
      </c>
      <c r="C54" s="325"/>
      <c r="D54" s="582"/>
      <c r="E54" s="108"/>
      <c r="F54" s="100"/>
      <c r="H54" s="1"/>
    </row>
    <row r="55" spans="1:8" ht="36">
      <c r="A55" s="435" t="s">
        <v>234</v>
      </c>
      <c r="B55" s="328" t="s">
        <v>566</v>
      </c>
      <c r="C55" s="325"/>
      <c r="D55" s="582"/>
      <c r="E55" s="108"/>
      <c r="F55" s="100"/>
      <c r="H55" s="1"/>
    </row>
    <row r="56" spans="1:8">
      <c r="A56" s="435" t="s">
        <v>235</v>
      </c>
      <c r="B56" s="328" t="s">
        <v>552</v>
      </c>
      <c r="C56" s="325"/>
      <c r="D56" s="582"/>
      <c r="E56" s="108"/>
      <c r="F56" s="100"/>
      <c r="H56" s="1"/>
    </row>
    <row r="57" spans="1:8" ht="24">
      <c r="A57" s="435" t="s">
        <v>236</v>
      </c>
      <c r="B57" s="328" t="s">
        <v>553</v>
      </c>
      <c r="C57" s="325"/>
      <c r="D57" s="582"/>
      <c r="E57" s="108"/>
      <c r="F57" s="100"/>
      <c r="H57" s="1"/>
    </row>
    <row r="58" spans="1:8" ht="24">
      <c r="A58" s="435" t="s">
        <v>237</v>
      </c>
      <c r="B58" s="328" t="s">
        <v>555</v>
      </c>
      <c r="C58" s="325"/>
      <c r="D58" s="582"/>
      <c r="E58" s="108"/>
      <c r="F58" s="100"/>
      <c r="H58" s="1"/>
    </row>
    <row r="59" spans="1:8" ht="40.15" customHeight="1">
      <c r="A59" s="435" t="s">
        <v>238</v>
      </c>
      <c r="B59" s="328" t="s">
        <v>556</v>
      </c>
      <c r="C59" s="325"/>
      <c r="D59" s="582"/>
      <c r="E59" s="108"/>
      <c r="F59" s="100"/>
    </row>
    <row r="60" spans="1:8" ht="48">
      <c r="A60" s="435" t="s">
        <v>300</v>
      </c>
      <c r="B60" s="328" t="s">
        <v>557</v>
      </c>
      <c r="C60" s="325"/>
      <c r="D60" s="196"/>
      <c r="E60" s="108"/>
      <c r="F60" s="109"/>
    </row>
    <row r="61" spans="1:8" ht="24">
      <c r="A61" s="432"/>
      <c r="B61" s="110" t="s">
        <v>270</v>
      </c>
      <c r="C61" s="137"/>
      <c r="D61" s="90"/>
      <c r="E61" s="108"/>
      <c r="F61" s="100"/>
      <c r="G61" s="380"/>
    </row>
    <row r="62" spans="1:8">
      <c r="A62" s="432"/>
      <c r="B62" s="316" t="s">
        <v>563</v>
      </c>
      <c r="C62" s="112" t="s">
        <v>148</v>
      </c>
      <c r="D62" s="90">
        <v>3</v>
      </c>
      <c r="E62" s="108"/>
      <c r="F62" s="197">
        <f>D62*E62</f>
        <v>0</v>
      </c>
    </row>
    <row r="63" spans="1:8">
      <c r="A63" s="432"/>
      <c r="B63" s="291"/>
      <c r="C63" s="1"/>
      <c r="D63" s="90"/>
      <c r="E63" s="108"/>
      <c r="F63" s="100"/>
    </row>
    <row r="64" spans="1:8">
      <c r="A64" s="129" t="s">
        <v>142</v>
      </c>
      <c r="B64" s="141" t="s">
        <v>567</v>
      </c>
      <c r="C64" s="124"/>
      <c r="D64" s="90"/>
      <c r="E64" s="108"/>
      <c r="F64" s="100"/>
    </row>
    <row r="65" spans="1:7" ht="60">
      <c r="A65" s="434"/>
      <c r="B65" s="328" t="s">
        <v>569</v>
      </c>
      <c r="C65" s="325"/>
      <c r="D65" s="582"/>
      <c r="E65" s="108"/>
      <c r="F65" s="100"/>
      <c r="G65" s="375"/>
    </row>
    <row r="66" spans="1:7" ht="24">
      <c r="A66" s="435" t="s">
        <v>234</v>
      </c>
      <c r="B66" s="328" t="s">
        <v>571</v>
      </c>
      <c r="C66" s="325"/>
      <c r="D66" s="582"/>
      <c r="E66" s="108"/>
      <c r="F66" s="100"/>
    </row>
    <row r="67" spans="1:7" ht="36">
      <c r="A67" s="435" t="s">
        <v>235</v>
      </c>
      <c r="B67" s="328" t="s">
        <v>570</v>
      </c>
      <c r="C67" s="325"/>
      <c r="D67" s="582"/>
      <c r="E67" s="108"/>
      <c r="F67" s="100"/>
    </row>
    <row r="68" spans="1:7" ht="24">
      <c r="A68" s="435" t="s">
        <v>236</v>
      </c>
      <c r="B68" s="328" t="s">
        <v>572</v>
      </c>
      <c r="C68" s="325"/>
      <c r="D68" s="582"/>
      <c r="E68" s="108"/>
      <c r="F68" s="100"/>
    </row>
    <row r="69" spans="1:7" ht="40.15" customHeight="1">
      <c r="A69" s="435" t="s">
        <v>237</v>
      </c>
      <c r="B69" s="328" t="s">
        <v>556</v>
      </c>
      <c r="C69" s="325"/>
      <c r="D69" s="582"/>
      <c r="E69" s="108"/>
      <c r="F69" s="100"/>
    </row>
    <row r="70" spans="1:7" ht="48">
      <c r="A70" s="435" t="s">
        <v>238</v>
      </c>
      <c r="B70" s="328" t="s">
        <v>271</v>
      </c>
      <c r="C70" s="325"/>
      <c r="D70" s="582"/>
      <c r="E70" s="108"/>
      <c r="F70" s="100"/>
    </row>
    <row r="71" spans="1:7" ht="75" customHeight="1">
      <c r="A71" s="432"/>
      <c r="B71" s="110" t="s">
        <v>272</v>
      </c>
      <c r="C71" s="124"/>
      <c r="D71" s="90"/>
      <c r="E71" s="108"/>
      <c r="F71" s="100"/>
    </row>
    <row r="72" spans="1:7" ht="24">
      <c r="A72" s="432"/>
      <c r="B72" s="110" t="s">
        <v>270</v>
      </c>
      <c r="C72" s="137"/>
      <c r="D72" s="90"/>
      <c r="E72" s="108"/>
      <c r="F72" s="100"/>
    </row>
    <row r="73" spans="1:7">
      <c r="A73" s="585"/>
      <c r="B73" s="586" t="s">
        <v>568</v>
      </c>
      <c r="C73" s="124" t="s">
        <v>148</v>
      </c>
      <c r="D73" s="383">
        <v>6</v>
      </c>
      <c r="E73" s="363"/>
      <c r="F73" s="391">
        <f>D73*E73</f>
        <v>0</v>
      </c>
    </row>
    <row r="74" spans="1:7" ht="15" thickBot="1">
      <c r="A74" s="432"/>
      <c r="B74" s="291"/>
      <c r="C74" s="1"/>
      <c r="D74" s="90"/>
      <c r="E74" s="108"/>
      <c r="F74" s="100"/>
    </row>
    <row r="75" spans="1:7" ht="15" thickBot="1">
      <c r="A75" s="470" t="s">
        <v>59</v>
      </c>
      <c r="B75" s="471" t="s">
        <v>550</v>
      </c>
      <c r="C75" s="472"/>
      <c r="D75" s="583"/>
      <c r="E75" s="473" t="s">
        <v>28</v>
      </c>
      <c r="F75" s="474">
        <f>SUM(F40:P73)</f>
        <v>0</v>
      </c>
    </row>
  </sheetData>
  <mergeCells count="16">
    <mergeCell ref="B13:E13"/>
    <mergeCell ref="B24:E24"/>
    <mergeCell ref="B26:E26"/>
    <mergeCell ref="B22:E22"/>
    <mergeCell ref="A2:F2"/>
    <mergeCell ref="A3:F3"/>
    <mergeCell ref="B6:F6"/>
    <mergeCell ref="B10:E10"/>
    <mergeCell ref="B12:E12"/>
    <mergeCell ref="G43:N47"/>
    <mergeCell ref="B27:E27"/>
    <mergeCell ref="B15:E15"/>
    <mergeCell ref="B17:E17"/>
    <mergeCell ref="B18:E18"/>
    <mergeCell ref="B20:E20"/>
    <mergeCell ref="G31:P37"/>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5" manualBreakCount="5">
    <brk id="17" max="5" man="1"/>
    <brk id="29" max="5" man="1"/>
    <brk id="41" max="5" man="1"/>
    <brk id="52" max="5" man="1"/>
    <brk id="63" max="5"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H55"/>
  <sheetViews>
    <sheetView view="pageBreakPreview" topLeftCell="A31" zoomScaleNormal="90" zoomScaleSheetLayoutView="100" workbookViewId="0">
      <selection activeCell="H30" sqref="H30"/>
    </sheetView>
  </sheetViews>
  <sheetFormatPr defaultColWidth="9.28515625" defaultRowHeight="14.25"/>
  <cols>
    <col min="1" max="1" width="5.5703125" style="1" customWidth="1"/>
    <col min="2" max="2" width="42" style="1" customWidth="1"/>
    <col min="3" max="3" width="7.5703125" style="132" customWidth="1"/>
    <col min="4" max="4" width="10.5703125" style="133" customWidth="1"/>
    <col min="5" max="5" width="10.5703125" style="1" customWidth="1"/>
    <col min="6" max="6" width="10.5703125" style="99" customWidth="1"/>
    <col min="7" max="7" width="9.28515625" style="1"/>
    <col min="8" max="8" width="34" style="1" customWidth="1"/>
    <col min="9" max="16384" width="9.28515625" style="1"/>
  </cols>
  <sheetData>
    <row r="1" spans="1:7">
      <c r="A1" s="142"/>
      <c r="B1" s="142"/>
      <c r="C1" s="142"/>
      <c r="D1" s="142"/>
      <c r="E1" s="142"/>
      <c r="F1" s="142"/>
      <c r="G1" s="99"/>
    </row>
    <row r="2" spans="1:7">
      <c r="A2" s="658" t="s">
        <v>108</v>
      </c>
      <c r="B2" s="659"/>
      <c r="C2" s="659"/>
      <c r="D2" s="659"/>
      <c r="E2" s="659"/>
      <c r="F2" s="660"/>
    </row>
    <row r="3" spans="1:7">
      <c r="A3" s="661" t="s">
        <v>273</v>
      </c>
      <c r="B3" s="661"/>
      <c r="C3" s="661"/>
      <c r="D3" s="661"/>
      <c r="E3" s="661"/>
      <c r="F3" s="661"/>
    </row>
    <row r="4" spans="1:7">
      <c r="A4" s="116" t="s">
        <v>110</v>
      </c>
      <c r="B4" s="116" t="s">
        <v>111</v>
      </c>
      <c r="C4" s="116" t="s">
        <v>112</v>
      </c>
      <c r="D4" s="117" t="s">
        <v>113</v>
      </c>
      <c r="E4" s="116" t="s">
        <v>114</v>
      </c>
      <c r="F4" s="116" t="s">
        <v>115</v>
      </c>
    </row>
    <row r="5" spans="1:7">
      <c r="A5" s="105"/>
      <c r="B5" s="105"/>
      <c r="C5" s="105"/>
      <c r="D5" s="118"/>
      <c r="E5" s="105"/>
      <c r="F5" s="105"/>
    </row>
    <row r="6" spans="1:7">
      <c r="A6" s="105"/>
      <c r="B6" s="105"/>
      <c r="C6" s="105"/>
      <c r="D6" s="118"/>
      <c r="E6" s="105"/>
      <c r="F6" s="105"/>
    </row>
    <row r="7" spans="1:7" ht="15.75" thickBot="1">
      <c r="A7" s="106" t="s">
        <v>60</v>
      </c>
      <c r="B7" s="644" t="s">
        <v>274</v>
      </c>
      <c r="C7" s="644"/>
      <c r="D7" s="644"/>
      <c r="E7" s="644"/>
      <c r="F7" s="644"/>
    </row>
    <row r="8" spans="1:7">
      <c r="A8" s="119"/>
      <c r="B8" s="120"/>
      <c r="C8" s="121"/>
      <c r="D8" s="84"/>
      <c r="E8" s="122"/>
      <c r="F8" s="107"/>
    </row>
    <row r="9" spans="1:7" ht="15">
      <c r="A9" s="114"/>
      <c r="B9" s="123" t="s">
        <v>81</v>
      </c>
      <c r="C9" s="124"/>
      <c r="D9" s="125"/>
      <c r="E9" s="85"/>
      <c r="F9" s="126"/>
    </row>
    <row r="10" spans="1:7" ht="15">
      <c r="A10" s="114"/>
      <c r="B10" s="123"/>
      <c r="C10" s="124"/>
      <c r="D10" s="125"/>
      <c r="E10" s="85"/>
      <c r="F10" s="126"/>
    </row>
    <row r="11" spans="1:7" ht="132" customHeight="1">
      <c r="A11" s="114"/>
      <c r="B11" s="656" t="s">
        <v>275</v>
      </c>
      <c r="C11" s="656"/>
      <c r="D11" s="656"/>
      <c r="E11" s="656"/>
      <c r="F11" s="126"/>
    </row>
    <row r="12" spans="1:7">
      <c r="A12" s="114"/>
      <c r="B12" s="127"/>
      <c r="C12" s="127"/>
      <c r="D12" s="128"/>
      <c r="E12" s="127"/>
      <c r="F12" s="126"/>
    </row>
    <row r="13" spans="1:7" ht="154.5" customHeight="1">
      <c r="A13" s="114"/>
      <c r="B13" s="656" t="s">
        <v>276</v>
      </c>
      <c r="C13" s="656"/>
      <c r="D13" s="656"/>
      <c r="E13" s="656"/>
      <c r="F13" s="126"/>
    </row>
    <row r="14" spans="1:7">
      <c r="A14" s="114"/>
      <c r="B14" s="111"/>
      <c r="C14" s="111"/>
      <c r="D14" s="129"/>
      <c r="E14" s="111"/>
      <c r="F14" s="126"/>
    </row>
    <row r="15" spans="1:7" ht="24.75" customHeight="1">
      <c r="A15" s="114"/>
      <c r="B15" s="656" t="s">
        <v>277</v>
      </c>
      <c r="C15" s="656"/>
      <c r="D15" s="656"/>
      <c r="E15" s="656"/>
      <c r="F15" s="126"/>
    </row>
    <row r="16" spans="1:7">
      <c r="A16" s="114"/>
      <c r="B16" s="111"/>
      <c r="C16" s="111"/>
      <c r="D16" s="129"/>
      <c r="E16" s="111"/>
      <c r="F16" s="126"/>
    </row>
    <row r="17" spans="1:6" ht="60.75" customHeight="1">
      <c r="A17" s="114"/>
      <c r="B17" s="656" t="s">
        <v>278</v>
      </c>
      <c r="C17" s="662"/>
      <c r="D17" s="662"/>
      <c r="E17" s="662"/>
      <c r="F17" s="126"/>
    </row>
    <row r="18" spans="1:6">
      <c r="A18" s="114"/>
      <c r="B18" s="127"/>
      <c r="C18" s="127"/>
      <c r="D18" s="128"/>
      <c r="E18" s="127"/>
      <c r="F18" s="126"/>
    </row>
    <row r="19" spans="1:6" ht="84.75" customHeight="1">
      <c r="A19" s="114"/>
      <c r="B19" s="656" t="s">
        <v>279</v>
      </c>
      <c r="C19" s="656"/>
      <c r="D19" s="656"/>
      <c r="E19" s="656"/>
      <c r="F19" s="126"/>
    </row>
    <row r="20" spans="1:6">
      <c r="A20" s="114"/>
      <c r="B20" s="111"/>
      <c r="C20" s="127"/>
      <c r="D20" s="128"/>
      <c r="E20" s="127"/>
      <c r="F20" s="126"/>
    </row>
    <row r="21" spans="1:6" ht="12" customHeight="1">
      <c r="A21" s="114"/>
      <c r="B21" s="657" t="s">
        <v>280</v>
      </c>
      <c r="C21" s="657"/>
      <c r="D21" s="657"/>
      <c r="E21" s="657"/>
      <c r="F21" s="126"/>
    </row>
    <row r="22" spans="1:6">
      <c r="A22" s="114"/>
      <c r="B22" s="127"/>
      <c r="C22" s="127"/>
      <c r="D22" s="128"/>
      <c r="E22" s="127"/>
      <c r="F22" s="126"/>
    </row>
    <row r="23" spans="1:6" ht="51.75" customHeight="1">
      <c r="A23" s="114"/>
      <c r="B23" s="656" t="s">
        <v>281</v>
      </c>
      <c r="C23" s="656"/>
      <c r="D23" s="656"/>
      <c r="E23" s="656"/>
      <c r="F23" s="126"/>
    </row>
    <row r="24" spans="1:6">
      <c r="A24" s="114"/>
      <c r="B24" s="111"/>
      <c r="C24" s="111"/>
      <c r="D24" s="129"/>
      <c r="E24" s="111"/>
      <c r="F24" s="126"/>
    </row>
    <row r="25" spans="1:6" ht="126" customHeight="1">
      <c r="A25" s="114"/>
      <c r="B25" s="656" t="s">
        <v>282</v>
      </c>
      <c r="C25" s="656"/>
      <c r="D25" s="656"/>
      <c r="E25" s="656"/>
      <c r="F25" s="126"/>
    </row>
    <row r="26" spans="1:6">
      <c r="A26" s="114"/>
      <c r="B26" s="111"/>
      <c r="C26" s="111"/>
      <c r="D26" s="129"/>
      <c r="E26" s="111"/>
      <c r="F26" s="126"/>
    </row>
    <row r="27" spans="1:6" ht="84.75" customHeight="1">
      <c r="A27" s="114"/>
      <c r="B27" s="656" t="s">
        <v>283</v>
      </c>
      <c r="C27" s="656"/>
      <c r="D27" s="656"/>
      <c r="E27" s="656"/>
      <c r="F27" s="126"/>
    </row>
    <row r="28" spans="1:6">
      <c r="A28" s="114"/>
      <c r="B28" s="127"/>
      <c r="C28" s="127"/>
      <c r="D28" s="128"/>
      <c r="E28" s="127"/>
      <c r="F28" s="126"/>
    </row>
    <row r="29" spans="1:6" ht="48.75" customHeight="1">
      <c r="A29" s="114"/>
      <c r="B29" s="656" t="s">
        <v>284</v>
      </c>
      <c r="C29" s="656"/>
      <c r="D29" s="656"/>
      <c r="E29" s="656"/>
      <c r="F29" s="126"/>
    </row>
    <row r="30" spans="1:6">
      <c r="A30" s="114"/>
      <c r="B30" s="111"/>
      <c r="C30" s="111"/>
      <c r="D30" s="129"/>
      <c r="E30" s="111"/>
      <c r="F30" s="126"/>
    </row>
    <row r="31" spans="1:6" ht="60.75" customHeight="1">
      <c r="A31" s="114"/>
      <c r="B31" s="656" t="s">
        <v>285</v>
      </c>
      <c r="C31" s="656"/>
      <c r="D31" s="656"/>
      <c r="E31" s="656"/>
      <c r="F31" s="126"/>
    </row>
    <row r="32" spans="1:6">
      <c r="A32" s="114"/>
      <c r="B32" s="111"/>
      <c r="C32" s="111"/>
      <c r="D32" s="129"/>
      <c r="E32" s="111"/>
      <c r="F32" s="126"/>
    </row>
    <row r="33" spans="1:8" ht="24.75" customHeight="1">
      <c r="A33" s="114"/>
      <c r="B33" s="656" t="s">
        <v>267</v>
      </c>
      <c r="C33" s="656"/>
      <c r="D33" s="656"/>
      <c r="E33" s="656"/>
      <c r="F33" s="126"/>
    </row>
    <row r="34" spans="1:8">
      <c r="A34" s="114"/>
      <c r="B34" s="111"/>
      <c r="C34" s="111"/>
      <c r="D34" s="129"/>
      <c r="E34" s="111"/>
      <c r="F34" s="126"/>
    </row>
    <row r="35" spans="1:8" ht="83.25" customHeight="1">
      <c r="A35" s="114"/>
      <c r="B35" s="656" t="s">
        <v>286</v>
      </c>
      <c r="C35" s="656"/>
      <c r="D35" s="656"/>
      <c r="E35" s="656"/>
      <c r="F35" s="126"/>
      <c r="G35" s="130"/>
    </row>
    <row r="36" spans="1:8">
      <c r="A36" s="114"/>
      <c r="B36" s="111"/>
      <c r="C36" s="111"/>
      <c r="D36" s="111"/>
      <c r="E36" s="111"/>
      <c r="F36" s="126"/>
      <c r="G36" s="130"/>
    </row>
    <row r="37" spans="1:8">
      <c r="A37" s="114"/>
      <c r="B37" s="111"/>
      <c r="C37" s="111"/>
      <c r="D37" s="111"/>
      <c r="E37" s="111"/>
      <c r="F37" s="126"/>
      <c r="G37" s="130"/>
    </row>
    <row r="38" spans="1:8">
      <c r="A38" s="110" t="s">
        <v>27</v>
      </c>
      <c r="B38" s="141" t="s">
        <v>287</v>
      </c>
      <c r="C38" s="113"/>
      <c r="D38" s="136"/>
      <c r="E38" s="108"/>
      <c r="F38" s="91"/>
      <c r="G38" s="130"/>
    </row>
    <row r="39" spans="1:8" ht="48">
      <c r="A39" s="110"/>
      <c r="B39" s="82" t="s">
        <v>288</v>
      </c>
      <c r="C39" s="113"/>
      <c r="D39" s="136"/>
      <c r="E39" s="108"/>
      <c r="F39" s="91"/>
      <c r="G39" s="130"/>
    </row>
    <row r="40" spans="1:8" ht="183">
      <c r="A40" s="114"/>
      <c r="B40" s="82" t="s">
        <v>289</v>
      </c>
      <c r="C40" s="113"/>
      <c r="D40" s="136"/>
      <c r="E40" s="108"/>
      <c r="F40" s="91"/>
      <c r="G40" s="130"/>
    </row>
    <row r="41" spans="1:8" ht="63.75" customHeight="1">
      <c r="A41" s="114"/>
      <c r="B41" s="82" t="s">
        <v>290</v>
      </c>
      <c r="C41" s="90"/>
      <c r="D41" s="84"/>
      <c r="E41" s="108"/>
      <c r="F41" s="109"/>
      <c r="G41" s="130"/>
    </row>
    <row r="42" spans="1:8" ht="26.25" customHeight="1">
      <c r="A42" s="114"/>
      <c r="B42" s="115" t="s">
        <v>291</v>
      </c>
      <c r="C42" s="90"/>
      <c r="D42" s="84"/>
      <c r="E42" s="108"/>
      <c r="F42" s="109"/>
      <c r="G42" s="130"/>
    </row>
    <row r="43" spans="1:8" ht="15" customHeight="1">
      <c r="A43" s="114"/>
      <c r="B43" s="115" t="s">
        <v>292</v>
      </c>
      <c r="C43" s="90"/>
      <c r="D43" s="84"/>
      <c r="E43" s="108"/>
      <c r="F43" s="109"/>
      <c r="G43" s="130"/>
    </row>
    <row r="44" spans="1:8">
      <c r="A44" s="114"/>
      <c r="B44" s="115" t="s">
        <v>293</v>
      </c>
      <c r="C44" s="90"/>
      <c r="D44" s="84"/>
      <c r="E44" s="108"/>
      <c r="F44" s="109"/>
      <c r="G44" s="130"/>
    </row>
    <row r="45" spans="1:8">
      <c r="A45" s="114"/>
      <c r="B45" s="90" t="s">
        <v>294</v>
      </c>
      <c r="C45" s="90" t="s">
        <v>148</v>
      </c>
      <c r="D45" s="138">
        <v>4</v>
      </c>
      <c r="E45" s="108">
        <v>4500</v>
      </c>
      <c r="F45" s="100">
        <f>D45*E45</f>
        <v>18000</v>
      </c>
      <c r="G45" s="130"/>
      <c r="H45" s="150"/>
    </row>
    <row r="46" spans="1:8">
      <c r="A46" s="114"/>
      <c r="B46" s="82"/>
      <c r="C46" s="112"/>
      <c r="D46" s="84"/>
      <c r="E46" s="108"/>
      <c r="F46" s="139"/>
      <c r="G46" s="130"/>
    </row>
    <row r="47" spans="1:8" ht="15" thickBot="1">
      <c r="A47" s="145"/>
      <c r="B47" s="148"/>
      <c r="C47" s="149"/>
      <c r="D47" s="146"/>
      <c r="E47" s="144"/>
      <c r="F47" s="147"/>
      <c r="G47" s="130"/>
    </row>
    <row r="48" spans="1:8" ht="15.75" thickBot="1">
      <c r="A48" s="101" t="s">
        <v>60</v>
      </c>
      <c r="B48" s="102" t="s">
        <v>295</v>
      </c>
      <c r="C48" s="135"/>
      <c r="D48" s="103"/>
      <c r="E48" s="104" t="s">
        <v>296</v>
      </c>
      <c r="F48" s="151">
        <f>F45</f>
        <v>18000</v>
      </c>
    </row>
    <row r="50" spans="2:4">
      <c r="D50" s="138"/>
    </row>
    <row r="52" spans="2:4">
      <c r="B52" s="131"/>
    </row>
    <row r="53" spans="2:4">
      <c r="B53" s="131"/>
    </row>
    <row r="54" spans="2:4">
      <c r="D54" s="134"/>
    </row>
    <row r="55" spans="2:4">
      <c r="D55" s="134"/>
    </row>
  </sheetData>
  <mergeCells count="16">
    <mergeCell ref="B27:E27"/>
    <mergeCell ref="B29:E29"/>
    <mergeCell ref="B31:E31"/>
    <mergeCell ref="B33:E33"/>
    <mergeCell ref="B35:E35"/>
    <mergeCell ref="B25:E25"/>
    <mergeCell ref="A2:F2"/>
    <mergeCell ref="A3:F3"/>
    <mergeCell ref="B7:F7"/>
    <mergeCell ref="B11:E11"/>
    <mergeCell ref="B13:E13"/>
    <mergeCell ref="B15:E15"/>
    <mergeCell ref="B17:E17"/>
    <mergeCell ref="B19:E19"/>
    <mergeCell ref="B21:E21"/>
    <mergeCell ref="B23:E23"/>
  </mergeCells>
  <pageMargins left="0.70866141732283472" right="0.19685039370078741" top="0.74803149606299213" bottom="0.74803149606299213" header="0.31496062992125984" footer="0.31496062992125984"/>
  <pageSetup paperSize="9" orientation="portrait" r:id="rId1"/>
  <headerFooter alignWithMargins="0">
    <oddHeader>&amp;L&amp;"Calibri,Regular"&amp;9&amp;K00-023Projektni ured:  PLANETARIS d.o.o., Vončinina ulica 2, Zagreb
Građevina:  STAMBENO-POSLOVNA ZGRADA, Ulica Dinka Trinajstića 4, 4 A-E,6,8, Pazin, k.č.br. 1785/13, k.o. Pazin</oddHeader>
    <oddFooter>&amp;L&amp;"Calibri,Regular"&amp;9&amp;K00-028Zagreb, siječanj 2016. godine&amp;R&amp;9&amp;K00-032&amp;P/&amp;N</oddFooter>
  </headerFooter>
  <rowBreaks count="2" manualBreakCount="2">
    <brk id="20" max="5" man="1"/>
    <brk id="36" max="5" man="1"/>
  </rowBreaks>
  <colBreaks count="1" manualBreakCount="1">
    <brk id="6"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tint="0.59999389629810485"/>
  </sheetPr>
  <dimension ref="A1:AB106"/>
  <sheetViews>
    <sheetView view="pageBreakPreview" zoomScaleNormal="90" zoomScaleSheetLayoutView="100" workbookViewId="0">
      <selection activeCell="E20" sqref="E20:E104"/>
    </sheetView>
  </sheetViews>
  <sheetFormatPr defaultColWidth="6.5703125" defaultRowHeight="14.25"/>
  <cols>
    <col min="1" max="1" width="5.7109375" style="1" customWidth="1"/>
    <col min="2" max="2" width="42.7109375" style="1" customWidth="1"/>
    <col min="3" max="3" width="8.140625" style="132" customWidth="1"/>
    <col min="4" max="4" width="8.140625" style="233" customWidth="1"/>
    <col min="5" max="5" width="10.140625" style="230" customWidth="1"/>
    <col min="6" max="6" width="10.140625" style="99" customWidth="1"/>
    <col min="7" max="7" width="6.5703125" style="1" hidden="1" customWidth="1"/>
    <col min="8" max="8" width="16.42578125" style="218" hidden="1" customWidth="1"/>
    <col min="9" max="17" width="0" style="1" hidden="1" customWidth="1"/>
    <col min="18" max="16384" width="6.5703125" style="1"/>
  </cols>
  <sheetData>
    <row r="1" spans="1:28" ht="15">
      <c r="A1" s="137"/>
      <c r="B1" s="137"/>
      <c r="C1" s="209"/>
      <c r="D1" s="206"/>
      <c r="E1" s="207"/>
      <c r="F1" s="207"/>
      <c r="G1" s="99"/>
    </row>
    <row r="2" spans="1:28">
      <c r="A2" s="638" t="s">
        <v>108</v>
      </c>
      <c r="B2" s="639"/>
      <c r="C2" s="639"/>
      <c r="D2" s="639"/>
      <c r="E2" s="639"/>
      <c r="F2" s="640"/>
    </row>
    <row r="3" spans="1:28">
      <c r="A3" s="642" t="s">
        <v>574</v>
      </c>
      <c r="B3" s="642"/>
      <c r="C3" s="642"/>
      <c r="D3" s="642"/>
      <c r="E3" s="642"/>
      <c r="F3" s="642"/>
      <c r="G3" s="414"/>
    </row>
    <row r="4" spans="1:28">
      <c r="A4" s="116" t="s">
        <v>110</v>
      </c>
      <c r="B4" s="116" t="s">
        <v>111</v>
      </c>
      <c r="C4" s="116" t="s">
        <v>112</v>
      </c>
      <c r="D4" s="268" t="s">
        <v>113</v>
      </c>
      <c r="E4" s="268" t="s">
        <v>114</v>
      </c>
      <c r="F4" s="268" t="s">
        <v>115</v>
      </c>
    </row>
    <row r="5" spans="1:28">
      <c r="A5" s="105"/>
      <c r="B5" s="105"/>
      <c r="C5" s="105"/>
      <c r="D5" s="269"/>
      <c r="E5" s="269"/>
      <c r="F5" s="269"/>
    </row>
    <row r="6" spans="1:28">
      <c r="A6" s="105"/>
      <c r="B6" s="105"/>
      <c r="C6" s="105"/>
      <c r="D6" s="269"/>
      <c r="E6" s="269"/>
      <c r="F6" s="269"/>
    </row>
    <row r="7" spans="1:28" ht="15.75" thickBot="1">
      <c r="A7" s="106" t="s">
        <v>77</v>
      </c>
      <c r="B7" s="644" t="s">
        <v>573</v>
      </c>
      <c r="C7" s="644"/>
      <c r="D7" s="644"/>
      <c r="E7" s="644"/>
      <c r="F7" s="644"/>
    </row>
    <row r="8" spans="1:28">
      <c r="A8" s="119"/>
      <c r="B8" s="120"/>
      <c r="C8" s="121"/>
      <c r="D8" s="109"/>
      <c r="E8" s="107"/>
      <c r="F8" s="107"/>
    </row>
    <row r="9" spans="1:28">
      <c r="A9" s="321"/>
      <c r="B9" s="322"/>
      <c r="C9" s="323"/>
      <c r="D9" s="109"/>
      <c r="E9" s="108"/>
      <c r="F9" s="356"/>
      <c r="G9" s="130"/>
    </row>
    <row r="10" spans="1:28">
      <c r="A10" s="111" t="s">
        <v>27</v>
      </c>
      <c r="B10" s="141" t="s">
        <v>575</v>
      </c>
      <c r="C10" s="124"/>
      <c r="D10" s="109"/>
      <c r="E10" s="108"/>
      <c r="F10" s="109"/>
      <c r="G10" s="130"/>
    </row>
    <row r="11" spans="1:28" ht="60">
      <c r="A11" s="94"/>
      <c r="B11" s="328" t="s">
        <v>576</v>
      </c>
      <c r="C11" s="325"/>
      <c r="D11" s="331"/>
      <c r="E11" s="108"/>
      <c r="F11" s="109"/>
      <c r="G11" s="130"/>
      <c r="H11" s="379"/>
      <c r="N11" s="379"/>
      <c r="O11" s="379"/>
      <c r="P11" s="379"/>
      <c r="Q11" s="379"/>
      <c r="R11" s="379"/>
      <c r="S11" s="379"/>
      <c r="T11" s="379"/>
      <c r="U11" s="379"/>
      <c r="V11" s="379"/>
      <c r="W11" s="379"/>
      <c r="X11" s="379"/>
      <c r="Y11" s="379"/>
      <c r="Z11" s="379"/>
      <c r="AA11" s="379"/>
      <c r="AB11" s="379"/>
    </row>
    <row r="12" spans="1:28" ht="36">
      <c r="A12" s="214" t="s">
        <v>234</v>
      </c>
      <c r="B12" s="328" t="s">
        <v>302</v>
      </c>
      <c r="C12" s="325"/>
      <c r="D12" s="331"/>
      <c r="E12" s="108"/>
      <c r="F12" s="109"/>
      <c r="G12" s="130"/>
      <c r="H12" s="1"/>
      <c r="N12" s="379"/>
      <c r="O12" s="379"/>
      <c r="P12" s="379"/>
      <c r="Q12" s="379"/>
      <c r="R12" s="379"/>
      <c r="S12" s="379"/>
      <c r="T12" s="379"/>
      <c r="U12" s="379"/>
      <c r="V12" s="379"/>
      <c r="W12" s="379"/>
      <c r="X12" s="379"/>
      <c r="Y12" s="379"/>
      <c r="Z12" s="379"/>
      <c r="AA12" s="379"/>
      <c r="AB12" s="379"/>
    </row>
    <row r="13" spans="1:28">
      <c r="A13" s="214" t="s">
        <v>235</v>
      </c>
      <c r="B13" s="328" t="s">
        <v>552</v>
      </c>
      <c r="C13" s="325"/>
      <c r="D13" s="331"/>
      <c r="E13" s="108"/>
      <c r="F13" s="109"/>
      <c r="G13" s="130"/>
      <c r="H13" s="1"/>
      <c r="N13" s="379"/>
      <c r="O13" s="379"/>
      <c r="P13" s="379"/>
      <c r="Q13" s="379"/>
      <c r="R13" s="379"/>
      <c r="S13" s="379"/>
      <c r="T13" s="379"/>
      <c r="U13" s="379"/>
      <c r="V13" s="379"/>
      <c r="W13" s="379"/>
      <c r="X13" s="379"/>
      <c r="Y13" s="379"/>
      <c r="Z13" s="379"/>
      <c r="AA13" s="379"/>
      <c r="AB13" s="379"/>
    </row>
    <row r="14" spans="1:28" ht="24">
      <c r="A14" s="214" t="s">
        <v>236</v>
      </c>
      <c r="B14" s="328" t="s">
        <v>298</v>
      </c>
      <c r="C14" s="325"/>
      <c r="D14" s="331"/>
      <c r="E14" s="108"/>
      <c r="F14" s="109"/>
      <c r="G14" s="130"/>
      <c r="H14" s="1"/>
      <c r="N14" s="379"/>
      <c r="O14" s="379"/>
      <c r="P14" s="379"/>
      <c r="Q14" s="379"/>
      <c r="R14" s="379"/>
      <c r="S14" s="379"/>
      <c r="T14" s="379"/>
      <c r="U14" s="379"/>
      <c r="V14" s="379"/>
      <c r="W14" s="379"/>
      <c r="X14" s="379"/>
      <c r="Y14" s="379"/>
      <c r="Z14" s="379"/>
      <c r="AA14" s="379"/>
      <c r="AB14" s="379"/>
    </row>
    <row r="15" spans="1:28" ht="36">
      <c r="A15" s="214" t="s">
        <v>237</v>
      </c>
      <c r="B15" s="328" t="s">
        <v>577</v>
      </c>
      <c r="C15" s="325"/>
      <c r="D15" s="331"/>
      <c r="E15" s="108"/>
      <c r="F15" s="109"/>
      <c r="G15" s="130"/>
      <c r="H15" s="1"/>
      <c r="N15" s="379"/>
      <c r="O15" s="379"/>
      <c r="P15" s="379"/>
      <c r="Q15" s="379"/>
      <c r="R15" s="379"/>
      <c r="S15" s="379"/>
      <c r="T15" s="379"/>
      <c r="U15" s="379"/>
      <c r="V15" s="379"/>
      <c r="W15" s="379"/>
      <c r="X15" s="379"/>
      <c r="Y15" s="379"/>
      <c r="Z15" s="379"/>
      <c r="AA15" s="379"/>
      <c r="AB15" s="379"/>
    </row>
    <row r="16" spans="1:28" ht="48">
      <c r="A16" s="214" t="s">
        <v>238</v>
      </c>
      <c r="B16" s="328" t="s">
        <v>578</v>
      </c>
      <c r="C16" s="325"/>
      <c r="D16" s="359"/>
      <c r="E16" s="108"/>
      <c r="F16" s="100"/>
      <c r="H16" s="1"/>
      <c r="N16" s="379"/>
      <c r="O16" s="379"/>
      <c r="P16" s="379"/>
      <c r="Q16" s="379"/>
      <c r="R16" s="379"/>
      <c r="S16" s="379"/>
      <c r="T16" s="379"/>
      <c r="U16" s="379"/>
      <c r="V16" s="379"/>
      <c r="W16" s="379"/>
      <c r="X16" s="379"/>
      <c r="Y16" s="379"/>
      <c r="Z16" s="379"/>
      <c r="AA16" s="379"/>
      <c r="AB16" s="379"/>
    </row>
    <row r="17" spans="1:28" ht="48">
      <c r="A17" s="214" t="s">
        <v>300</v>
      </c>
      <c r="B17" s="328" t="s">
        <v>301</v>
      </c>
      <c r="C17" s="325"/>
      <c r="D17" s="331"/>
      <c r="E17" s="108"/>
      <c r="F17" s="109"/>
      <c r="G17" s="130"/>
      <c r="I17" s="379"/>
      <c r="J17" s="379"/>
      <c r="K17" s="379"/>
      <c r="L17" s="379"/>
      <c r="M17" s="379"/>
      <c r="N17" s="379"/>
      <c r="O17" s="379"/>
      <c r="P17" s="379"/>
      <c r="Q17" s="379"/>
      <c r="R17" s="379"/>
      <c r="S17" s="379"/>
      <c r="T17" s="379"/>
      <c r="U17" s="379"/>
      <c r="V17" s="379"/>
      <c r="W17" s="379"/>
      <c r="X17" s="379"/>
      <c r="Y17" s="379"/>
      <c r="Z17" s="379"/>
      <c r="AA17" s="379"/>
      <c r="AB17" s="379"/>
    </row>
    <row r="18" spans="1:28" ht="84">
      <c r="A18" s="114"/>
      <c r="B18" s="110" t="s">
        <v>269</v>
      </c>
      <c r="C18" s="124"/>
      <c r="D18" s="109"/>
      <c r="E18" s="108"/>
      <c r="F18" s="109"/>
      <c r="G18" s="130"/>
      <c r="I18" s="379"/>
      <c r="J18" s="379"/>
      <c r="K18" s="379"/>
      <c r="L18" s="379"/>
      <c r="M18" s="379"/>
      <c r="N18" s="379"/>
      <c r="O18" s="379"/>
      <c r="P18" s="379"/>
      <c r="Q18" s="379"/>
      <c r="R18" s="379"/>
      <c r="S18" s="379"/>
      <c r="T18" s="379"/>
      <c r="U18" s="379"/>
      <c r="V18" s="379"/>
      <c r="W18" s="379"/>
      <c r="X18" s="379"/>
      <c r="Y18" s="379"/>
      <c r="Z18" s="379"/>
      <c r="AA18" s="379"/>
      <c r="AB18" s="379"/>
    </row>
    <row r="19" spans="1:28" ht="15">
      <c r="A19" s="114"/>
      <c r="B19" s="115" t="s">
        <v>579</v>
      </c>
      <c r="C19" s="137"/>
      <c r="D19" s="109"/>
      <c r="E19" s="108"/>
      <c r="F19" s="109"/>
      <c r="G19" s="130"/>
      <c r="H19" s="654"/>
      <c r="I19" s="655"/>
      <c r="J19" s="655"/>
      <c r="K19" s="655"/>
      <c r="L19" s="655"/>
      <c r="M19" s="655"/>
      <c r="N19" s="655"/>
    </row>
    <row r="20" spans="1:28" s="326" customFormat="1">
      <c r="A20" s="114"/>
      <c r="B20" s="90"/>
      <c r="C20" s="124" t="s">
        <v>148</v>
      </c>
      <c r="D20" s="109">
        <v>18</v>
      </c>
      <c r="E20" s="108"/>
      <c r="F20" s="197">
        <f>D20*E20</f>
        <v>0</v>
      </c>
      <c r="G20" s="327"/>
      <c r="H20" s="655"/>
      <c r="I20" s="655"/>
      <c r="J20" s="655"/>
      <c r="K20" s="655"/>
      <c r="L20" s="655"/>
      <c r="M20" s="655"/>
      <c r="N20" s="655"/>
    </row>
    <row r="21" spans="1:28">
      <c r="A21" s="114"/>
      <c r="B21" s="291"/>
      <c r="C21" s="1"/>
      <c r="D21" s="109"/>
      <c r="E21" s="108"/>
      <c r="F21" s="109"/>
      <c r="G21" s="130"/>
      <c r="H21" s="655"/>
      <c r="I21" s="655"/>
      <c r="J21" s="655"/>
      <c r="K21" s="655"/>
      <c r="L21" s="655"/>
      <c r="M21" s="655"/>
      <c r="N21" s="655"/>
    </row>
    <row r="22" spans="1:28">
      <c r="A22" s="111" t="s">
        <v>29</v>
      </c>
      <c r="B22" s="141" t="s">
        <v>580</v>
      </c>
      <c r="C22" s="124"/>
      <c r="D22" s="109"/>
      <c r="E22" s="108"/>
      <c r="F22" s="109"/>
      <c r="G22" s="130"/>
      <c r="H22" s="655"/>
      <c r="I22" s="655"/>
      <c r="J22" s="655"/>
      <c r="K22" s="655"/>
      <c r="L22" s="655"/>
      <c r="M22" s="655"/>
      <c r="N22" s="655"/>
    </row>
    <row r="23" spans="1:28" ht="48">
      <c r="A23" s="94"/>
      <c r="B23" s="328" t="s">
        <v>581</v>
      </c>
      <c r="C23" s="325"/>
      <c r="D23" s="331"/>
      <c r="E23" s="108"/>
      <c r="F23" s="109"/>
      <c r="G23" s="130"/>
      <c r="H23" s="655"/>
      <c r="I23" s="655"/>
      <c r="J23" s="655"/>
      <c r="K23" s="655"/>
      <c r="L23" s="655"/>
      <c r="M23" s="655"/>
      <c r="N23" s="655"/>
      <c r="O23" s="379"/>
      <c r="P23" s="379"/>
      <c r="Q23" s="379"/>
      <c r="R23" s="379"/>
      <c r="S23" s="379"/>
      <c r="T23" s="379"/>
      <c r="U23" s="379"/>
      <c r="V23" s="379"/>
      <c r="W23" s="379"/>
      <c r="X23" s="379"/>
      <c r="Y23" s="379"/>
      <c r="Z23" s="379"/>
      <c r="AA23" s="379"/>
      <c r="AB23" s="379"/>
    </row>
    <row r="24" spans="1:28" ht="36">
      <c r="A24" s="214" t="s">
        <v>234</v>
      </c>
      <c r="B24" s="328" t="s">
        <v>297</v>
      </c>
      <c r="C24" s="325"/>
      <c r="D24" s="331"/>
      <c r="E24" s="108"/>
      <c r="F24" s="109"/>
      <c r="G24" s="130"/>
      <c r="I24" s="379"/>
      <c r="J24" s="379"/>
      <c r="K24" s="379"/>
      <c r="L24" s="379"/>
      <c r="M24" s="379"/>
      <c r="N24" s="379"/>
      <c r="O24" s="379"/>
      <c r="P24" s="379"/>
      <c r="Q24" s="379"/>
      <c r="R24" s="379"/>
      <c r="S24" s="379"/>
      <c r="T24" s="379"/>
      <c r="U24" s="379"/>
      <c r="V24" s="379"/>
      <c r="W24" s="379"/>
      <c r="X24" s="379"/>
      <c r="Y24" s="379"/>
      <c r="Z24" s="379"/>
      <c r="AA24" s="379"/>
      <c r="AB24" s="379"/>
    </row>
    <row r="25" spans="1:28">
      <c r="A25" s="214" t="s">
        <v>235</v>
      </c>
      <c r="B25" s="328" t="s">
        <v>552</v>
      </c>
      <c r="C25" s="325"/>
      <c r="D25" s="331"/>
      <c r="E25" s="108"/>
      <c r="F25" s="109"/>
      <c r="G25" s="130"/>
      <c r="I25" s="379"/>
      <c r="J25" s="379"/>
      <c r="K25" s="379"/>
      <c r="L25" s="379"/>
      <c r="M25" s="379"/>
      <c r="N25" s="379"/>
      <c r="O25" s="379"/>
      <c r="P25" s="379"/>
      <c r="Q25" s="379"/>
      <c r="R25" s="379"/>
      <c r="S25" s="379"/>
      <c r="T25" s="379"/>
      <c r="U25" s="379"/>
      <c r="V25" s="379"/>
      <c r="W25" s="379"/>
      <c r="X25" s="379"/>
      <c r="Y25" s="379"/>
      <c r="Z25" s="379"/>
      <c r="AA25" s="379"/>
      <c r="AB25" s="379"/>
    </row>
    <row r="26" spans="1:28" ht="24">
      <c r="A26" s="214" t="s">
        <v>236</v>
      </c>
      <c r="B26" s="328" t="s">
        <v>298</v>
      </c>
      <c r="C26" s="325"/>
      <c r="D26" s="331"/>
      <c r="E26" s="108"/>
      <c r="F26" s="109"/>
      <c r="G26" s="130"/>
      <c r="I26" s="379"/>
      <c r="J26" s="379"/>
      <c r="K26" s="379"/>
      <c r="L26" s="379"/>
      <c r="M26" s="379"/>
      <c r="N26" s="379"/>
      <c r="O26" s="379"/>
      <c r="P26" s="379"/>
      <c r="Q26" s="379"/>
      <c r="R26" s="379"/>
      <c r="S26" s="379"/>
      <c r="T26" s="379"/>
      <c r="U26" s="379"/>
      <c r="V26" s="379"/>
      <c r="W26" s="379"/>
      <c r="X26" s="379"/>
      <c r="Y26" s="379"/>
      <c r="Z26" s="379"/>
      <c r="AA26" s="379"/>
      <c r="AB26" s="379"/>
    </row>
    <row r="27" spans="1:28" ht="36">
      <c r="A27" s="214" t="s">
        <v>237</v>
      </c>
      <c r="B27" s="328" t="s">
        <v>577</v>
      </c>
      <c r="C27" s="325"/>
      <c r="D27" s="331"/>
      <c r="E27" s="108"/>
      <c r="F27" s="109"/>
      <c r="G27" s="130"/>
      <c r="I27" s="379"/>
      <c r="J27" s="379"/>
      <c r="K27" s="379"/>
      <c r="L27" s="379"/>
      <c r="M27" s="379"/>
      <c r="N27" s="379"/>
      <c r="O27" s="379"/>
      <c r="P27" s="379"/>
      <c r="Q27" s="379"/>
      <c r="R27" s="379"/>
      <c r="S27" s="379"/>
      <c r="T27" s="379"/>
      <c r="U27" s="379"/>
      <c r="V27" s="379"/>
      <c r="W27" s="379"/>
      <c r="X27" s="379"/>
      <c r="Y27" s="379"/>
      <c r="Z27" s="379"/>
      <c r="AA27" s="379"/>
      <c r="AB27" s="379"/>
    </row>
    <row r="28" spans="1:28" ht="48">
      <c r="A28" s="214" t="s">
        <v>238</v>
      </c>
      <c r="B28" s="328" t="s">
        <v>578</v>
      </c>
      <c r="C28" s="325"/>
      <c r="D28" s="359"/>
      <c r="E28" s="108"/>
      <c r="F28" s="100"/>
      <c r="I28" s="379"/>
      <c r="J28" s="379"/>
      <c r="K28" s="379"/>
      <c r="L28" s="379"/>
      <c r="M28" s="379"/>
      <c r="N28" s="379"/>
      <c r="O28" s="379"/>
      <c r="P28" s="379"/>
      <c r="Q28" s="379"/>
      <c r="R28" s="379"/>
      <c r="S28" s="379"/>
      <c r="T28" s="379"/>
      <c r="U28" s="379"/>
      <c r="V28" s="379"/>
      <c r="W28" s="379"/>
      <c r="X28" s="379"/>
      <c r="Y28" s="379"/>
      <c r="Z28" s="379"/>
      <c r="AA28" s="379"/>
      <c r="AB28" s="379"/>
    </row>
    <row r="29" spans="1:28" ht="24">
      <c r="A29" s="214" t="s">
        <v>300</v>
      </c>
      <c r="B29" s="328" t="s">
        <v>299</v>
      </c>
      <c r="C29" s="325"/>
      <c r="D29" s="359"/>
      <c r="E29" s="108"/>
      <c r="F29" s="100"/>
      <c r="I29" s="379"/>
      <c r="J29" s="379"/>
      <c r="K29" s="379"/>
      <c r="L29" s="379"/>
      <c r="M29" s="379"/>
      <c r="N29" s="379"/>
      <c r="O29" s="379"/>
      <c r="P29" s="379"/>
      <c r="Q29" s="379"/>
      <c r="R29" s="379"/>
      <c r="S29" s="379"/>
      <c r="T29" s="379"/>
      <c r="U29" s="379"/>
      <c r="V29" s="379"/>
      <c r="W29" s="379"/>
      <c r="X29" s="379"/>
      <c r="Y29" s="379"/>
      <c r="Z29" s="379"/>
      <c r="AA29" s="379"/>
      <c r="AB29" s="379"/>
    </row>
    <row r="30" spans="1:28" ht="48">
      <c r="A30" s="214" t="s">
        <v>303</v>
      </c>
      <c r="B30" s="328" t="s">
        <v>301</v>
      </c>
      <c r="C30" s="325"/>
      <c r="D30" s="331"/>
      <c r="E30" s="108"/>
      <c r="F30" s="109"/>
      <c r="G30" s="130"/>
      <c r="I30" s="379"/>
      <c r="J30" s="379"/>
      <c r="K30" s="379"/>
      <c r="L30" s="379"/>
      <c r="M30" s="379"/>
      <c r="N30" s="379"/>
      <c r="O30" s="379"/>
      <c r="P30" s="379"/>
      <c r="Q30" s="379"/>
      <c r="R30" s="379"/>
      <c r="S30" s="379"/>
      <c r="T30" s="379"/>
      <c r="U30" s="379"/>
      <c r="V30" s="379"/>
      <c r="W30" s="379"/>
      <c r="X30" s="379"/>
      <c r="Y30" s="379"/>
      <c r="Z30" s="379"/>
      <c r="AA30" s="379"/>
      <c r="AB30" s="379"/>
    </row>
    <row r="31" spans="1:28" ht="84">
      <c r="A31" s="114"/>
      <c r="B31" s="110" t="s">
        <v>269</v>
      </c>
      <c r="C31" s="124"/>
      <c r="D31" s="109"/>
      <c r="E31" s="108"/>
      <c r="F31" s="109"/>
      <c r="G31" s="130"/>
      <c r="I31" s="379"/>
      <c r="J31" s="379"/>
      <c r="K31" s="379"/>
      <c r="L31" s="379"/>
      <c r="M31" s="379"/>
      <c r="N31" s="379"/>
      <c r="O31" s="379"/>
      <c r="P31" s="379"/>
      <c r="Q31" s="379"/>
      <c r="R31" s="379"/>
      <c r="S31" s="379"/>
      <c r="T31" s="379"/>
      <c r="U31" s="379"/>
      <c r="V31" s="379"/>
      <c r="W31" s="379"/>
      <c r="X31" s="379"/>
      <c r="Y31" s="379"/>
      <c r="Z31" s="379"/>
      <c r="AA31" s="379"/>
      <c r="AB31" s="379"/>
    </row>
    <row r="32" spans="1:28" ht="24">
      <c r="A32" s="114"/>
      <c r="B32" s="110" t="s">
        <v>270</v>
      </c>
      <c r="C32" s="137"/>
      <c r="D32" s="109"/>
      <c r="E32" s="108"/>
      <c r="F32" s="109"/>
      <c r="G32" s="130"/>
    </row>
    <row r="33" spans="1:28" ht="15">
      <c r="A33" s="114"/>
      <c r="B33" s="115" t="s">
        <v>582</v>
      </c>
      <c r="C33" s="137"/>
      <c r="D33" s="109"/>
      <c r="E33" s="108"/>
      <c r="F33" s="109"/>
      <c r="G33" s="130"/>
    </row>
    <row r="34" spans="1:28" s="326" customFormat="1">
      <c r="A34" s="114"/>
      <c r="B34" s="90"/>
      <c r="C34" s="124" t="s">
        <v>148</v>
      </c>
      <c r="D34" s="109">
        <v>5</v>
      </c>
      <c r="E34" s="108"/>
      <c r="F34" s="197">
        <f>D34*E34</f>
        <v>0</v>
      </c>
      <c r="G34" s="327"/>
      <c r="H34" s="351"/>
    </row>
    <row r="35" spans="1:28">
      <c r="A35" s="114"/>
      <c r="B35" s="291"/>
      <c r="C35" s="1"/>
      <c r="D35" s="109"/>
      <c r="E35" s="108"/>
      <c r="F35" s="109"/>
      <c r="G35" s="130"/>
    </row>
    <row r="36" spans="1:28">
      <c r="A36" s="111" t="s">
        <v>138</v>
      </c>
      <c r="B36" s="141" t="s">
        <v>583</v>
      </c>
      <c r="C36" s="124"/>
      <c r="D36" s="109"/>
      <c r="E36" s="108"/>
      <c r="F36" s="109"/>
      <c r="G36" s="130"/>
    </row>
    <row r="37" spans="1:28" ht="48">
      <c r="A37" s="94"/>
      <c r="B37" s="328" t="s">
        <v>581</v>
      </c>
      <c r="C37" s="325"/>
      <c r="D37" s="331"/>
      <c r="E37" s="108"/>
      <c r="F37" s="109"/>
      <c r="G37" s="130"/>
    </row>
    <row r="38" spans="1:28" ht="36">
      <c r="A38" s="214" t="s">
        <v>234</v>
      </c>
      <c r="B38" s="328" t="s">
        <v>297</v>
      </c>
      <c r="C38" s="325"/>
      <c r="D38" s="331"/>
      <c r="E38" s="108"/>
      <c r="F38" s="109"/>
      <c r="G38" s="130"/>
      <c r="H38" s="654"/>
      <c r="I38" s="655"/>
      <c r="J38" s="655"/>
      <c r="K38" s="655"/>
      <c r="L38" s="655"/>
      <c r="M38" s="655"/>
      <c r="N38" s="655"/>
      <c r="O38" s="655"/>
      <c r="P38" s="655"/>
      <c r="Q38" s="655"/>
      <c r="R38" s="379"/>
      <c r="S38" s="379"/>
      <c r="T38" s="379"/>
      <c r="U38" s="379"/>
      <c r="V38" s="379"/>
      <c r="W38" s="379"/>
      <c r="X38" s="379"/>
      <c r="Y38" s="379"/>
      <c r="Z38" s="379"/>
      <c r="AA38" s="379"/>
      <c r="AB38" s="379"/>
    </row>
    <row r="39" spans="1:28">
      <c r="A39" s="214" t="s">
        <v>235</v>
      </c>
      <c r="B39" s="328" t="s">
        <v>552</v>
      </c>
      <c r="C39" s="325"/>
      <c r="D39" s="331"/>
      <c r="E39" s="108"/>
      <c r="F39" s="109"/>
      <c r="G39" s="130"/>
      <c r="H39" s="654"/>
      <c r="I39" s="655"/>
      <c r="J39" s="655"/>
      <c r="K39" s="655"/>
      <c r="L39" s="655"/>
      <c r="M39" s="655"/>
      <c r="N39" s="655"/>
      <c r="O39" s="655"/>
      <c r="P39" s="655"/>
      <c r="Q39" s="655"/>
      <c r="R39" s="379"/>
      <c r="S39" s="379"/>
      <c r="T39" s="379"/>
      <c r="U39" s="379"/>
      <c r="V39" s="379"/>
      <c r="W39" s="379"/>
      <c r="X39" s="379"/>
      <c r="Y39" s="379"/>
      <c r="Z39" s="379"/>
      <c r="AA39" s="379"/>
      <c r="AB39" s="379"/>
    </row>
    <row r="40" spans="1:28" ht="24">
      <c r="A40" s="214" t="s">
        <v>237</v>
      </c>
      <c r="B40" s="328" t="s">
        <v>298</v>
      </c>
      <c r="C40" s="325"/>
      <c r="D40" s="331"/>
      <c r="E40" s="108"/>
      <c r="F40" s="109"/>
      <c r="G40" s="130"/>
      <c r="H40" s="655"/>
      <c r="I40" s="655"/>
      <c r="J40" s="655"/>
      <c r="K40" s="655"/>
      <c r="L40" s="655"/>
      <c r="M40" s="655"/>
      <c r="N40" s="655"/>
      <c r="O40" s="655"/>
      <c r="P40" s="655"/>
      <c r="Q40" s="655"/>
      <c r="R40" s="379"/>
      <c r="S40" s="379"/>
      <c r="T40" s="379"/>
      <c r="U40" s="379"/>
      <c r="V40" s="379"/>
      <c r="W40" s="379"/>
      <c r="X40" s="379"/>
      <c r="Y40" s="379"/>
      <c r="Z40" s="379"/>
      <c r="AA40" s="379"/>
      <c r="AB40" s="379"/>
    </row>
    <row r="41" spans="1:28" ht="36">
      <c r="A41" s="214" t="s">
        <v>237</v>
      </c>
      <c r="B41" s="328" t="s">
        <v>577</v>
      </c>
      <c r="C41" s="325"/>
      <c r="D41" s="331"/>
      <c r="E41" s="108"/>
      <c r="F41" s="109"/>
      <c r="H41" s="655"/>
      <c r="I41" s="655"/>
      <c r="J41" s="655"/>
      <c r="K41" s="655"/>
      <c r="L41" s="655"/>
      <c r="M41" s="655"/>
      <c r="N41" s="655"/>
      <c r="O41" s="655"/>
      <c r="P41" s="655"/>
      <c r="Q41" s="655"/>
      <c r="R41" s="379"/>
      <c r="S41" s="379"/>
      <c r="T41" s="379"/>
      <c r="U41" s="379"/>
      <c r="V41" s="379"/>
      <c r="W41" s="379"/>
      <c r="X41" s="379"/>
      <c r="Y41" s="379"/>
      <c r="Z41" s="379"/>
      <c r="AA41" s="379"/>
      <c r="AB41" s="379"/>
    </row>
    <row r="42" spans="1:28" ht="48">
      <c r="A42" s="214" t="s">
        <v>238</v>
      </c>
      <c r="B42" s="328" t="s">
        <v>578</v>
      </c>
      <c r="C42" s="325"/>
      <c r="D42" s="359"/>
      <c r="E42" s="108"/>
      <c r="F42" s="100"/>
      <c r="G42" s="130"/>
      <c r="H42" s="655"/>
      <c r="I42" s="655"/>
      <c r="J42" s="655"/>
      <c r="K42" s="655"/>
      <c r="L42" s="655"/>
      <c r="M42" s="655"/>
      <c r="N42" s="655"/>
      <c r="O42" s="655"/>
      <c r="P42" s="655"/>
      <c r="Q42" s="655"/>
      <c r="R42" s="379"/>
      <c r="S42" s="379"/>
      <c r="T42" s="379"/>
      <c r="U42" s="379"/>
      <c r="V42" s="379"/>
      <c r="W42" s="379"/>
      <c r="X42" s="379"/>
      <c r="Y42" s="379"/>
      <c r="Z42" s="379"/>
      <c r="AA42" s="379"/>
      <c r="AB42" s="379"/>
    </row>
    <row r="43" spans="1:28" ht="24">
      <c r="A43" s="214" t="s">
        <v>300</v>
      </c>
      <c r="B43" s="328" t="s">
        <v>299</v>
      </c>
      <c r="C43" s="325"/>
      <c r="D43" s="359"/>
      <c r="E43" s="108"/>
      <c r="F43" s="100"/>
      <c r="G43" s="130"/>
      <c r="H43" s="655"/>
      <c r="I43" s="655"/>
      <c r="J43" s="655"/>
      <c r="K43" s="655"/>
      <c r="L43" s="655"/>
      <c r="M43" s="655"/>
      <c r="N43" s="655"/>
      <c r="O43" s="655"/>
      <c r="P43" s="655"/>
      <c r="Q43" s="655"/>
      <c r="R43" s="379"/>
      <c r="S43" s="379"/>
      <c r="T43" s="379"/>
      <c r="U43" s="379"/>
      <c r="V43" s="379"/>
      <c r="W43" s="379"/>
      <c r="X43" s="379"/>
      <c r="Y43" s="379"/>
      <c r="Z43" s="379"/>
      <c r="AA43" s="379"/>
      <c r="AB43" s="379"/>
    </row>
    <row r="44" spans="1:28" ht="48">
      <c r="A44" s="214" t="s">
        <v>303</v>
      </c>
      <c r="B44" s="328" t="s">
        <v>301</v>
      </c>
      <c r="C44" s="325"/>
      <c r="D44" s="331"/>
      <c r="E44" s="108"/>
      <c r="F44" s="109"/>
      <c r="G44" s="130"/>
      <c r="H44" s="655"/>
      <c r="I44" s="655"/>
      <c r="J44" s="655"/>
      <c r="K44" s="655"/>
      <c r="L44" s="655"/>
      <c r="M44" s="655"/>
      <c r="N44" s="655"/>
      <c r="O44" s="655"/>
      <c r="P44" s="655"/>
      <c r="Q44" s="655"/>
      <c r="R44" s="379"/>
      <c r="S44" s="379"/>
      <c r="T44" s="379"/>
      <c r="U44" s="379"/>
      <c r="V44" s="379"/>
      <c r="W44" s="379"/>
      <c r="X44" s="379"/>
      <c r="Y44" s="379"/>
      <c r="Z44" s="379"/>
      <c r="AA44" s="379"/>
      <c r="AB44" s="379"/>
    </row>
    <row r="45" spans="1:28" ht="84">
      <c r="A45" s="114"/>
      <c r="B45" s="110" t="s">
        <v>269</v>
      </c>
      <c r="C45" s="124"/>
      <c r="D45" s="109"/>
      <c r="E45" s="108"/>
      <c r="F45" s="109"/>
      <c r="G45" s="130"/>
    </row>
    <row r="46" spans="1:28" ht="24">
      <c r="A46" s="114"/>
      <c r="B46" s="110" t="s">
        <v>270</v>
      </c>
      <c r="C46" s="137"/>
      <c r="D46" s="109"/>
      <c r="E46" s="108"/>
      <c r="F46" s="109"/>
      <c r="G46" s="130"/>
    </row>
    <row r="47" spans="1:28" s="326" customFormat="1" ht="15">
      <c r="A47" s="114"/>
      <c r="B47" s="115" t="s">
        <v>584</v>
      </c>
      <c r="C47" s="137"/>
      <c r="D47" s="109"/>
      <c r="E47" s="108"/>
      <c r="F47" s="109"/>
      <c r="G47" s="327"/>
      <c r="H47" s="351"/>
    </row>
    <row r="48" spans="1:28">
      <c r="A48" s="114"/>
      <c r="B48" s="90"/>
      <c r="C48" s="124" t="s">
        <v>148</v>
      </c>
      <c r="D48" s="109">
        <v>3</v>
      </c>
      <c r="E48" s="108"/>
      <c r="F48" s="197">
        <f>D48*E48</f>
        <v>0</v>
      </c>
      <c r="G48" s="130"/>
    </row>
    <row r="49" spans="1:28">
      <c r="A49" s="114"/>
      <c r="B49" s="291"/>
      <c r="C49" s="1"/>
      <c r="D49" s="109"/>
      <c r="E49" s="108"/>
      <c r="F49" s="109"/>
    </row>
    <row r="50" spans="1:28">
      <c r="A50" s="111" t="s">
        <v>142</v>
      </c>
      <c r="B50" s="141" t="s">
        <v>585</v>
      </c>
      <c r="C50" s="124"/>
      <c r="D50" s="109"/>
      <c r="E50" s="108"/>
      <c r="F50" s="109"/>
      <c r="G50" s="130"/>
    </row>
    <row r="51" spans="1:28" ht="72">
      <c r="A51" s="94"/>
      <c r="B51" s="328" t="s">
        <v>597</v>
      </c>
      <c r="C51" s="325"/>
      <c r="D51" s="331"/>
      <c r="E51" s="108"/>
      <c r="F51" s="109"/>
      <c r="G51" s="130"/>
      <c r="H51" s="379"/>
      <c r="N51" s="379"/>
      <c r="O51" s="379"/>
      <c r="P51" s="379"/>
      <c r="Q51" s="379"/>
      <c r="R51" s="379"/>
      <c r="S51" s="379"/>
      <c r="T51" s="379"/>
      <c r="U51" s="379"/>
      <c r="V51" s="379"/>
      <c r="W51" s="379"/>
      <c r="X51" s="379"/>
      <c r="Y51" s="379"/>
      <c r="Z51" s="379"/>
      <c r="AA51" s="379"/>
      <c r="AB51" s="379"/>
    </row>
    <row r="52" spans="1:28" ht="36">
      <c r="A52" s="214" t="s">
        <v>234</v>
      </c>
      <c r="B52" s="328" t="s">
        <v>586</v>
      </c>
      <c r="C52" s="325"/>
      <c r="D52" s="331"/>
      <c r="E52" s="108"/>
      <c r="F52" s="109"/>
      <c r="G52" s="130"/>
      <c r="H52" s="1"/>
      <c r="N52" s="379"/>
      <c r="O52" s="379"/>
      <c r="P52" s="379"/>
      <c r="Q52" s="379"/>
      <c r="R52" s="379"/>
      <c r="S52" s="379"/>
      <c r="T52" s="379"/>
      <c r="U52" s="379"/>
      <c r="V52" s="379"/>
      <c r="W52" s="379"/>
      <c r="X52" s="379"/>
      <c r="Y52" s="379"/>
      <c r="Z52" s="379"/>
      <c r="AA52" s="379"/>
      <c r="AB52" s="379"/>
    </row>
    <row r="53" spans="1:28">
      <c r="A53" s="214" t="s">
        <v>235</v>
      </c>
      <c r="B53" s="328" t="s">
        <v>552</v>
      </c>
      <c r="C53" s="325"/>
      <c r="D53" s="331"/>
      <c r="E53" s="108"/>
      <c r="F53" s="109"/>
      <c r="G53" s="130"/>
      <c r="H53" s="1"/>
      <c r="N53" s="379"/>
      <c r="O53" s="379"/>
      <c r="P53" s="379"/>
      <c r="Q53" s="379"/>
      <c r="R53" s="379"/>
      <c r="S53" s="379"/>
      <c r="T53" s="379"/>
      <c r="U53" s="379"/>
      <c r="V53" s="379"/>
      <c r="W53" s="379"/>
      <c r="X53" s="379"/>
      <c r="Y53" s="379"/>
      <c r="Z53" s="379"/>
      <c r="AA53" s="379"/>
      <c r="AB53" s="379"/>
    </row>
    <row r="54" spans="1:28" ht="24">
      <c r="A54" s="214" t="s">
        <v>236</v>
      </c>
      <c r="B54" s="328" t="s">
        <v>298</v>
      </c>
      <c r="C54" s="325"/>
      <c r="D54" s="331"/>
      <c r="E54" s="108"/>
      <c r="F54" s="109"/>
      <c r="G54" s="130"/>
      <c r="H54" s="1"/>
      <c r="N54" s="379"/>
      <c r="O54" s="379"/>
      <c r="P54" s="379"/>
      <c r="Q54" s="379"/>
      <c r="R54" s="379"/>
      <c r="S54" s="379"/>
      <c r="T54" s="379"/>
      <c r="U54" s="379"/>
      <c r="V54" s="379"/>
      <c r="W54" s="379"/>
      <c r="X54" s="379"/>
      <c r="Y54" s="379"/>
      <c r="Z54" s="379"/>
      <c r="AA54" s="379"/>
      <c r="AB54" s="379"/>
    </row>
    <row r="55" spans="1:28" ht="24">
      <c r="A55" s="214" t="s">
        <v>237</v>
      </c>
      <c r="B55" s="328" t="s">
        <v>587</v>
      </c>
      <c r="C55" s="325"/>
      <c r="D55" s="331"/>
      <c r="E55" s="108"/>
      <c r="F55" s="109"/>
      <c r="G55" s="130"/>
      <c r="H55" s="1"/>
      <c r="N55" s="379"/>
      <c r="O55" s="379"/>
      <c r="P55" s="379"/>
      <c r="Q55" s="379"/>
      <c r="R55" s="379"/>
      <c r="S55" s="379"/>
      <c r="T55" s="379"/>
      <c r="U55" s="379"/>
      <c r="V55" s="379"/>
      <c r="W55" s="379"/>
      <c r="X55" s="379"/>
      <c r="Y55" s="379"/>
      <c r="Z55" s="379"/>
      <c r="AA55" s="379"/>
      <c r="AB55" s="379"/>
    </row>
    <row r="56" spans="1:28" ht="48">
      <c r="A56" s="214" t="s">
        <v>238</v>
      </c>
      <c r="B56" s="328" t="s">
        <v>727</v>
      </c>
      <c r="C56" s="325"/>
      <c r="D56" s="359"/>
      <c r="E56" s="108"/>
      <c r="F56" s="100"/>
      <c r="G56" s="130"/>
      <c r="H56" s="1"/>
      <c r="N56" s="379"/>
      <c r="O56" s="379"/>
      <c r="P56" s="379"/>
      <c r="Q56" s="379"/>
      <c r="R56" s="379"/>
      <c r="S56" s="379"/>
      <c r="T56" s="379"/>
      <c r="U56" s="379"/>
      <c r="V56" s="379"/>
      <c r="W56" s="379"/>
      <c r="X56" s="379"/>
      <c r="Y56" s="379"/>
      <c r="Z56" s="379"/>
      <c r="AA56" s="379"/>
      <c r="AB56" s="379"/>
    </row>
    <row r="57" spans="1:28" ht="24">
      <c r="A57" s="214" t="s">
        <v>300</v>
      </c>
      <c r="B57" s="328" t="s">
        <v>299</v>
      </c>
      <c r="C57" s="325"/>
      <c r="D57" s="331"/>
      <c r="E57" s="108"/>
      <c r="F57" s="109"/>
      <c r="G57" s="130"/>
      <c r="H57" s="1"/>
      <c r="N57" s="379"/>
      <c r="O57" s="379"/>
      <c r="P57" s="379"/>
      <c r="Q57" s="379"/>
      <c r="R57" s="379"/>
      <c r="S57" s="379"/>
      <c r="T57" s="379"/>
      <c r="U57" s="379"/>
      <c r="V57" s="379"/>
      <c r="W57" s="379"/>
      <c r="X57" s="379"/>
      <c r="Y57" s="379"/>
      <c r="Z57" s="379"/>
      <c r="AA57" s="379"/>
      <c r="AB57" s="379"/>
    </row>
    <row r="58" spans="1:28" ht="48">
      <c r="A58" s="214" t="s">
        <v>303</v>
      </c>
      <c r="B58" s="328" t="s">
        <v>301</v>
      </c>
      <c r="C58" s="325"/>
      <c r="D58" s="331"/>
      <c r="E58" s="108"/>
      <c r="F58" s="109"/>
      <c r="H58" s="1"/>
      <c r="N58" s="379"/>
      <c r="O58" s="379"/>
      <c r="P58" s="379"/>
      <c r="Q58" s="379"/>
      <c r="R58" s="379"/>
      <c r="S58" s="379"/>
      <c r="T58" s="379"/>
      <c r="U58" s="379"/>
      <c r="V58" s="379"/>
      <c r="W58" s="379"/>
      <c r="X58" s="379"/>
      <c r="Y58" s="379"/>
      <c r="Z58" s="379"/>
      <c r="AA58" s="379"/>
      <c r="AB58" s="379"/>
    </row>
    <row r="59" spans="1:28" ht="84">
      <c r="A59" s="114"/>
      <c r="B59" s="110" t="s">
        <v>269</v>
      </c>
      <c r="C59" s="124"/>
      <c r="D59" s="109"/>
      <c r="E59" s="108"/>
      <c r="F59" s="109"/>
      <c r="G59" s="130"/>
      <c r="I59" s="379"/>
      <c r="J59" s="379"/>
      <c r="K59" s="379"/>
      <c r="L59" s="379"/>
      <c r="M59" s="379"/>
      <c r="N59" s="379"/>
      <c r="O59" s="379"/>
      <c r="P59" s="379"/>
      <c r="Q59" s="379"/>
      <c r="R59" s="379"/>
      <c r="S59" s="379"/>
      <c r="T59" s="379"/>
      <c r="U59" s="379"/>
      <c r="V59" s="379"/>
      <c r="W59" s="379"/>
      <c r="X59" s="379"/>
      <c r="Y59" s="379"/>
      <c r="Z59" s="379"/>
      <c r="AA59" s="379"/>
      <c r="AB59" s="379"/>
    </row>
    <row r="60" spans="1:28" ht="24">
      <c r="A60" s="114"/>
      <c r="B60" s="110" t="s">
        <v>270</v>
      </c>
      <c r="C60" s="137"/>
      <c r="D60" s="109"/>
      <c r="E60" s="108"/>
      <c r="F60" s="109"/>
      <c r="G60" s="130"/>
      <c r="I60" s="379"/>
      <c r="J60" s="379"/>
      <c r="K60" s="379"/>
      <c r="L60" s="379"/>
      <c r="M60" s="379"/>
      <c r="N60" s="379"/>
      <c r="O60" s="379"/>
      <c r="P60" s="379"/>
      <c r="Q60" s="379"/>
      <c r="R60" s="379"/>
      <c r="S60" s="379"/>
      <c r="T60" s="379"/>
      <c r="U60" s="379"/>
      <c r="V60" s="379"/>
      <c r="W60" s="379"/>
      <c r="X60" s="379"/>
      <c r="Y60" s="379"/>
      <c r="Z60" s="379"/>
      <c r="AA60" s="379"/>
      <c r="AB60" s="379"/>
    </row>
    <row r="61" spans="1:28" ht="15">
      <c r="A61" s="114"/>
      <c r="B61" s="115" t="s">
        <v>588</v>
      </c>
      <c r="C61" s="137"/>
      <c r="D61" s="109"/>
      <c r="E61" s="108"/>
      <c r="F61" s="109"/>
      <c r="G61" s="130"/>
    </row>
    <row r="62" spans="1:28">
      <c r="A62" s="452"/>
      <c r="B62" s="383"/>
      <c r="C62" s="124" t="s">
        <v>148</v>
      </c>
      <c r="D62" s="350">
        <v>5</v>
      </c>
      <c r="E62" s="363"/>
      <c r="F62" s="391">
        <f>D62*E62</f>
        <v>0</v>
      </c>
      <c r="G62" s="130"/>
    </row>
    <row r="63" spans="1:28">
      <c r="A63" s="114"/>
      <c r="B63" s="291"/>
      <c r="C63" s="1"/>
      <c r="D63" s="109"/>
      <c r="E63" s="108"/>
      <c r="F63" s="109"/>
      <c r="G63" s="130"/>
    </row>
    <row r="64" spans="1:28">
      <c r="A64" s="111" t="s">
        <v>145</v>
      </c>
      <c r="B64" s="141" t="s">
        <v>589</v>
      </c>
      <c r="C64" s="124"/>
      <c r="D64" s="109"/>
      <c r="E64" s="108"/>
      <c r="F64" s="109"/>
      <c r="G64" s="130"/>
    </row>
    <row r="65" spans="1:28" ht="72">
      <c r="A65" s="94"/>
      <c r="B65" s="328" t="s">
        <v>597</v>
      </c>
      <c r="C65" s="325"/>
      <c r="D65" s="331"/>
      <c r="E65" s="108"/>
      <c r="F65" s="109"/>
      <c r="G65" s="130"/>
    </row>
    <row r="66" spans="1:28" ht="36">
      <c r="A66" s="214" t="s">
        <v>234</v>
      </c>
      <c r="B66" s="328" t="s">
        <v>586</v>
      </c>
      <c r="C66" s="325"/>
      <c r="D66" s="331"/>
      <c r="E66" s="108"/>
      <c r="F66" s="109"/>
      <c r="G66" s="130"/>
    </row>
    <row r="67" spans="1:28">
      <c r="A67" s="214" t="s">
        <v>235</v>
      </c>
      <c r="B67" s="328" t="s">
        <v>552</v>
      </c>
      <c r="C67" s="325"/>
      <c r="D67" s="331"/>
      <c r="E67" s="108"/>
      <c r="F67" s="109"/>
      <c r="G67" s="130"/>
      <c r="I67" s="379"/>
      <c r="J67" s="379"/>
      <c r="K67" s="379"/>
      <c r="L67" s="379"/>
      <c r="M67" s="379"/>
      <c r="N67" s="379"/>
      <c r="O67" s="379"/>
      <c r="P67" s="379"/>
      <c r="Q67" s="379"/>
      <c r="R67" s="379"/>
      <c r="S67" s="379"/>
      <c r="T67" s="379"/>
      <c r="U67" s="379"/>
      <c r="V67" s="379"/>
      <c r="W67" s="379"/>
      <c r="X67" s="379"/>
      <c r="Y67" s="379"/>
      <c r="Z67" s="379"/>
      <c r="AA67" s="379"/>
      <c r="AB67" s="379"/>
    </row>
    <row r="68" spans="1:28" ht="24">
      <c r="A68" s="214" t="s">
        <v>236</v>
      </c>
      <c r="B68" s="328" t="s">
        <v>298</v>
      </c>
      <c r="C68" s="325"/>
      <c r="D68" s="331"/>
      <c r="E68" s="108"/>
      <c r="F68" s="109"/>
      <c r="G68" s="130"/>
      <c r="H68" s="1"/>
      <c r="P68" s="379"/>
      <c r="Q68" s="379"/>
      <c r="R68" s="379"/>
      <c r="S68" s="379"/>
      <c r="T68" s="379"/>
      <c r="U68" s="379"/>
      <c r="V68" s="379"/>
      <c r="W68" s="379"/>
      <c r="X68" s="379"/>
      <c r="Y68" s="379"/>
      <c r="Z68" s="379"/>
      <c r="AA68" s="379"/>
      <c r="AB68" s="379"/>
    </row>
    <row r="69" spans="1:28" ht="24">
      <c r="A69" s="214" t="s">
        <v>237</v>
      </c>
      <c r="B69" s="328" t="s">
        <v>587</v>
      </c>
      <c r="C69" s="325"/>
      <c r="D69" s="331"/>
      <c r="E69" s="108"/>
      <c r="F69" s="109"/>
      <c r="G69" s="130"/>
      <c r="H69" s="1"/>
      <c r="P69" s="379"/>
      <c r="Q69" s="379"/>
      <c r="R69" s="379"/>
      <c r="S69" s="379"/>
      <c r="T69" s="379"/>
      <c r="U69" s="379"/>
      <c r="V69" s="379"/>
      <c r="W69" s="379"/>
      <c r="X69" s="379"/>
      <c r="Y69" s="379"/>
      <c r="Z69" s="379"/>
      <c r="AA69" s="379"/>
      <c r="AB69" s="379"/>
    </row>
    <row r="70" spans="1:28" ht="48">
      <c r="A70" s="214" t="s">
        <v>238</v>
      </c>
      <c r="B70" s="328" t="s">
        <v>727</v>
      </c>
      <c r="C70" s="325"/>
      <c r="D70" s="359"/>
      <c r="E70" s="108"/>
      <c r="F70" s="100"/>
      <c r="G70" s="130"/>
      <c r="H70" s="1"/>
      <c r="P70" s="379"/>
      <c r="Q70" s="379"/>
      <c r="R70" s="379"/>
      <c r="S70" s="379"/>
      <c r="T70" s="379"/>
      <c r="U70" s="379"/>
      <c r="V70" s="379"/>
      <c r="W70" s="379"/>
      <c r="X70" s="379"/>
      <c r="Y70" s="379"/>
      <c r="Z70" s="379"/>
      <c r="AA70" s="379"/>
      <c r="AB70" s="379"/>
    </row>
    <row r="71" spans="1:28" ht="24">
      <c r="A71" s="214" t="s">
        <v>300</v>
      </c>
      <c r="B71" s="328" t="s">
        <v>299</v>
      </c>
      <c r="C71" s="325"/>
      <c r="D71" s="331"/>
      <c r="E71" s="108"/>
      <c r="F71" s="109"/>
      <c r="G71" s="130"/>
      <c r="H71" s="1"/>
      <c r="P71" s="379"/>
      <c r="Q71" s="379"/>
      <c r="R71" s="379"/>
      <c r="S71" s="379"/>
      <c r="T71" s="379"/>
      <c r="U71" s="379"/>
      <c r="V71" s="379"/>
      <c r="W71" s="379"/>
      <c r="X71" s="379"/>
      <c r="Y71" s="379"/>
      <c r="Z71" s="379"/>
      <c r="AA71" s="379"/>
      <c r="AB71" s="379"/>
    </row>
    <row r="72" spans="1:28" ht="48">
      <c r="A72" s="214" t="s">
        <v>303</v>
      </c>
      <c r="B72" s="328" t="s">
        <v>301</v>
      </c>
      <c r="C72" s="325"/>
      <c r="D72" s="331"/>
      <c r="E72" s="108"/>
      <c r="F72" s="109"/>
      <c r="H72" s="1"/>
      <c r="P72" s="379"/>
      <c r="Q72" s="379"/>
      <c r="R72" s="379"/>
      <c r="S72" s="379"/>
      <c r="T72" s="379"/>
      <c r="U72" s="379"/>
      <c r="V72" s="379"/>
      <c r="W72" s="379"/>
      <c r="X72" s="379"/>
      <c r="Y72" s="379"/>
      <c r="Z72" s="379"/>
      <c r="AA72" s="379"/>
      <c r="AB72" s="379"/>
    </row>
    <row r="73" spans="1:28" ht="84">
      <c r="A73" s="114"/>
      <c r="B73" s="110" t="s">
        <v>269</v>
      </c>
      <c r="C73" s="124"/>
      <c r="D73" s="109"/>
      <c r="E73" s="108"/>
      <c r="F73" s="109"/>
      <c r="G73" s="130"/>
      <c r="H73" s="1"/>
      <c r="P73" s="379"/>
      <c r="Q73" s="379"/>
      <c r="R73" s="379"/>
      <c r="S73" s="379"/>
      <c r="T73" s="379"/>
      <c r="U73" s="379"/>
      <c r="V73" s="379"/>
      <c r="W73" s="379"/>
      <c r="X73" s="379"/>
      <c r="Y73" s="379"/>
      <c r="Z73" s="379"/>
      <c r="AA73" s="379"/>
      <c r="AB73" s="379"/>
    </row>
    <row r="74" spans="1:28" ht="24">
      <c r="A74" s="114"/>
      <c r="B74" s="110" t="s">
        <v>270</v>
      </c>
      <c r="C74" s="137"/>
      <c r="D74" s="109"/>
      <c r="E74" s="108"/>
      <c r="F74" s="109"/>
      <c r="G74" s="130"/>
      <c r="H74" s="1"/>
      <c r="P74" s="379"/>
      <c r="Q74" s="379"/>
      <c r="R74" s="379"/>
      <c r="S74" s="379"/>
      <c r="T74" s="379"/>
      <c r="U74" s="379"/>
      <c r="V74" s="379"/>
      <c r="W74" s="379"/>
      <c r="X74" s="379"/>
      <c r="Y74" s="379"/>
      <c r="Z74" s="379"/>
      <c r="AA74" s="379"/>
      <c r="AB74" s="379"/>
    </row>
    <row r="75" spans="1:28" ht="15">
      <c r="A75" s="114"/>
      <c r="B75" s="115" t="s">
        <v>590</v>
      </c>
      <c r="C75" s="137"/>
      <c r="D75" s="109"/>
      <c r="E75" s="108"/>
      <c r="F75" s="109"/>
      <c r="G75" s="130"/>
      <c r="H75" s="1"/>
      <c r="P75" s="379"/>
      <c r="Q75" s="379"/>
      <c r="R75" s="379"/>
      <c r="S75" s="379"/>
      <c r="T75" s="379"/>
      <c r="U75" s="379"/>
      <c r="V75" s="379"/>
      <c r="W75" s="379"/>
      <c r="X75" s="379"/>
      <c r="Y75" s="379"/>
      <c r="Z75" s="379"/>
      <c r="AA75" s="379"/>
      <c r="AB75" s="379"/>
    </row>
    <row r="76" spans="1:28">
      <c r="A76" s="452"/>
      <c r="B76" s="383"/>
      <c r="C76" s="124" t="s">
        <v>148</v>
      </c>
      <c r="D76" s="350">
        <v>10</v>
      </c>
      <c r="E76" s="363"/>
      <c r="F76" s="391">
        <f>D76*E76</f>
        <v>0</v>
      </c>
      <c r="G76" s="130"/>
    </row>
    <row r="77" spans="1:28" s="326" customFormat="1">
      <c r="A77" s="114"/>
      <c r="B77" s="291"/>
      <c r="C77" s="1"/>
      <c r="D77" s="109"/>
      <c r="E77" s="108"/>
      <c r="F77" s="109"/>
      <c r="G77" s="327"/>
      <c r="H77" s="351"/>
    </row>
    <row r="78" spans="1:28">
      <c r="A78" s="111" t="s">
        <v>149</v>
      </c>
      <c r="B78" s="141" t="s">
        <v>591</v>
      </c>
      <c r="C78" s="124"/>
      <c r="D78" s="109"/>
      <c r="E78" s="108"/>
      <c r="F78" s="109"/>
      <c r="G78" s="130"/>
    </row>
    <row r="79" spans="1:28" ht="72">
      <c r="A79" s="94"/>
      <c r="B79" s="328" t="s">
        <v>596</v>
      </c>
      <c r="C79" s="325"/>
      <c r="D79" s="331"/>
      <c r="E79" s="108"/>
      <c r="F79" s="109"/>
    </row>
    <row r="80" spans="1:28" ht="36">
      <c r="A80" s="214" t="s">
        <v>234</v>
      </c>
      <c r="B80" s="328" t="s">
        <v>586</v>
      </c>
      <c r="C80" s="325"/>
      <c r="D80" s="331"/>
      <c r="E80" s="108"/>
      <c r="F80" s="109"/>
      <c r="G80" s="130"/>
    </row>
    <row r="81" spans="1:28">
      <c r="A81" s="214" t="s">
        <v>235</v>
      </c>
      <c r="B81" s="328" t="s">
        <v>552</v>
      </c>
      <c r="C81" s="325"/>
      <c r="D81" s="331"/>
      <c r="E81" s="108"/>
      <c r="F81" s="109"/>
      <c r="G81" s="130"/>
      <c r="H81" s="379"/>
      <c r="P81" s="379"/>
      <c r="Q81" s="379"/>
      <c r="R81" s="379"/>
      <c r="S81" s="379"/>
      <c r="T81" s="379"/>
      <c r="U81" s="379"/>
      <c r="V81" s="379"/>
      <c r="W81" s="379"/>
      <c r="X81" s="379"/>
      <c r="Y81" s="379"/>
      <c r="Z81" s="379"/>
      <c r="AA81" s="379"/>
      <c r="AB81" s="379"/>
    </row>
    <row r="82" spans="1:28" ht="24">
      <c r="A82" s="214" t="s">
        <v>236</v>
      </c>
      <c r="B82" s="328" t="s">
        <v>298</v>
      </c>
      <c r="C82" s="325"/>
      <c r="D82" s="331"/>
      <c r="E82" s="108"/>
      <c r="F82" s="109"/>
      <c r="G82" s="130"/>
      <c r="H82" s="1"/>
      <c r="P82" s="379"/>
      <c r="Q82" s="379"/>
      <c r="R82" s="379"/>
      <c r="S82" s="379"/>
      <c r="T82" s="379"/>
      <c r="U82" s="379"/>
      <c r="V82" s="379"/>
      <c r="W82" s="379"/>
      <c r="X82" s="379"/>
      <c r="Y82" s="379"/>
      <c r="Z82" s="379"/>
      <c r="AA82" s="379"/>
      <c r="AB82" s="379"/>
    </row>
    <row r="83" spans="1:28" ht="24">
      <c r="A83" s="214" t="s">
        <v>237</v>
      </c>
      <c r="B83" s="328" t="s">
        <v>587</v>
      </c>
      <c r="C83" s="325"/>
      <c r="D83" s="331"/>
      <c r="E83" s="108"/>
      <c r="F83" s="109"/>
      <c r="G83" s="130"/>
      <c r="H83" s="1"/>
      <c r="P83" s="379"/>
      <c r="Q83" s="379"/>
      <c r="R83" s="379"/>
      <c r="S83" s="379"/>
      <c r="T83" s="379"/>
      <c r="U83" s="379"/>
      <c r="V83" s="379"/>
      <c r="W83" s="379"/>
      <c r="X83" s="379"/>
      <c r="Y83" s="379"/>
      <c r="Z83" s="379"/>
      <c r="AA83" s="379"/>
      <c r="AB83" s="379"/>
    </row>
    <row r="84" spans="1:28" ht="48">
      <c r="A84" s="214" t="s">
        <v>238</v>
      </c>
      <c r="B84" s="328" t="s">
        <v>727</v>
      </c>
      <c r="C84" s="325"/>
      <c r="D84" s="359"/>
      <c r="E84" s="108"/>
      <c r="F84" s="100"/>
      <c r="G84" s="130"/>
      <c r="H84" s="1"/>
      <c r="P84" s="379"/>
      <c r="Q84" s="379"/>
      <c r="R84" s="379"/>
      <c r="S84" s="379"/>
      <c r="T84" s="379"/>
      <c r="U84" s="379"/>
      <c r="V84" s="379"/>
      <c r="W84" s="379"/>
      <c r="X84" s="379"/>
      <c r="Y84" s="379"/>
      <c r="Z84" s="379"/>
      <c r="AA84" s="379"/>
      <c r="AB84" s="379"/>
    </row>
    <row r="85" spans="1:28" ht="24">
      <c r="A85" s="214" t="s">
        <v>300</v>
      </c>
      <c r="B85" s="328" t="s">
        <v>299</v>
      </c>
      <c r="C85" s="325"/>
      <c r="D85" s="331"/>
      <c r="E85" s="108"/>
      <c r="F85" s="109"/>
      <c r="H85" s="1"/>
      <c r="P85" s="379"/>
      <c r="Q85" s="379"/>
      <c r="R85" s="379"/>
      <c r="S85" s="379"/>
      <c r="T85" s="379"/>
      <c r="U85" s="379"/>
      <c r="V85" s="379"/>
      <c r="W85" s="379"/>
      <c r="X85" s="379"/>
      <c r="Y85" s="379"/>
      <c r="Z85" s="379"/>
      <c r="AA85" s="379"/>
      <c r="AB85" s="379"/>
    </row>
    <row r="86" spans="1:28" ht="48">
      <c r="A86" s="214" t="s">
        <v>303</v>
      </c>
      <c r="B86" s="328" t="s">
        <v>301</v>
      </c>
      <c r="C86" s="325"/>
      <c r="D86" s="331"/>
      <c r="E86" s="108"/>
      <c r="F86" s="109"/>
      <c r="G86" s="130"/>
      <c r="H86" s="1"/>
      <c r="P86" s="379"/>
      <c r="Q86" s="379"/>
      <c r="R86" s="379"/>
      <c r="S86" s="379"/>
      <c r="T86" s="379"/>
      <c r="U86" s="379"/>
      <c r="V86" s="379"/>
      <c r="W86" s="379"/>
      <c r="X86" s="379"/>
      <c r="Y86" s="379"/>
      <c r="Z86" s="379"/>
      <c r="AA86" s="379"/>
      <c r="AB86" s="379"/>
    </row>
    <row r="87" spans="1:28" ht="84">
      <c r="A87" s="114"/>
      <c r="B87" s="110" t="s">
        <v>269</v>
      </c>
      <c r="C87" s="124"/>
      <c r="D87" s="109"/>
      <c r="E87" s="108"/>
      <c r="F87" s="109"/>
      <c r="G87" s="130"/>
      <c r="I87" s="379"/>
      <c r="J87" s="379"/>
      <c r="K87" s="379"/>
      <c r="L87" s="379"/>
      <c r="M87" s="379"/>
      <c r="N87" s="379"/>
      <c r="O87" s="379"/>
      <c r="P87" s="379"/>
      <c r="Q87" s="379"/>
      <c r="R87" s="379"/>
      <c r="S87" s="379"/>
      <c r="T87" s="379"/>
      <c r="U87" s="379"/>
      <c r="V87" s="379"/>
      <c r="W87" s="379"/>
      <c r="X87" s="379"/>
      <c r="Y87" s="379"/>
      <c r="Z87" s="379"/>
      <c r="AA87" s="379"/>
      <c r="AB87" s="379"/>
    </row>
    <row r="88" spans="1:28" ht="24">
      <c r="A88" s="114"/>
      <c r="B88" s="110" t="s">
        <v>270</v>
      </c>
      <c r="C88" s="137"/>
      <c r="D88" s="109"/>
      <c r="E88" s="108"/>
      <c r="F88" s="109"/>
      <c r="G88" s="130"/>
    </row>
    <row r="89" spans="1:28" ht="15">
      <c r="A89" s="114"/>
      <c r="B89" s="115" t="s">
        <v>592</v>
      </c>
      <c r="C89" s="137"/>
      <c r="D89" s="109"/>
      <c r="E89" s="108"/>
      <c r="F89" s="109"/>
      <c r="G89" s="130"/>
    </row>
    <row r="90" spans="1:28" s="326" customFormat="1">
      <c r="A90" s="452"/>
      <c r="B90" s="383"/>
      <c r="C90" s="124" t="s">
        <v>148</v>
      </c>
      <c r="D90" s="350">
        <v>10</v>
      </c>
      <c r="E90" s="363"/>
      <c r="F90" s="391">
        <f>D90*E90</f>
        <v>0</v>
      </c>
      <c r="G90" s="327"/>
      <c r="H90" s="351"/>
    </row>
    <row r="91" spans="1:28">
      <c r="A91" s="114"/>
      <c r="B91" s="291"/>
      <c r="C91" s="1"/>
      <c r="D91" s="109"/>
      <c r="E91" s="108"/>
      <c r="F91" s="109"/>
    </row>
    <row r="92" spans="1:28">
      <c r="A92" s="111" t="s">
        <v>168</v>
      </c>
      <c r="B92" s="141" t="s">
        <v>593</v>
      </c>
      <c r="C92" s="124"/>
      <c r="D92" s="109"/>
      <c r="E92" s="108"/>
      <c r="F92" s="109"/>
      <c r="G92" s="130"/>
    </row>
    <row r="93" spans="1:28" ht="72">
      <c r="A93" s="94"/>
      <c r="B93" s="328" t="s">
        <v>596</v>
      </c>
      <c r="C93" s="325"/>
      <c r="D93" s="331"/>
      <c r="E93" s="108"/>
      <c r="F93" s="109"/>
      <c r="G93" s="130"/>
      <c r="H93" s="379"/>
      <c r="O93" s="379"/>
      <c r="P93" s="379"/>
      <c r="Q93" s="379"/>
      <c r="R93" s="379"/>
      <c r="S93" s="379"/>
      <c r="T93" s="379"/>
      <c r="U93" s="379"/>
      <c r="V93" s="379"/>
      <c r="W93" s="379"/>
      <c r="X93" s="379"/>
      <c r="Y93" s="379"/>
      <c r="Z93" s="379"/>
      <c r="AA93" s="379"/>
      <c r="AB93" s="379"/>
    </row>
    <row r="94" spans="1:28" ht="36">
      <c r="A94" s="214" t="s">
        <v>234</v>
      </c>
      <c r="B94" s="328" t="s">
        <v>586</v>
      </c>
      <c r="C94" s="325"/>
      <c r="D94" s="331"/>
      <c r="E94" s="108"/>
      <c r="F94" s="109"/>
      <c r="G94" s="130"/>
      <c r="H94" s="1"/>
      <c r="O94" s="379"/>
      <c r="P94" s="379"/>
      <c r="Q94" s="379"/>
      <c r="R94" s="379"/>
      <c r="S94" s="379"/>
      <c r="T94" s="379"/>
      <c r="U94" s="379"/>
      <c r="V94" s="379"/>
      <c r="W94" s="379"/>
      <c r="X94" s="379"/>
      <c r="Y94" s="379"/>
      <c r="Z94" s="379"/>
      <c r="AA94" s="379"/>
      <c r="AB94" s="379"/>
    </row>
    <row r="95" spans="1:28">
      <c r="A95" s="214" t="s">
        <v>235</v>
      </c>
      <c r="B95" s="328" t="s">
        <v>552</v>
      </c>
      <c r="C95" s="325"/>
      <c r="D95" s="331"/>
      <c r="E95" s="108"/>
      <c r="F95" s="109"/>
      <c r="G95" s="130"/>
      <c r="H95" s="1"/>
      <c r="O95" s="379"/>
      <c r="P95" s="379"/>
      <c r="Q95" s="379"/>
      <c r="R95" s="379"/>
      <c r="S95" s="379"/>
      <c r="T95" s="379"/>
      <c r="U95" s="379"/>
      <c r="V95" s="379"/>
      <c r="W95" s="379"/>
      <c r="X95" s="379"/>
      <c r="Y95" s="379"/>
      <c r="Z95" s="379"/>
      <c r="AA95" s="379"/>
      <c r="AB95" s="379"/>
    </row>
    <row r="96" spans="1:28" ht="24">
      <c r="A96" s="214" t="s">
        <v>236</v>
      </c>
      <c r="B96" s="328" t="s">
        <v>298</v>
      </c>
      <c r="C96" s="325"/>
      <c r="D96" s="331"/>
      <c r="E96" s="108"/>
      <c r="F96" s="109"/>
      <c r="G96" s="130"/>
      <c r="H96" s="1"/>
      <c r="O96" s="379"/>
      <c r="P96" s="379"/>
      <c r="Q96" s="379"/>
      <c r="R96" s="379"/>
      <c r="S96" s="379"/>
      <c r="T96" s="379"/>
      <c r="U96" s="379"/>
      <c r="V96" s="379"/>
      <c r="W96" s="379"/>
      <c r="X96" s="379"/>
      <c r="Y96" s="379"/>
      <c r="Z96" s="379"/>
      <c r="AA96" s="379"/>
      <c r="AB96" s="379"/>
    </row>
    <row r="97" spans="1:28" ht="24">
      <c r="A97" s="214" t="s">
        <v>237</v>
      </c>
      <c r="B97" s="328" t="s">
        <v>587</v>
      </c>
      <c r="C97" s="325"/>
      <c r="D97" s="331"/>
      <c r="E97" s="108"/>
      <c r="F97" s="109"/>
      <c r="H97" s="1"/>
      <c r="O97" s="379"/>
      <c r="P97" s="379"/>
      <c r="Q97" s="379"/>
      <c r="R97" s="379"/>
      <c r="S97" s="379"/>
      <c r="T97" s="379"/>
      <c r="U97" s="379"/>
      <c r="V97" s="379"/>
      <c r="W97" s="379"/>
      <c r="X97" s="379"/>
      <c r="Y97" s="379"/>
      <c r="Z97" s="379"/>
      <c r="AA97" s="379"/>
      <c r="AB97" s="379"/>
    </row>
    <row r="98" spans="1:28" ht="48">
      <c r="A98" s="214" t="s">
        <v>238</v>
      </c>
      <c r="B98" s="328" t="s">
        <v>727</v>
      </c>
      <c r="C98" s="325"/>
      <c r="D98" s="359"/>
      <c r="E98" s="108"/>
      <c r="F98" s="100"/>
      <c r="H98" s="1"/>
      <c r="O98" s="379"/>
      <c r="P98" s="379"/>
      <c r="Q98" s="379"/>
      <c r="R98" s="379"/>
      <c r="S98" s="379"/>
      <c r="T98" s="379"/>
      <c r="U98" s="379"/>
      <c r="V98" s="379"/>
      <c r="W98" s="379"/>
      <c r="X98" s="379"/>
      <c r="Y98" s="379"/>
      <c r="Z98" s="379"/>
      <c r="AA98" s="379"/>
      <c r="AB98" s="379"/>
    </row>
    <row r="99" spans="1:28" ht="24">
      <c r="A99" s="214" t="s">
        <v>300</v>
      </c>
      <c r="B99" s="328" t="s">
        <v>299</v>
      </c>
      <c r="C99" s="325"/>
      <c r="D99" s="331"/>
      <c r="E99" s="108"/>
      <c r="F99" s="109"/>
      <c r="G99" s="130"/>
      <c r="H99" s="1"/>
      <c r="O99" s="379"/>
      <c r="P99" s="379"/>
      <c r="Q99" s="379"/>
      <c r="R99" s="379"/>
      <c r="S99" s="379"/>
      <c r="T99" s="379"/>
      <c r="U99" s="379"/>
      <c r="V99" s="379"/>
      <c r="W99" s="379"/>
      <c r="X99" s="379"/>
      <c r="Y99" s="379"/>
      <c r="Z99" s="379"/>
      <c r="AA99" s="379"/>
      <c r="AB99" s="379"/>
    </row>
    <row r="100" spans="1:28" ht="48">
      <c r="A100" s="214" t="s">
        <v>303</v>
      </c>
      <c r="B100" s="328" t="s">
        <v>301</v>
      </c>
      <c r="C100" s="325"/>
      <c r="D100" s="331"/>
      <c r="E100" s="108"/>
      <c r="F100" s="109"/>
      <c r="G100" s="130"/>
      <c r="I100" s="379"/>
      <c r="J100" s="379"/>
      <c r="K100" s="379"/>
      <c r="L100" s="379"/>
      <c r="M100" s="379"/>
      <c r="N100" s="379"/>
      <c r="O100" s="379"/>
      <c r="P100" s="379"/>
      <c r="Q100" s="379"/>
      <c r="R100" s="379"/>
      <c r="S100" s="379"/>
      <c r="T100" s="379"/>
      <c r="U100" s="379"/>
      <c r="V100" s="379"/>
      <c r="W100" s="379"/>
      <c r="X100" s="379"/>
      <c r="Y100" s="379"/>
      <c r="Z100" s="379"/>
      <c r="AA100" s="379"/>
      <c r="AB100" s="379"/>
    </row>
    <row r="101" spans="1:28" ht="84">
      <c r="A101" s="114"/>
      <c r="B101" s="110" t="s">
        <v>269</v>
      </c>
      <c r="C101" s="124"/>
      <c r="D101" s="109"/>
      <c r="E101" s="108"/>
      <c r="F101" s="109"/>
      <c r="G101" s="130"/>
      <c r="I101" s="379"/>
      <c r="J101" s="379"/>
      <c r="K101" s="379"/>
      <c r="L101" s="379"/>
      <c r="M101" s="379"/>
      <c r="N101" s="379"/>
      <c r="O101" s="379"/>
      <c r="P101" s="379"/>
      <c r="Q101" s="379"/>
      <c r="R101" s="379"/>
      <c r="S101" s="379"/>
      <c r="T101" s="379"/>
      <c r="U101" s="379"/>
      <c r="V101" s="379"/>
      <c r="W101" s="379"/>
      <c r="X101" s="379"/>
      <c r="Y101" s="379"/>
      <c r="Z101" s="379"/>
      <c r="AA101" s="379"/>
      <c r="AB101" s="379"/>
    </row>
    <row r="102" spans="1:28" ht="24">
      <c r="A102" s="114"/>
      <c r="B102" s="110" t="s">
        <v>270</v>
      </c>
      <c r="C102" s="137"/>
      <c r="D102" s="109"/>
      <c r="E102" s="108"/>
      <c r="F102" s="109"/>
      <c r="G102" s="130"/>
    </row>
    <row r="103" spans="1:28" ht="15">
      <c r="A103" s="114"/>
      <c r="B103" s="115" t="s">
        <v>594</v>
      </c>
      <c r="C103" s="137"/>
      <c r="D103" s="109"/>
      <c r="E103" s="108"/>
      <c r="F103" s="109"/>
      <c r="G103" s="130"/>
    </row>
    <row r="104" spans="1:28" s="326" customFormat="1">
      <c r="A104" s="452"/>
      <c r="B104" s="383"/>
      <c r="C104" s="124" t="s">
        <v>148</v>
      </c>
      <c r="D104" s="350">
        <v>10</v>
      </c>
      <c r="E104" s="363"/>
      <c r="F104" s="391">
        <f>D104*E104</f>
        <v>0</v>
      </c>
      <c r="G104" s="327"/>
      <c r="H104" s="351"/>
    </row>
    <row r="105" spans="1:28" ht="12" customHeight="1" thickBot="1">
      <c r="A105" s="114"/>
      <c r="B105" s="399"/>
      <c r="C105" s="1"/>
      <c r="D105" s="109"/>
      <c r="E105" s="108"/>
      <c r="F105" s="109"/>
    </row>
    <row r="106" spans="1:28" ht="15" thickBot="1">
      <c r="A106" s="575" t="s">
        <v>77</v>
      </c>
      <c r="B106" s="469" t="s">
        <v>595</v>
      </c>
      <c r="C106" s="576"/>
      <c r="D106" s="250"/>
      <c r="E106" s="251" t="s">
        <v>28</v>
      </c>
      <c r="F106" s="577">
        <f>SUM(F20:F104)</f>
        <v>0</v>
      </c>
    </row>
  </sheetData>
  <mergeCells count="5">
    <mergeCell ref="A2:F2"/>
    <mergeCell ref="A3:F3"/>
    <mergeCell ref="B7:F7"/>
    <mergeCell ref="H19:N23"/>
    <mergeCell ref="H38:Q44"/>
  </mergeCells>
  <printOptions horizontalCentered="1"/>
  <pageMargins left="0.7" right="0.7" top="0.75" bottom="0.75" header="0.3" footer="0.3"/>
  <pageSetup paperSize="9" fitToHeight="0"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6" manualBreakCount="6">
    <brk id="21" max="5" man="1"/>
    <brk id="35" max="5" man="1"/>
    <brk id="49" max="5" man="1"/>
    <brk id="63" max="5" man="1"/>
    <brk id="77" max="5" man="1"/>
    <brk id="91" max="5"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tabColor theme="6" tint="0.39997558519241921"/>
  </sheetPr>
  <dimension ref="A1:S118"/>
  <sheetViews>
    <sheetView view="pageLayout" topLeftCell="A92" zoomScale="85" zoomScaleNormal="100" zoomScaleSheetLayoutView="100" zoomScalePageLayoutView="85" workbookViewId="0">
      <selection activeCell="B66" sqref="B66"/>
    </sheetView>
  </sheetViews>
  <sheetFormatPr defaultColWidth="9.28515625" defaultRowHeight="14.25"/>
  <cols>
    <col min="1" max="1" width="5.7109375" style="1" customWidth="1"/>
    <col min="2" max="2" width="44.140625" style="1" customWidth="1"/>
    <col min="3" max="3" width="8.140625" style="132" customWidth="1"/>
    <col min="4" max="4" width="8.140625" style="296" customWidth="1"/>
    <col min="5" max="6" width="10.140625" style="99" customWidth="1"/>
    <col min="7" max="7" width="0" style="1" hidden="1" customWidth="1"/>
    <col min="8" max="8" width="7.42578125" style="1" hidden="1" customWidth="1"/>
    <col min="9" max="19" width="0" style="1" hidden="1" customWidth="1"/>
    <col min="20" max="16384" width="9.28515625" style="1"/>
  </cols>
  <sheetData>
    <row r="1" spans="1:6" ht="15">
      <c r="A1" s="137"/>
      <c r="B1" s="137"/>
      <c r="C1" s="209"/>
      <c r="D1" s="206"/>
      <c r="E1" s="207"/>
      <c r="F1" s="207"/>
    </row>
    <row r="2" spans="1:6">
      <c r="A2" s="638" t="s">
        <v>108</v>
      </c>
      <c r="B2" s="639"/>
      <c r="C2" s="639"/>
      <c r="D2" s="639"/>
      <c r="E2" s="639"/>
      <c r="F2" s="640"/>
    </row>
    <row r="3" spans="1:6">
      <c r="A3" s="642" t="s">
        <v>304</v>
      </c>
      <c r="B3" s="642"/>
      <c r="C3" s="642"/>
      <c r="D3" s="642"/>
      <c r="E3" s="642"/>
      <c r="F3" s="642"/>
    </row>
    <row r="4" spans="1:6">
      <c r="A4" s="116" t="s">
        <v>110</v>
      </c>
      <c r="B4" s="116" t="s">
        <v>111</v>
      </c>
      <c r="C4" s="116" t="s">
        <v>112</v>
      </c>
      <c r="D4" s="268" t="s">
        <v>113</v>
      </c>
      <c r="E4" s="268" t="s">
        <v>114</v>
      </c>
      <c r="F4" s="268" t="s">
        <v>115</v>
      </c>
    </row>
    <row r="5" spans="1:6">
      <c r="A5" s="105"/>
      <c r="B5" s="105"/>
      <c r="C5" s="105"/>
      <c r="D5" s="269"/>
      <c r="E5" s="269"/>
      <c r="F5" s="269"/>
    </row>
    <row r="6" spans="1:6" ht="15.75" thickBot="1">
      <c r="A6" s="106" t="s">
        <v>60</v>
      </c>
      <c r="B6" s="329" t="s">
        <v>305</v>
      </c>
      <c r="C6" s="329"/>
      <c r="D6" s="330"/>
      <c r="E6" s="330"/>
      <c r="F6" s="330"/>
    </row>
    <row r="7" spans="1:6">
      <c r="A7" s="317"/>
      <c r="B7" s="114"/>
      <c r="C7" s="112"/>
      <c r="D7" s="331"/>
      <c r="E7" s="225"/>
      <c r="F7" s="225"/>
    </row>
    <row r="8" spans="1:6" ht="20.25" customHeight="1">
      <c r="A8" s="663" t="s">
        <v>81</v>
      </c>
      <c r="B8" s="663"/>
      <c r="C8" s="312"/>
      <c r="D8" s="308"/>
      <c r="E8" s="208"/>
      <c r="F8" s="208"/>
    </row>
    <row r="9" spans="1:6" ht="15">
      <c r="A9" s="332"/>
      <c r="B9" s="332"/>
      <c r="C9" s="312"/>
      <c r="D9" s="308"/>
      <c r="E9" s="208"/>
      <c r="F9" s="208"/>
    </row>
    <row r="10" spans="1:6" s="130" customFormat="1" ht="128.25" customHeight="1">
      <c r="A10" s="656" t="s">
        <v>306</v>
      </c>
      <c r="B10" s="656"/>
      <c r="C10" s="656"/>
      <c r="D10" s="656"/>
      <c r="E10" s="656"/>
      <c r="F10" s="208"/>
    </row>
    <row r="11" spans="1:6" s="130" customFormat="1">
      <c r="A11" s="111"/>
      <c r="B11" s="111"/>
      <c r="C11" s="111"/>
      <c r="D11" s="315"/>
      <c r="E11" s="315"/>
      <c r="F11" s="208"/>
    </row>
    <row r="12" spans="1:6" s="130" customFormat="1" ht="409.5" customHeight="1">
      <c r="A12" s="656" t="s">
        <v>307</v>
      </c>
      <c r="B12" s="656"/>
      <c r="C12" s="656"/>
      <c r="D12" s="656"/>
      <c r="E12" s="656"/>
      <c r="F12" s="208"/>
    </row>
    <row r="13" spans="1:6" s="130" customFormat="1">
      <c r="A13" s="111"/>
      <c r="B13" s="288"/>
      <c r="C13" s="288"/>
      <c r="D13" s="314"/>
      <c r="E13" s="314"/>
      <c r="F13" s="208"/>
    </row>
    <row r="14" spans="1:6" s="130" customFormat="1" ht="97.5" customHeight="1">
      <c r="A14" s="656" t="s">
        <v>308</v>
      </c>
      <c r="B14" s="664"/>
      <c r="C14" s="664"/>
      <c r="D14" s="664"/>
      <c r="E14" s="664"/>
      <c r="F14" s="208"/>
    </row>
    <row r="15" spans="1:6" s="130" customFormat="1">
      <c r="A15" s="111"/>
      <c r="B15" s="288"/>
      <c r="C15" s="288"/>
      <c r="D15" s="314"/>
      <c r="E15" s="314"/>
      <c r="F15" s="208"/>
    </row>
    <row r="16" spans="1:6" s="130" customFormat="1" ht="100.5" customHeight="1">
      <c r="A16" s="656" t="s">
        <v>309</v>
      </c>
      <c r="B16" s="664"/>
      <c r="C16" s="664"/>
      <c r="D16" s="664"/>
      <c r="E16" s="664"/>
      <c r="F16" s="208"/>
    </row>
    <row r="17" spans="1:6" s="130" customFormat="1">
      <c r="A17" s="111"/>
      <c r="B17" s="288"/>
      <c r="C17" s="288"/>
      <c r="D17" s="314"/>
      <c r="E17" s="314"/>
      <c r="F17" s="208"/>
    </row>
    <row r="18" spans="1:6" s="130" customFormat="1" ht="28.5" customHeight="1">
      <c r="A18" s="656" t="s">
        <v>248</v>
      </c>
      <c r="B18" s="664"/>
      <c r="C18" s="664"/>
      <c r="D18" s="664"/>
      <c r="E18" s="664"/>
      <c r="F18" s="208"/>
    </row>
    <row r="19" spans="1:6" s="130" customFormat="1">
      <c r="A19" s="111"/>
      <c r="B19" s="288"/>
      <c r="C19" s="288"/>
      <c r="D19" s="314"/>
      <c r="E19" s="314"/>
      <c r="F19" s="208"/>
    </row>
    <row r="20" spans="1:6" s="130" customFormat="1" ht="65.25" customHeight="1">
      <c r="A20" s="656" t="s">
        <v>310</v>
      </c>
      <c r="B20" s="664"/>
      <c r="C20" s="664"/>
      <c r="D20" s="664"/>
      <c r="E20" s="664"/>
      <c r="F20" s="208"/>
    </row>
    <row r="21" spans="1:6" s="130" customFormat="1">
      <c r="A21" s="111"/>
      <c r="B21" s="288"/>
      <c r="C21" s="288"/>
      <c r="D21" s="314"/>
      <c r="E21" s="314"/>
      <c r="F21" s="208"/>
    </row>
    <row r="22" spans="1:6" s="130" customFormat="1" ht="90.75" customHeight="1">
      <c r="A22" s="656" t="s">
        <v>311</v>
      </c>
      <c r="B22" s="664"/>
      <c r="C22" s="664"/>
      <c r="D22" s="664"/>
      <c r="E22" s="664"/>
      <c r="F22" s="208"/>
    </row>
    <row r="23" spans="1:6" s="130" customFormat="1">
      <c r="A23" s="111"/>
      <c r="B23" s="288"/>
      <c r="C23" s="288"/>
      <c r="D23" s="314"/>
      <c r="E23" s="314"/>
      <c r="F23" s="208"/>
    </row>
    <row r="24" spans="1:6" s="130" customFormat="1" ht="171.75" customHeight="1">
      <c r="A24" s="656" t="s">
        <v>312</v>
      </c>
      <c r="B24" s="669"/>
      <c r="C24" s="669"/>
      <c r="D24" s="669"/>
      <c r="E24" s="669"/>
      <c r="F24" s="208"/>
    </row>
    <row r="25" spans="1:6" s="130" customFormat="1" ht="109.5" customHeight="1">
      <c r="A25" s="656" t="s">
        <v>313</v>
      </c>
      <c r="B25" s="664"/>
      <c r="C25" s="664"/>
      <c r="D25" s="664"/>
      <c r="E25" s="664"/>
      <c r="F25" s="208"/>
    </row>
    <row r="26" spans="1:6" s="130" customFormat="1" ht="18" customHeight="1">
      <c r="A26" s="111"/>
      <c r="B26" s="288"/>
      <c r="C26" s="288"/>
      <c r="D26" s="314"/>
      <c r="E26" s="314"/>
      <c r="F26" s="208"/>
    </row>
    <row r="27" spans="1:6" s="130" customFormat="1">
      <c r="A27" s="656" t="s">
        <v>314</v>
      </c>
      <c r="B27" s="627"/>
      <c r="C27" s="627"/>
      <c r="D27" s="627"/>
      <c r="E27" s="627"/>
      <c r="F27" s="208"/>
    </row>
    <row r="28" spans="1:6" s="130" customFormat="1">
      <c r="A28" s="656"/>
      <c r="B28" s="627"/>
      <c r="C28" s="627"/>
      <c r="D28" s="627"/>
      <c r="E28" s="627"/>
      <c r="F28" s="208"/>
    </row>
    <row r="29" spans="1:6" s="130" customFormat="1" ht="29.25" customHeight="1">
      <c r="A29" s="656"/>
      <c r="B29" s="627"/>
      <c r="C29" s="627"/>
      <c r="D29" s="627"/>
      <c r="E29" s="627"/>
      <c r="F29" s="208"/>
    </row>
    <row r="30" spans="1:6" s="130" customFormat="1">
      <c r="A30" s="656"/>
      <c r="B30" s="627"/>
      <c r="C30" s="627"/>
      <c r="D30" s="627"/>
      <c r="E30" s="627"/>
      <c r="F30" s="208"/>
    </row>
    <row r="31" spans="1:6" s="130" customFormat="1">
      <c r="A31" s="656"/>
      <c r="B31" s="627"/>
      <c r="C31" s="627"/>
      <c r="D31" s="627"/>
      <c r="E31" s="627"/>
      <c r="F31" s="208"/>
    </row>
    <row r="32" spans="1:6" s="130" customFormat="1">
      <c r="A32" s="656"/>
      <c r="B32" s="627"/>
      <c r="C32" s="627"/>
      <c r="D32" s="627"/>
      <c r="E32" s="627"/>
      <c r="F32" s="208"/>
    </row>
    <row r="33" spans="1:6" s="130" customFormat="1">
      <c r="A33" s="656"/>
      <c r="B33" s="627"/>
      <c r="C33" s="627"/>
      <c r="D33" s="627"/>
      <c r="E33" s="627"/>
      <c r="F33" s="208"/>
    </row>
    <row r="34" spans="1:6" s="130" customFormat="1">
      <c r="A34" s="656"/>
      <c r="B34" s="627"/>
      <c r="C34" s="627"/>
      <c r="D34" s="627"/>
      <c r="E34" s="627"/>
      <c r="F34" s="208"/>
    </row>
    <row r="35" spans="1:6" s="130" customFormat="1">
      <c r="A35" s="656"/>
      <c r="B35" s="627"/>
      <c r="C35" s="627"/>
      <c r="D35" s="627"/>
      <c r="E35" s="627"/>
      <c r="F35" s="208"/>
    </row>
    <row r="36" spans="1:6" s="130" customFormat="1">
      <c r="A36" s="656"/>
      <c r="B36" s="627"/>
      <c r="C36" s="627"/>
      <c r="D36" s="627"/>
      <c r="E36" s="627"/>
      <c r="F36" s="208"/>
    </row>
    <row r="37" spans="1:6" s="130" customFormat="1">
      <c r="A37" s="656"/>
      <c r="B37" s="627"/>
      <c r="C37" s="627"/>
      <c r="D37" s="627"/>
      <c r="E37" s="627"/>
      <c r="F37" s="208"/>
    </row>
    <row r="38" spans="1:6" s="130" customFormat="1" ht="15" customHeight="1">
      <c r="A38" s="656"/>
      <c r="B38" s="627"/>
      <c r="C38" s="627"/>
      <c r="D38" s="667"/>
      <c r="E38" s="627"/>
      <c r="F38" s="208"/>
    </row>
    <row r="39" spans="1:6" s="130" customFormat="1">
      <c r="A39" s="656"/>
      <c r="B39" s="627"/>
      <c r="C39" s="627"/>
      <c r="D39" s="627"/>
      <c r="E39" s="627"/>
      <c r="F39" s="208"/>
    </row>
    <row r="40" spans="1:6" s="130" customFormat="1">
      <c r="A40" s="656"/>
      <c r="B40" s="627"/>
      <c r="C40" s="627"/>
      <c r="D40" s="627"/>
      <c r="E40" s="627"/>
      <c r="F40" s="208"/>
    </row>
    <row r="41" spans="1:6" s="130" customFormat="1">
      <c r="A41" s="656"/>
      <c r="B41" s="627"/>
      <c r="C41" s="627"/>
      <c r="D41" s="627"/>
      <c r="E41" s="627"/>
      <c r="F41" s="208"/>
    </row>
    <row r="42" spans="1:6" s="130" customFormat="1">
      <c r="A42" s="656"/>
      <c r="B42" s="627"/>
      <c r="C42" s="627"/>
      <c r="D42" s="627"/>
      <c r="E42" s="627"/>
      <c r="F42" s="208"/>
    </row>
    <row r="43" spans="1:6" s="130" customFormat="1">
      <c r="A43" s="656"/>
      <c r="B43" s="627"/>
      <c r="C43" s="627"/>
      <c r="D43" s="667"/>
      <c r="E43" s="627"/>
      <c r="F43" s="208"/>
    </row>
    <row r="44" spans="1:6" s="130" customFormat="1">
      <c r="A44" s="656"/>
      <c r="B44" s="627"/>
      <c r="C44" s="627"/>
      <c r="D44" s="627"/>
      <c r="E44" s="627"/>
      <c r="F44" s="208"/>
    </row>
    <row r="45" spans="1:6" s="130" customFormat="1" ht="139.5" customHeight="1">
      <c r="A45" s="627"/>
      <c r="B45" s="627"/>
      <c r="C45" s="627"/>
      <c r="D45" s="627"/>
      <c r="E45" s="627"/>
      <c r="F45" s="208"/>
    </row>
    <row r="46" spans="1:6" s="130" customFormat="1">
      <c r="A46" s="111"/>
      <c r="B46" s="288"/>
      <c r="C46" s="288"/>
      <c r="D46" s="314"/>
      <c r="E46" s="314"/>
      <c r="F46" s="208"/>
    </row>
    <row r="47" spans="1:6" s="130" customFormat="1" ht="72.75" customHeight="1">
      <c r="A47" s="656" t="s">
        <v>315</v>
      </c>
      <c r="B47" s="650"/>
      <c r="C47" s="650"/>
      <c r="D47" s="668"/>
      <c r="E47" s="650"/>
      <c r="F47" s="208"/>
    </row>
    <row r="48" spans="1:6" s="130" customFormat="1">
      <c r="A48" s="111"/>
      <c r="B48" s="288"/>
      <c r="C48" s="288"/>
      <c r="D48" s="314"/>
      <c r="E48" s="314"/>
      <c r="F48" s="208"/>
    </row>
    <row r="49" spans="1:8" s="130" customFormat="1" ht="42" customHeight="1">
      <c r="A49" s="656" t="s">
        <v>316</v>
      </c>
      <c r="B49" s="664"/>
      <c r="C49" s="664"/>
      <c r="D49" s="664"/>
      <c r="E49" s="664"/>
      <c r="F49" s="208"/>
    </row>
    <row r="50" spans="1:8" s="130" customFormat="1">
      <c r="A50" s="111"/>
      <c r="B50" s="288"/>
      <c r="C50" s="288"/>
      <c r="D50" s="314"/>
      <c r="E50" s="314"/>
      <c r="F50" s="208"/>
    </row>
    <row r="51" spans="1:8" s="130" customFormat="1" ht="77.45" customHeight="1">
      <c r="A51" s="656" t="s">
        <v>317</v>
      </c>
      <c r="B51" s="671"/>
      <c r="C51" s="671"/>
      <c r="D51" s="671"/>
      <c r="E51" s="671"/>
      <c r="F51" s="208"/>
    </row>
    <row r="52" spans="1:8" s="130" customFormat="1">
      <c r="A52" s="111"/>
      <c r="B52" s="288"/>
      <c r="C52" s="288"/>
      <c r="D52" s="314"/>
      <c r="E52" s="314"/>
      <c r="F52" s="208"/>
    </row>
    <row r="53" spans="1:8" s="130" customFormat="1" ht="27" customHeight="1">
      <c r="A53" s="656" t="s">
        <v>200</v>
      </c>
      <c r="B53" s="671"/>
      <c r="C53" s="671"/>
      <c r="D53" s="671"/>
      <c r="E53" s="671"/>
      <c r="F53" s="208"/>
    </row>
    <row r="54" spans="1:8" s="130" customFormat="1">
      <c r="A54" s="111"/>
      <c r="B54" s="288"/>
      <c r="C54" s="288"/>
      <c r="D54" s="314"/>
      <c r="E54" s="314"/>
      <c r="F54" s="208"/>
    </row>
    <row r="55" spans="1:8" s="130" customFormat="1" ht="98.25" customHeight="1">
      <c r="A55" s="656" t="s">
        <v>318</v>
      </c>
      <c r="B55" s="657"/>
      <c r="C55" s="657"/>
      <c r="D55" s="657"/>
      <c r="E55" s="657"/>
      <c r="F55" s="208"/>
    </row>
    <row r="56" spans="1:8" s="130" customFormat="1">
      <c r="A56" s="111"/>
      <c r="B56" s="203"/>
      <c r="C56" s="203"/>
      <c r="D56" s="335"/>
      <c r="E56" s="335"/>
      <c r="F56" s="208"/>
    </row>
    <row r="57" spans="1:8" s="130" customFormat="1" ht="78.75" customHeight="1">
      <c r="A57" s="656" t="s">
        <v>319</v>
      </c>
      <c r="B57" s="670"/>
      <c r="C57" s="670"/>
      <c r="D57" s="670"/>
      <c r="E57" s="670"/>
      <c r="F57" s="208"/>
    </row>
    <row r="58" spans="1:8" s="130" customFormat="1" ht="15">
      <c r="A58" s="111"/>
      <c r="B58" s="336"/>
      <c r="C58" s="336"/>
      <c r="D58" s="337"/>
      <c r="E58" s="337"/>
      <c r="F58" s="208"/>
    </row>
    <row r="59" spans="1:8" s="130" customFormat="1" ht="114.75" customHeight="1">
      <c r="A59" s="665" t="s">
        <v>320</v>
      </c>
      <c r="B59" s="666"/>
      <c r="C59" s="666"/>
      <c r="D59" s="666"/>
      <c r="E59" s="666"/>
      <c r="F59" s="208"/>
    </row>
    <row r="60" spans="1:8" s="130" customFormat="1" ht="14.45" customHeight="1">
      <c r="A60" s="111"/>
      <c r="B60" s="137"/>
      <c r="C60" s="137"/>
      <c r="D60" s="207"/>
      <c r="E60" s="207"/>
      <c r="F60" s="208"/>
    </row>
    <row r="61" spans="1:8" s="130" customFormat="1" ht="31.5" customHeight="1">
      <c r="A61" s="114" t="s">
        <v>27</v>
      </c>
      <c r="B61" s="386" t="s">
        <v>601</v>
      </c>
      <c r="C61" s="203"/>
      <c r="D61" s="109"/>
      <c r="E61" s="108"/>
      <c r="F61" s="109"/>
      <c r="G61" s="140"/>
      <c r="H61" s="140"/>
    </row>
    <row r="62" spans="1:8" s="130" customFormat="1" ht="131.25" customHeight="1">
      <c r="A62" s="137"/>
      <c r="B62" s="338" t="s">
        <v>321</v>
      </c>
      <c r="C62" s="112"/>
      <c r="D62" s="109"/>
      <c r="E62" s="108"/>
      <c r="F62" s="109"/>
      <c r="G62" s="140" t="s">
        <v>18</v>
      </c>
      <c r="H62" s="140"/>
    </row>
    <row r="63" spans="1:8" s="130" customFormat="1" ht="124.5" customHeight="1">
      <c r="A63" s="137"/>
      <c r="B63" s="82" t="s">
        <v>322</v>
      </c>
      <c r="C63" s="112"/>
      <c r="D63" s="109"/>
      <c r="E63" s="108"/>
      <c r="F63" s="109"/>
      <c r="G63" s="140" t="s">
        <v>18</v>
      </c>
      <c r="H63" s="140"/>
    </row>
    <row r="64" spans="1:8" s="130" customFormat="1" ht="63.75" customHeight="1">
      <c r="A64" s="137"/>
      <c r="B64" s="82" t="s">
        <v>323</v>
      </c>
      <c r="C64" s="112"/>
      <c r="D64" s="109"/>
      <c r="E64" s="108"/>
      <c r="F64" s="109"/>
      <c r="G64" s="140"/>
      <c r="H64" s="140"/>
    </row>
    <row r="65" spans="1:19" s="130" customFormat="1" ht="60.75" customHeight="1">
      <c r="A65" s="114"/>
      <c r="B65" s="82" t="s">
        <v>602</v>
      </c>
      <c r="C65" s="112"/>
      <c r="D65" s="109"/>
      <c r="E65" s="108"/>
      <c r="F65" s="109"/>
      <c r="G65" s="140"/>
      <c r="H65" s="140"/>
    </row>
    <row r="66" spans="1:19" s="130" customFormat="1" ht="121.5" customHeight="1">
      <c r="A66" s="114"/>
      <c r="B66" s="339" t="s">
        <v>324</v>
      </c>
      <c r="C66" s="112"/>
      <c r="D66" s="109"/>
      <c r="E66" s="108"/>
      <c r="F66" s="109"/>
      <c r="G66" s="140"/>
      <c r="H66" s="140"/>
    </row>
    <row r="67" spans="1:19" s="130" customFormat="1" ht="6.75" customHeight="1">
      <c r="A67" s="114"/>
      <c r="B67" s="111"/>
      <c r="C67" s="209"/>
      <c r="D67" s="109"/>
      <c r="E67" s="108"/>
      <c r="F67" s="109"/>
      <c r="G67" s="287"/>
      <c r="H67" s="140"/>
    </row>
    <row r="68" spans="1:19">
      <c r="A68" s="452"/>
      <c r="B68" s="548" t="s">
        <v>603</v>
      </c>
      <c r="C68" s="383" t="s">
        <v>133</v>
      </c>
      <c r="D68" s="383">
        <v>1810</v>
      </c>
      <c r="E68" s="363"/>
      <c r="F68" s="350">
        <f>D68*E68</f>
        <v>0</v>
      </c>
      <c r="G68" s="447">
        <f>7.15*111</f>
        <v>793.65000000000009</v>
      </c>
      <c r="H68" s="1" t="s">
        <v>325</v>
      </c>
    </row>
    <row r="69" spans="1:19">
      <c r="A69" s="114"/>
      <c r="B69" s="548" t="s">
        <v>604</v>
      </c>
      <c r="C69" s="383" t="s">
        <v>133</v>
      </c>
      <c r="D69" s="383">
        <v>90</v>
      </c>
      <c r="E69" s="363"/>
      <c r="F69" s="350">
        <f>D69*E69</f>
        <v>0</v>
      </c>
      <c r="G69" s="304"/>
    </row>
    <row r="70" spans="1:19" ht="24">
      <c r="A70" s="114"/>
      <c r="B70" s="548" t="s">
        <v>605</v>
      </c>
      <c r="C70" s="383" t="s">
        <v>133</v>
      </c>
      <c r="D70" s="383">
        <f>(1.7*30)+15</f>
        <v>66</v>
      </c>
      <c r="E70" s="363"/>
      <c r="F70" s="350">
        <f>D70*E70</f>
        <v>0</v>
      </c>
      <c r="G70" s="304"/>
    </row>
    <row r="71" spans="1:19">
      <c r="A71" s="114"/>
      <c r="B71" s="196" t="s">
        <v>607</v>
      </c>
      <c r="C71" s="589" t="s">
        <v>133</v>
      </c>
      <c r="D71" s="90">
        <v>35</v>
      </c>
      <c r="E71" s="108"/>
      <c r="F71" s="309">
        <f t="shared" ref="F71:F74" si="0">D71*E71</f>
        <v>0</v>
      </c>
      <c r="G71" s="304"/>
    </row>
    <row r="72" spans="1:19">
      <c r="A72" s="114"/>
      <c r="B72" s="196" t="s">
        <v>608</v>
      </c>
      <c r="C72" s="589" t="s">
        <v>133</v>
      </c>
      <c r="D72" s="90">
        <v>390</v>
      </c>
      <c r="E72" s="108"/>
      <c r="F72" s="309">
        <f t="shared" si="0"/>
        <v>0</v>
      </c>
      <c r="G72" s="447">
        <f>4.45*25</f>
        <v>111.25</v>
      </c>
    </row>
    <row r="73" spans="1:19" s="130" customFormat="1">
      <c r="A73" s="114"/>
      <c r="B73" s="590" t="s">
        <v>329</v>
      </c>
      <c r="C73" s="589" t="s">
        <v>133</v>
      </c>
      <c r="D73" s="90">
        <v>2326</v>
      </c>
      <c r="E73" s="108"/>
      <c r="F73" s="309">
        <f t="shared" si="0"/>
        <v>0</v>
      </c>
      <c r="G73" s="195" t="s">
        <v>326</v>
      </c>
      <c r="H73" s="417">
        <f>(1*1.2*5)+(2.3*0.7)+(3*0.7)+(1.7*1.3*15)+(0.9*1.3*2)+(0.95*2.2*3)+(2.15*1.3*2)+(1.1*1.3)+(1*0.8)+(1*1.1)</f>
        <v>60.39</v>
      </c>
      <c r="I73" s="419"/>
      <c r="J73" s="417">
        <f>P74*0.17</f>
        <v>7.3593000000000002</v>
      </c>
      <c r="K73" s="195" t="s">
        <v>205</v>
      </c>
      <c r="L73" s="195" t="s">
        <v>327</v>
      </c>
      <c r="M73" s="195">
        <f>((1.2+1+1.2)*4)+(2.3+0.7+0.7)+(3+0.7+0.7)+((1.7+1.3+1.3)*8)+(1+0.8+0.8)</f>
        <v>58.7</v>
      </c>
      <c r="N73" s="195" t="s">
        <v>257</v>
      </c>
      <c r="O73" s="195" t="s">
        <v>328</v>
      </c>
      <c r="P73" s="195">
        <f>((0.95+2.2+2.2-1.3-1.3)*2)+((0.9+1.3)*2)+((2.15+1.3)*2)+(0.95+2.2+2.2-1.3)+(1.1+1.3)</f>
        <v>23.250000000000007</v>
      </c>
      <c r="Q73" s="195" t="s">
        <v>257</v>
      </c>
    </row>
    <row r="74" spans="1:19" s="130" customFormat="1">
      <c r="A74" s="114"/>
      <c r="B74" s="591" t="s">
        <v>606</v>
      </c>
      <c r="C74" s="589" t="s">
        <v>133</v>
      </c>
      <c r="D74" s="90">
        <v>759</v>
      </c>
      <c r="E74" s="108"/>
      <c r="F74" s="309">
        <f t="shared" si="0"/>
        <v>0</v>
      </c>
      <c r="G74" s="417" t="s">
        <v>330</v>
      </c>
      <c r="H74" s="418">
        <f>(3*2)+(2.09*4)+(1.75*4)-(8.11*3)+(1*2.2*2)+(3.9*0.5*3)</f>
        <v>7.2800000000000011</v>
      </c>
      <c r="I74" s="419"/>
      <c r="J74" s="417"/>
      <c r="K74" s="195"/>
      <c r="L74" s="195" t="s">
        <v>331</v>
      </c>
      <c r="M74" s="195">
        <f>((1.7+1.3+1.3)*8)+((0.9+1.3)*2)+((0.95+2.2+2.2-1.3-1.3)*2)+((2.15+1.3)*2)+(0.95+2.2+2.2-1.3)+(1.1+1.3)+(3+1.3+1.3)+(1+1.1+1.1)-P73</f>
        <v>43.199999999999996</v>
      </c>
      <c r="N74" s="195" t="s">
        <v>257</v>
      </c>
      <c r="O74" s="195" t="s">
        <v>332</v>
      </c>
      <c r="P74" s="195">
        <f>(2.85+2.85+3.9)*3+(4.83*3)</f>
        <v>43.29</v>
      </c>
      <c r="Q74" s="195" t="s">
        <v>257</v>
      </c>
    </row>
    <row r="75" spans="1:19">
      <c r="A75" s="202"/>
      <c r="B75" s="111"/>
      <c r="C75" s="215"/>
      <c r="D75" s="228"/>
      <c r="E75" s="216"/>
      <c r="F75" s="204">
        <f>SUM(F68:F74)</f>
        <v>0</v>
      </c>
      <c r="G75" s="417" t="s">
        <v>333</v>
      </c>
      <c r="H75" s="418">
        <f>(5.3*0.5*3)+(1*2.1*2)-3-2+(15*1.7*1.3)+(1*0.8)+(1.7*2.25)-0.82+(1.25*0.8)+(1*2.5)+(3*0.7)+(0.65*0.7*2)+(2.15*2.4)+(0.95*2.2*3)+(0.9*1.3*2)+(2.15*1.3*2)+(3*1.3)+(1*1.1)+(5.4*0.5*3)</f>
        <v>83.074999999999989</v>
      </c>
      <c r="I75" s="415"/>
      <c r="J75" s="415"/>
      <c r="K75" s="198"/>
      <c r="L75" s="415" t="s">
        <v>334</v>
      </c>
      <c r="M75" s="198">
        <f>(1.4+2.35+2.35)+(0.65+0.7+0.7)</f>
        <v>8.1499999999999986</v>
      </c>
      <c r="N75" s="195" t="s">
        <v>257</v>
      </c>
      <c r="O75" s="415" t="s">
        <v>335</v>
      </c>
      <c r="P75" s="415">
        <f>((2.3+1.3+1.3)*2)+((0.95+2.2+2.2-1.3)*4)+((1.35+1.3)*4)</f>
        <v>36.6</v>
      </c>
      <c r="Q75" s="195" t="s">
        <v>257</v>
      </c>
    </row>
    <row r="76" spans="1:19">
      <c r="A76" s="202"/>
      <c r="B76" s="111"/>
      <c r="C76" s="112"/>
      <c r="D76" s="109"/>
      <c r="E76" s="108"/>
      <c r="F76" s="197"/>
      <c r="G76" s="417"/>
      <c r="H76" s="418"/>
      <c r="I76" s="415"/>
      <c r="J76" s="415"/>
      <c r="K76" s="198"/>
      <c r="L76" s="415"/>
      <c r="M76" s="198"/>
      <c r="N76" s="195"/>
      <c r="O76" s="415"/>
      <c r="P76" s="415"/>
      <c r="Q76" s="195"/>
    </row>
    <row r="77" spans="1:19" ht="24">
      <c r="A77" s="449" t="s">
        <v>29</v>
      </c>
      <c r="B77" s="243" t="s">
        <v>609</v>
      </c>
      <c r="C77" s="124"/>
      <c r="D77" s="383"/>
      <c r="E77" s="363"/>
      <c r="F77" s="592"/>
      <c r="G77" s="417" t="s">
        <v>336</v>
      </c>
      <c r="H77" s="416">
        <f>3+(0.45)+(1*2.2*4)+(0.9*0.7*2)+(0.9*2.2)+(0.8*1.3)+(1.7*1.3)</f>
        <v>18.740000000000002</v>
      </c>
      <c r="I77" s="415"/>
      <c r="J77" s="415"/>
      <c r="K77" s="198"/>
      <c r="L77" s="415" t="s">
        <v>337</v>
      </c>
      <c r="M77" s="415">
        <f>(1+2.2)*4</f>
        <v>12.8</v>
      </c>
      <c r="N77" s="195" t="s">
        <v>257</v>
      </c>
    </row>
    <row r="78" spans="1:19" ht="99.6" customHeight="1">
      <c r="A78" s="499"/>
      <c r="B78" s="294" t="s">
        <v>612</v>
      </c>
      <c r="C78" s="112"/>
      <c r="D78" s="90"/>
      <c r="E78" s="108"/>
      <c r="F78" s="593"/>
      <c r="G78" s="108"/>
      <c r="I78" s="292"/>
      <c r="L78" s="415" t="s">
        <v>339</v>
      </c>
      <c r="M78" s="415">
        <f>(1.25+0.8+2.5+1+2.5-0.8)+(3+0.7+0.7)+((0.65+0.7+0.7)*2)+(2.4+2.4+2.15)+((1.7+1.3+1.3)*4)+(1+0.8+0.8)+((5.3+0.5+0.5)*3)+(6.4*3)</f>
        <v>80.600000000000009</v>
      </c>
      <c r="N78" s="195" t="s">
        <v>257</v>
      </c>
      <c r="O78" s="195" t="s">
        <v>340</v>
      </c>
      <c r="P78" s="195">
        <f>(0.95+2.2+2.2-1.3)+(1.1+1.3)+((2+1.3)*2)+((0.95+2.2+2.2-1.3-1.3)*4)+((0.9+1.3)*4)+((2.15+1.3)*2)</f>
        <v>39.750000000000007</v>
      </c>
      <c r="Q78" s="195" t="s">
        <v>257</v>
      </c>
    </row>
    <row r="79" spans="1:19">
      <c r="A79" s="202"/>
      <c r="B79" s="214" t="s">
        <v>329</v>
      </c>
      <c r="C79" s="589" t="s">
        <v>133</v>
      </c>
      <c r="D79" s="90">
        <v>239</v>
      </c>
      <c r="E79" s="108"/>
      <c r="F79" s="197">
        <f>D79*E79</f>
        <v>0</v>
      </c>
      <c r="G79" s="108"/>
      <c r="I79" s="292"/>
      <c r="L79" s="420" t="s">
        <v>341</v>
      </c>
      <c r="M79" s="420">
        <f>((1.7+1.3+1.3)*11)+((1+2.1+2.1)*2)+(3+1.3+1.3)+(1+1.1+1.1)</f>
        <v>66.5</v>
      </c>
      <c r="N79" s="421" t="s">
        <v>257</v>
      </c>
      <c r="O79" s="422" t="s">
        <v>342</v>
      </c>
      <c r="P79" s="423"/>
      <c r="Q79" s="423"/>
      <c r="R79" s="423"/>
      <c r="S79" s="424">
        <f>(6.7)*3</f>
        <v>20.100000000000001</v>
      </c>
    </row>
    <row r="80" spans="1:19">
      <c r="A80" s="202"/>
      <c r="B80" s="261" t="s">
        <v>610</v>
      </c>
      <c r="C80" s="589" t="s">
        <v>133</v>
      </c>
      <c r="D80" s="90">
        <v>38</v>
      </c>
      <c r="E80" s="108"/>
      <c r="F80" s="197">
        <f>D80*E80</f>
        <v>0</v>
      </c>
      <c r="G80" s="108"/>
      <c r="I80" s="292"/>
    </row>
    <row r="81" spans="1:14">
      <c r="A81" s="499"/>
      <c r="B81" s="291"/>
      <c r="C81" s="112"/>
      <c r="D81" s="90"/>
      <c r="E81" s="108"/>
      <c r="F81" s="593"/>
      <c r="G81" s="108"/>
      <c r="I81" s="292"/>
    </row>
    <row r="82" spans="1:14" ht="24">
      <c r="A82" s="369" t="s">
        <v>138</v>
      </c>
      <c r="B82" s="115" t="s">
        <v>613</v>
      </c>
      <c r="C82" s="112"/>
      <c r="D82" s="90"/>
      <c r="E82" s="108"/>
      <c r="F82" s="593"/>
      <c r="G82" s="108"/>
      <c r="I82" s="292"/>
    </row>
    <row r="83" spans="1:14" ht="84">
      <c r="A83" s="499"/>
      <c r="B83" s="110" t="s">
        <v>614</v>
      </c>
      <c r="C83" s="112"/>
      <c r="D83" s="90"/>
      <c r="E83" s="108"/>
      <c r="F83" s="593"/>
      <c r="G83" s="198"/>
      <c r="H83" s="109">
        <f>(12.7*0.3)+6.9+8.9+0.7+0.6+1.7+0.6+4+0.4+6.4+(1.18*0.3)</f>
        <v>34.363999999999997</v>
      </c>
    </row>
    <row r="84" spans="1:14" s="130" customFormat="1">
      <c r="A84" s="499"/>
      <c r="B84" s="291"/>
      <c r="C84" s="112" t="s">
        <v>148</v>
      </c>
      <c r="D84" s="109">
        <v>90</v>
      </c>
      <c r="E84" s="108"/>
      <c r="F84" s="197">
        <f>D84*E84</f>
        <v>0</v>
      </c>
      <c r="G84" s="304"/>
      <c r="H84" s="402">
        <f>H83+0.8+1.2+0.6+3.4+3.4</f>
        <v>43.763999999999996</v>
      </c>
      <c r="I84" s="306"/>
    </row>
    <row r="85" spans="1:14" s="130" customFormat="1">
      <c r="A85" s="499"/>
      <c r="B85" s="291"/>
      <c r="C85" s="112"/>
      <c r="D85" s="109"/>
      <c r="E85" s="108"/>
      <c r="F85" s="197"/>
      <c r="G85" s="304"/>
      <c r="H85" s="109"/>
      <c r="I85" s="306"/>
    </row>
    <row r="86" spans="1:14" ht="24">
      <c r="A86" s="369" t="s">
        <v>142</v>
      </c>
      <c r="B86" s="141" t="s">
        <v>611</v>
      </c>
      <c r="C86" s="112"/>
      <c r="D86" s="84"/>
      <c r="E86" s="108"/>
      <c r="F86" s="109"/>
    </row>
    <row r="87" spans="1:14" ht="108">
      <c r="A87" s="499"/>
      <c r="B87" s="82" t="s">
        <v>615</v>
      </c>
      <c r="C87" s="112"/>
      <c r="D87" s="84"/>
      <c r="E87" s="108"/>
      <c r="F87" s="109"/>
      <c r="G87" s="108"/>
    </row>
    <row r="88" spans="1:14" s="300" customFormat="1" ht="12.75">
      <c r="A88" s="499"/>
      <c r="B88" s="124"/>
      <c r="C88" s="124" t="s">
        <v>133</v>
      </c>
      <c r="D88" s="383">
        <v>35</v>
      </c>
      <c r="E88" s="363"/>
      <c r="F88" s="391">
        <f>D88*E88</f>
        <v>0</v>
      </c>
      <c r="I88" s="301"/>
      <c r="J88" s="301"/>
      <c r="K88" s="302"/>
      <c r="L88" s="301"/>
      <c r="M88" s="301"/>
      <c r="N88" s="303"/>
    </row>
    <row r="89" spans="1:14" s="300" customFormat="1" ht="12.75">
      <c r="A89" s="499"/>
      <c r="B89" s="124"/>
      <c r="C89" s="124"/>
      <c r="D89" s="383"/>
      <c r="E89" s="363"/>
      <c r="F89" s="391"/>
      <c r="I89" s="301"/>
      <c r="J89" s="301"/>
      <c r="K89" s="302"/>
      <c r="L89" s="301"/>
      <c r="M89" s="301"/>
      <c r="N89" s="303"/>
    </row>
    <row r="90" spans="1:14" s="300" customFormat="1" ht="14.45" customHeight="1">
      <c r="A90" s="114" t="s">
        <v>145</v>
      </c>
      <c r="B90" s="343" t="s">
        <v>338</v>
      </c>
      <c r="C90" s="203"/>
      <c r="D90" s="84"/>
      <c r="E90" s="108"/>
      <c r="F90" s="109"/>
      <c r="I90" s="301"/>
      <c r="J90" s="301"/>
      <c r="K90" s="302"/>
      <c r="L90" s="301"/>
      <c r="M90" s="301"/>
      <c r="N90" s="303"/>
    </row>
    <row r="91" spans="1:14" ht="36">
      <c r="A91" s="114"/>
      <c r="B91" s="111" t="s">
        <v>240</v>
      </c>
      <c r="C91" s="203"/>
      <c r="D91" s="84"/>
      <c r="E91" s="108"/>
      <c r="F91" s="109"/>
      <c r="G91" s="108"/>
    </row>
    <row r="92" spans="1:14" ht="216" customHeight="1">
      <c r="A92" s="85"/>
      <c r="B92" s="82" t="s">
        <v>616</v>
      </c>
      <c r="C92" s="112"/>
      <c r="D92" s="84"/>
      <c r="E92" s="366"/>
      <c r="F92" s="91"/>
      <c r="G92" s="108"/>
    </row>
    <row r="93" spans="1:14" ht="191.25" customHeight="1">
      <c r="A93" s="85"/>
      <c r="B93" s="82" t="s">
        <v>490</v>
      </c>
      <c r="C93" s="112"/>
      <c r="D93" s="84"/>
      <c r="E93" s="366"/>
      <c r="F93" s="91"/>
      <c r="G93" s="108"/>
      <c r="H93" s="350">
        <f>(5.53+5.53+3.85+3.85+1.73+1.73+(4.89*5))*0.32+(4.68*3*1.2)</f>
        <v>31.782399999999999</v>
      </c>
    </row>
    <row r="94" spans="1:14" ht="72">
      <c r="A94" s="85"/>
      <c r="B94" s="82" t="s">
        <v>491</v>
      </c>
      <c r="C94" s="112"/>
      <c r="D94" s="84"/>
      <c r="E94" s="366"/>
      <c r="F94" s="91"/>
      <c r="H94" s="350">
        <f>2.51*25</f>
        <v>62.749999999999993</v>
      </c>
    </row>
    <row r="95" spans="1:14" ht="58.5" customHeight="1">
      <c r="A95" s="85"/>
      <c r="B95" s="82" t="s">
        <v>496</v>
      </c>
      <c r="C95" s="112"/>
      <c r="D95" s="84"/>
      <c r="E95" s="366"/>
      <c r="F95" s="91"/>
      <c r="H95" s="350" t="e">
        <f>#REF!+#REF!+(3.49*2)+(0.88*4)+(1.34*2)+(2.87*2)+(1.9*2)+(0.43*4)+(2*6)+(1*12)</f>
        <v>#REF!</v>
      </c>
    </row>
    <row r="96" spans="1:14" ht="15">
      <c r="A96" s="85"/>
      <c r="B96" s="364" t="s">
        <v>343</v>
      </c>
      <c r="C96" s="112" t="s">
        <v>133</v>
      </c>
      <c r="D96" s="109">
        <v>103</v>
      </c>
      <c r="E96" s="108"/>
      <c r="F96" s="91">
        <f>D96*E96</f>
        <v>0</v>
      </c>
      <c r="H96" s="350"/>
    </row>
    <row r="97" spans="1:6">
      <c r="A97" s="114"/>
      <c r="B97" s="214" t="s">
        <v>492</v>
      </c>
      <c r="C97" s="112" t="s">
        <v>133</v>
      </c>
      <c r="D97" s="90">
        <v>103</v>
      </c>
      <c r="E97" s="108"/>
      <c r="F97" s="309">
        <f>D97*E97</f>
        <v>0</v>
      </c>
    </row>
    <row r="98" spans="1:6">
      <c r="A98" s="114"/>
      <c r="B98" s="214" t="s">
        <v>493</v>
      </c>
      <c r="C98" s="112" t="s">
        <v>133</v>
      </c>
      <c r="D98" s="90">
        <v>27</v>
      </c>
      <c r="E98" s="108"/>
      <c r="F98" s="309">
        <f>D98*E98</f>
        <v>0</v>
      </c>
    </row>
    <row r="99" spans="1:6">
      <c r="A99" s="114"/>
      <c r="B99" s="214" t="s">
        <v>617</v>
      </c>
      <c r="C99" s="112" t="s">
        <v>133</v>
      </c>
      <c r="D99" s="90">
        <v>27</v>
      </c>
      <c r="E99" s="108"/>
      <c r="F99" s="309">
        <f>D99*E99</f>
        <v>0</v>
      </c>
    </row>
    <row r="100" spans="1:6">
      <c r="A100" s="202"/>
      <c r="B100" s="111"/>
      <c r="C100" s="215"/>
      <c r="D100" s="520"/>
      <c r="E100" s="216"/>
      <c r="F100" s="204">
        <f>SUM(F96:F99)</f>
        <v>0</v>
      </c>
    </row>
    <row r="101" spans="1:6">
      <c r="A101" s="202"/>
      <c r="B101" s="111"/>
      <c r="C101" s="112"/>
      <c r="D101" s="109"/>
      <c r="E101" s="108"/>
      <c r="F101" s="197"/>
    </row>
    <row r="102" spans="1:6">
      <c r="A102" s="202" t="s">
        <v>149</v>
      </c>
      <c r="B102" s="297" t="s">
        <v>344</v>
      </c>
      <c r="C102" s="298"/>
      <c r="D102" s="299"/>
      <c r="E102" s="299"/>
      <c r="F102" s="299"/>
    </row>
    <row r="103" spans="1:6" ht="36">
      <c r="A103" s="202"/>
      <c r="B103" s="294" t="s">
        <v>345</v>
      </c>
      <c r="C103" s="112"/>
      <c r="D103" s="109"/>
      <c r="E103" s="108"/>
      <c r="F103" s="109"/>
    </row>
    <row r="104" spans="1:6" ht="36">
      <c r="A104" s="114"/>
      <c r="B104" s="294" t="s">
        <v>346</v>
      </c>
      <c r="C104" s="112"/>
      <c r="D104" s="109"/>
      <c r="E104" s="108"/>
      <c r="F104" s="109"/>
    </row>
    <row r="105" spans="1:6">
      <c r="A105" s="114"/>
      <c r="B105" s="295"/>
      <c r="C105" s="112" t="s">
        <v>137</v>
      </c>
      <c r="D105" s="109">
        <v>1</v>
      </c>
      <c r="E105" s="108"/>
      <c r="F105" s="197">
        <f>D105*E105</f>
        <v>0</v>
      </c>
    </row>
    <row r="106" spans="1:6">
      <c r="A106" s="377"/>
      <c r="B106" s="217"/>
      <c r="C106" s="121"/>
      <c r="D106" s="109"/>
      <c r="E106" s="109"/>
      <c r="F106" s="197"/>
    </row>
    <row r="107" spans="1:6">
      <c r="A107" s="202" t="s">
        <v>168</v>
      </c>
      <c r="B107" s="297" t="s">
        <v>347</v>
      </c>
      <c r="C107" s="298"/>
      <c r="D107" s="299"/>
      <c r="E107" s="299"/>
      <c r="F107" s="299"/>
    </row>
    <row r="108" spans="1:6" ht="60">
      <c r="A108" s="202"/>
      <c r="B108" s="294" t="s">
        <v>348</v>
      </c>
      <c r="C108" s="112"/>
      <c r="D108" s="109"/>
      <c r="E108" s="108"/>
      <c r="F108" s="109"/>
    </row>
    <row r="109" spans="1:6" ht="36">
      <c r="A109" s="114"/>
      <c r="B109" s="294" t="s">
        <v>346</v>
      </c>
      <c r="C109" s="112"/>
      <c r="D109" s="109"/>
      <c r="E109" s="108"/>
      <c r="F109" s="109"/>
    </row>
    <row r="110" spans="1:6">
      <c r="A110" s="114"/>
      <c r="B110" s="295"/>
      <c r="C110" s="112" t="s">
        <v>137</v>
      </c>
      <c r="D110" s="109">
        <v>1</v>
      </c>
      <c r="E110" s="108"/>
      <c r="F110" s="197">
        <f>D110*E110</f>
        <v>0</v>
      </c>
    </row>
    <row r="111" spans="1:6">
      <c r="A111" s="377"/>
      <c r="B111" s="217"/>
      <c r="C111" s="121"/>
      <c r="D111" s="109"/>
      <c r="E111" s="109"/>
      <c r="F111" s="197"/>
    </row>
    <row r="112" spans="1:6">
      <c r="A112" s="202" t="s">
        <v>169</v>
      </c>
      <c r="B112" s="293" t="s">
        <v>349</v>
      </c>
      <c r="C112" s="112"/>
      <c r="D112" s="109"/>
      <c r="E112" s="108"/>
      <c r="F112" s="109"/>
    </row>
    <row r="113" spans="1:6" ht="24">
      <c r="A113" s="202"/>
      <c r="B113" s="294" t="s">
        <v>618</v>
      </c>
      <c r="C113" s="112"/>
      <c r="D113" s="109"/>
      <c r="E113" s="108"/>
      <c r="F113" s="109"/>
    </row>
    <row r="114" spans="1:6" ht="36">
      <c r="A114" s="114"/>
      <c r="B114" s="294" t="s">
        <v>350</v>
      </c>
      <c r="C114" s="112"/>
      <c r="D114" s="109"/>
      <c r="E114" s="108"/>
      <c r="F114" s="109"/>
    </row>
    <row r="115" spans="1:6" ht="36">
      <c r="A115" s="114"/>
      <c r="B115" s="294" t="s">
        <v>351</v>
      </c>
      <c r="C115" s="112"/>
      <c r="D115" s="109"/>
      <c r="E115" s="108"/>
      <c r="F115" s="109"/>
    </row>
    <row r="116" spans="1:6">
      <c r="A116" s="114"/>
      <c r="B116" s="295"/>
      <c r="C116" s="112" t="s">
        <v>137</v>
      </c>
      <c r="D116" s="109">
        <v>1</v>
      </c>
      <c r="E116" s="108"/>
      <c r="F116" s="197">
        <f>D116*E116</f>
        <v>0</v>
      </c>
    </row>
    <row r="117" spans="1:6" ht="15" thickBot="1">
      <c r="D117" s="199"/>
    </row>
    <row r="118" spans="1:6" ht="15" thickBot="1">
      <c r="A118" s="464" t="s">
        <v>60</v>
      </c>
      <c r="B118" s="465" t="s">
        <v>352</v>
      </c>
      <c r="C118" s="466"/>
      <c r="D118" s="467"/>
      <c r="E118" s="459" t="s">
        <v>28</v>
      </c>
      <c r="F118" s="468">
        <f>(F116+F110+F105+F100+F88+F84+F80+F79+F75)</f>
        <v>0</v>
      </c>
    </row>
  </sheetData>
  <mergeCells count="20">
    <mergeCell ref="A59:E59"/>
    <mergeCell ref="A18:E18"/>
    <mergeCell ref="A49:E49"/>
    <mergeCell ref="A25:E25"/>
    <mergeCell ref="A27:E45"/>
    <mergeCell ref="A47:E47"/>
    <mergeCell ref="A24:E24"/>
    <mergeCell ref="A55:E55"/>
    <mergeCell ref="A57:E57"/>
    <mergeCell ref="A51:E51"/>
    <mergeCell ref="A53:E53"/>
    <mergeCell ref="A22:E22"/>
    <mergeCell ref="A2:F2"/>
    <mergeCell ref="A8:B8"/>
    <mergeCell ref="A3:F3"/>
    <mergeCell ref="A20:E20"/>
    <mergeCell ref="A14:E14"/>
    <mergeCell ref="A12:E12"/>
    <mergeCell ref="A10:E10"/>
    <mergeCell ref="A16:E16"/>
  </mergeCells>
  <phoneticPr fontId="28" type="noConversion"/>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6" manualBreakCount="6">
    <brk id="12" max="5" man="1"/>
    <brk id="48" max="5" man="1"/>
    <brk id="60" max="5" man="1"/>
    <brk id="75" max="5" man="1"/>
    <brk id="89" max="5" man="1"/>
    <brk id="100" max="5"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theme="7" tint="0.39997558519241921"/>
  </sheetPr>
  <dimension ref="A1:J106"/>
  <sheetViews>
    <sheetView view="pageBreakPreview" topLeftCell="A83" zoomScaleNormal="100" zoomScaleSheetLayoutView="100" workbookViewId="0">
      <selection activeCell="B98" sqref="B98"/>
    </sheetView>
  </sheetViews>
  <sheetFormatPr defaultColWidth="9.28515625" defaultRowHeight="14.25"/>
  <cols>
    <col min="1" max="1" width="5.7109375" style="1" customWidth="1"/>
    <col min="2" max="2" width="42.7109375" style="1" customWidth="1"/>
    <col min="3" max="3" width="8.140625" style="132" customWidth="1"/>
    <col min="4" max="4" width="8.140625" style="199" customWidth="1"/>
    <col min="5" max="6" width="10.140625" style="99" customWidth="1"/>
    <col min="7" max="8" width="0" style="1" hidden="1" customWidth="1"/>
    <col min="9" max="9" width="56.42578125" style="1" hidden="1" customWidth="1"/>
    <col min="10" max="16384" width="9.28515625" style="1"/>
  </cols>
  <sheetData>
    <row r="1" spans="1:7">
      <c r="A1" s="674"/>
      <c r="B1" s="674"/>
      <c r="C1" s="674"/>
      <c r="D1" s="674"/>
      <c r="E1" s="674"/>
      <c r="F1" s="674"/>
      <c r="G1" s="99"/>
    </row>
    <row r="2" spans="1:7">
      <c r="A2" s="638" t="s">
        <v>108</v>
      </c>
      <c r="B2" s="639"/>
      <c r="C2" s="639"/>
      <c r="D2" s="639"/>
      <c r="E2" s="639"/>
      <c r="F2" s="640"/>
    </row>
    <row r="3" spans="1:7" ht="15">
      <c r="A3" s="137" t="s">
        <v>353</v>
      </c>
      <c r="B3" s="137"/>
      <c r="C3" s="209"/>
      <c r="D3" s="206"/>
      <c r="E3" s="207"/>
      <c r="F3" s="207"/>
    </row>
    <row r="4" spans="1:7">
      <c r="A4" s="116" t="s">
        <v>110</v>
      </c>
      <c r="B4" s="116" t="s">
        <v>111</v>
      </c>
      <c r="C4" s="116" t="s">
        <v>112</v>
      </c>
      <c r="D4" s="268" t="s">
        <v>113</v>
      </c>
      <c r="E4" s="268" t="s">
        <v>114</v>
      </c>
      <c r="F4" s="268" t="s">
        <v>115</v>
      </c>
    </row>
    <row r="5" spans="1:7">
      <c r="A5" s="105"/>
      <c r="B5" s="105"/>
      <c r="C5" s="105"/>
      <c r="D5" s="269"/>
      <c r="E5" s="269"/>
      <c r="F5" s="269"/>
    </row>
    <row r="6" spans="1:7">
      <c r="A6" s="105"/>
      <c r="B6" s="105"/>
      <c r="C6" s="105"/>
      <c r="D6" s="269"/>
      <c r="E6" s="269"/>
      <c r="F6" s="269"/>
    </row>
    <row r="7" spans="1:7" ht="15.75" thickBot="1">
      <c r="A7" s="106" t="s">
        <v>62</v>
      </c>
      <c r="B7" s="644" t="s">
        <v>354</v>
      </c>
      <c r="C7" s="644"/>
      <c r="D7" s="644"/>
      <c r="E7" s="644"/>
      <c r="F7" s="644"/>
    </row>
    <row r="8" spans="1:7">
      <c r="A8" s="119"/>
      <c r="B8" s="120"/>
      <c r="C8" s="121"/>
      <c r="D8" s="109"/>
      <c r="E8" s="107"/>
      <c r="F8" s="107"/>
    </row>
    <row r="9" spans="1:7" ht="20.25" customHeight="1">
      <c r="A9" s="663" t="s">
        <v>81</v>
      </c>
      <c r="B9" s="663"/>
      <c r="C9" s="312"/>
      <c r="D9" s="308"/>
      <c r="E9" s="208"/>
      <c r="F9" s="208"/>
    </row>
    <row r="10" spans="1:7" ht="15">
      <c r="A10" s="332"/>
      <c r="B10" s="332"/>
      <c r="C10" s="312"/>
      <c r="D10" s="308"/>
      <c r="E10" s="208"/>
      <c r="F10" s="208"/>
    </row>
    <row r="11" spans="1:7" ht="64.900000000000006" customHeight="1">
      <c r="A11" s="656" t="s">
        <v>355</v>
      </c>
      <c r="B11" s="674"/>
      <c r="C11" s="674"/>
      <c r="D11" s="674"/>
      <c r="E11" s="674"/>
      <c r="F11" s="208"/>
    </row>
    <row r="12" spans="1:7" ht="15">
      <c r="A12" s="332"/>
      <c r="B12" s="332"/>
      <c r="C12" s="312"/>
      <c r="D12" s="308"/>
      <c r="E12" s="208"/>
      <c r="F12" s="208"/>
    </row>
    <row r="13" spans="1:7" ht="63.6" customHeight="1">
      <c r="A13" s="656" t="s">
        <v>356</v>
      </c>
      <c r="B13" s="672"/>
      <c r="C13" s="672"/>
      <c r="D13" s="672"/>
      <c r="E13" s="672"/>
      <c r="F13" s="208"/>
    </row>
    <row r="14" spans="1:7" ht="15">
      <c r="A14" s="332"/>
      <c r="B14" s="332"/>
      <c r="C14" s="312"/>
      <c r="D14" s="308"/>
      <c r="E14" s="208"/>
      <c r="F14" s="208"/>
    </row>
    <row r="15" spans="1:7" ht="100.5" customHeight="1">
      <c r="A15" s="656" t="s">
        <v>357</v>
      </c>
      <c r="B15" s="672"/>
      <c r="C15" s="672"/>
      <c r="D15" s="672"/>
      <c r="E15" s="672"/>
      <c r="F15" s="208"/>
    </row>
    <row r="16" spans="1:7" ht="15">
      <c r="A16" s="332"/>
      <c r="B16" s="332"/>
      <c r="C16" s="312"/>
      <c r="D16" s="308"/>
      <c r="E16" s="208"/>
      <c r="F16" s="208"/>
    </row>
    <row r="17" spans="1:6" ht="63.75" customHeight="1">
      <c r="A17" s="656" t="s">
        <v>358</v>
      </c>
      <c r="B17" s="672"/>
      <c r="C17" s="672"/>
      <c r="D17" s="672"/>
      <c r="E17" s="672"/>
      <c r="F17" s="208"/>
    </row>
    <row r="18" spans="1:6" ht="15">
      <c r="A18" s="332"/>
      <c r="B18" s="332"/>
      <c r="C18" s="312"/>
      <c r="D18" s="308"/>
      <c r="E18" s="208"/>
      <c r="F18" s="208"/>
    </row>
    <row r="19" spans="1:6" ht="28.5" customHeight="1">
      <c r="A19" s="656" t="s">
        <v>359</v>
      </c>
      <c r="B19" s="672"/>
      <c r="C19" s="672"/>
      <c r="D19" s="672"/>
      <c r="E19" s="672"/>
      <c r="F19" s="208"/>
    </row>
    <row r="20" spans="1:6" ht="15">
      <c r="A20" s="111"/>
      <c r="B20" s="140"/>
      <c r="C20" s="140"/>
      <c r="D20" s="355"/>
      <c r="E20" s="355"/>
      <c r="F20" s="208"/>
    </row>
    <row r="21" spans="1:6" ht="27" customHeight="1">
      <c r="A21" s="656" t="s">
        <v>360</v>
      </c>
      <c r="B21" s="672"/>
      <c r="C21" s="672"/>
      <c r="D21" s="672"/>
      <c r="E21" s="672"/>
      <c r="F21" s="208"/>
    </row>
    <row r="22" spans="1:6" ht="15">
      <c r="A22" s="111"/>
      <c r="B22" s="140"/>
      <c r="C22" s="140"/>
      <c r="D22" s="355"/>
      <c r="E22" s="355"/>
      <c r="F22" s="208"/>
    </row>
    <row r="23" spans="1:6" ht="64.349999999999994" customHeight="1">
      <c r="A23" s="656" t="s">
        <v>361</v>
      </c>
      <c r="B23" s="672"/>
      <c r="C23" s="672"/>
      <c r="D23" s="672"/>
      <c r="E23" s="672"/>
      <c r="F23" s="208"/>
    </row>
    <row r="24" spans="1:6" ht="15">
      <c r="A24" s="111"/>
      <c r="B24" s="140"/>
      <c r="C24" s="140"/>
      <c r="D24" s="355"/>
      <c r="E24" s="355"/>
      <c r="F24" s="208"/>
    </row>
    <row r="25" spans="1:6" ht="16.899999999999999" customHeight="1">
      <c r="A25" s="656" t="s">
        <v>362</v>
      </c>
      <c r="B25" s="672"/>
      <c r="C25" s="672"/>
      <c r="D25" s="672"/>
      <c r="E25" s="672"/>
      <c r="F25" s="208"/>
    </row>
    <row r="26" spans="1:6" ht="15">
      <c r="A26" s="111"/>
      <c r="B26" s="140"/>
      <c r="C26" s="140"/>
      <c r="D26" s="355"/>
      <c r="E26" s="355"/>
      <c r="F26" s="208"/>
    </row>
    <row r="27" spans="1:6" ht="15">
      <c r="A27" s="656" t="s">
        <v>363</v>
      </c>
      <c r="B27" s="672"/>
      <c r="C27" s="672"/>
      <c r="D27" s="672"/>
      <c r="E27" s="672"/>
      <c r="F27" s="208"/>
    </row>
    <row r="28" spans="1:6" ht="78" customHeight="1">
      <c r="A28" s="656" t="s">
        <v>364</v>
      </c>
      <c r="B28" s="672"/>
      <c r="C28" s="672"/>
      <c r="D28" s="672"/>
      <c r="E28" s="672"/>
      <c r="F28" s="208"/>
    </row>
    <row r="29" spans="1:6" ht="15">
      <c r="A29" s="111"/>
      <c r="B29" s="140"/>
      <c r="C29" s="140"/>
      <c r="D29" s="355"/>
      <c r="E29" s="355"/>
      <c r="F29" s="208"/>
    </row>
    <row r="30" spans="1:6" ht="79.150000000000006" customHeight="1">
      <c r="A30" s="656" t="s">
        <v>365</v>
      </c>
      <c r="B30" s="672"/>
      <c r="C30" s="672"/>
      <c r="D30" s="672"/>
      <c r="E30" s="672"/>
      <c r="F30" s="208"/>
    </row>
    <row r="31" spans="1:6" ht="15">
      <c r="A31" s="111"/>
      <c r="B31" s="140"/>
      <c r="C31" s="140"/>
      <c r="D31" s="355"/>
      <c r="E31" s="355"/>
      <c r="F31" s="208"/>
    </row>
    <row r="32" spans="1:6" ht="73.5" customHeight="1">
      <c r="A32" s="656" t="s">
        <v>366</v>
      </c>
      <c r="B32" s="672"/>
      <c r="C32" s="672"/>
      <c r="D32" s="672"/>
      <c r="E32" s="672"/>
      <c r="F32" s="208"/>
    </row>
    <row r="33" spans="1:6" ht="15">
      <c r="A33" s="111"/>
      <c r="B33" s="140"/>
      <c r="C33" s="140"/>
      <c r="D33" s="355"/>
      <c r="E33" s="355"/>
      <c r="F33" s="208"/>
    </row>
    <row r="34" spans="1:6" ht="115.5" customHeight="1">
      <c r="A34" s="656" t="s">
        <v>367</v>
      </c>
      <c r="B34" s="672"/>
      <c r="C34" s="672"/>
      <c r="D34" s="672"/>
      <c r="E34" s="672"/>
      <c r="F34" s="208"/>
    </row>
    <row r="35" spans="1:6" ht="15">
      <c r="A35" s="111"/>
      <c r="B35" s="140"/>
      <c r="C35" s="140"/>
      <c r="D35" s="355"/>
      <c r="E35" s="355"/>
      <c r="F35" s="208"/>
    </row>
    <row r="36" spans="1:6" ht="15">
      <c r="A36" s="111"/>
      <c r="B36" s="140"/>
      <c r="C36" s="140"/>
      <c r="D36" s="355"/>
      <c r="E36" s="355"/>
      <c r="F36" s="208"/>
    </row>
    <row r="37" spans="1:6" ht="15">
      <c r="A37" s="656" t="s">
        <v>368</v>
      </c>
      <c r="B37" s="672"/>
      <c r="C37" s="672"/>
      <c r="D37" s="672"/>
      <c r="E37" s="672"/>
      <c r="F37" s="208"/>
    </row>
    <row r="38" spans="1:6" ht="68.25" customHeight="1">
      <c r="A38" s="656" t="s">
        <v>369</v>
      </c>
      <c r="B38" s="672"/>
      <c r="C38" s="672"/>
      <c r="D38" s="672"/>
      <c r="E38" s="672"/>
      <c r="F38" s="208"/>
    </row>
    <row r="39" spans="1:6" ht="15">
      <c r="A39" s="111"/>
      <c r="B39" s="319"/>
      <c r="C39" s="140"/>
      <c r="D39" s="355"/>
      <c r="E39" s="355"/>
      <c r="F39" s="208"/>
    </row>
    <row r="40" spans="1:6" ht="103.15" customHeight="1">
      <c r="A40" s="656" t="s">
        <v>370</v>
      </c>
      <c r="B40" s="672"/>
      <c r="C40" s="672"/>
      <c r="D40" s="673"/>
      <c r="E40" s="672"/>
      <c r="F40" s="208"/>
    </row>
    <row r="41" spans="1:6" ht="15">
      <c r="A41" s="111"/>
      <c r="B41" s="140"/>
      <c r="C41" s="140"/>
      <c r="D41" s="355"/>
      <c r="E41" s="355"/>
      <c r="F41" s="208"/>
    </row>
    <row r="42" spans="1:6" ht="98.25" customHeight="1">
      <c r="A42" s="656" t="s">
        <v>371</v>
      </c>
      <c r="B42" s="672"/>
      <c r="C42" s="672"/>
      <c r="D42" s="672"/>
      <c r="E42" s="672"/>
      <c r="F42" s="208"/>
    </row>
    <row r="43" spans="1:6" ht="15">
      <c r="A43" s="111"/>
      <c r="B43" s="140"/>
      <c r="C43" s="140"/>
      <c r="D43" s="355"/>
      <c r="E43" s="355"/>
      <c r="F43" s="208"/>
    </row>
    <row r="44" spans="1:6" ht="87" customHeight="1">
      <c r="A44" s="656" t="s">
        <v>372</v>
      </c>
      <c r="B44" s="672"/>
      <c r="C44" s="672"/>
      <c r="D44" s="672"/>
      <c r="E44" s="672"/>
      <c r="F44" s="208"/>
    </row>
    <row r="45" spans="1:6" ht="15">
      <c r="A45" s="111"/>
      <c r="B45" s="140"/>
      <c r="C45" s="140"/>
      <c r="D45" s="355"/>
      <c r="E45" s="355"/>
      <c r="F45" s="208"/>
    </row>
    <row r="46" spans="1:6" ht="81.75" customHeight="1">
      <c r="A46" s="656" t="s">
        <v>373</v>
      </c>
      <c r="B46" s="672"/>
      <c r="C46" s="672"/>
      <c r="D46" s="672"/>
      <c r="E46" s="672"/>
      <c r="F46" s="208"/>
    </row>
    <row r="47" spans="1:6" ht="15">
      <c r="A47" s="111"/>
      <c r="B47" s="140"/>
      <c r="C47" s="140"/>
      <c r="D47" s="355"/>
      <c r="E47" s="355"/>
      <c r="F47" s="208"/>
    </row>
    <row r="48" spans="1:6" ht="92.25" customHeight="1">
      <c r="A48" s="656" t="s">
        <v>374</v>
      </c>
      <c r="B48" s="672"/>
      <c r="C48" s="672"/>
      <c r="D48" s="672"/>
      <c r="E48" s="672"/>
      <c r="F48" s="208"/>
    </row>
    <row r="49" spans="1:6" ht="15">
      <c r="A49" s="111"/>
      <c r="B49" s="140"/>
      <c r="C49" s="140"/>
      <c r="D49" s="355"/>
      <c r="E49" s="355"/>
      <c r="F49" s="208"/>
    </row>
    <row r="50" spans="1:6" ht="271.89999999999998" customHeight="1">
      <c r="A50" s="656" t="s">
        <v>375</v>
      </c>
      <c r="B50" s="672"/>
      <c r="C50" s="672"/>
      <c r="D50" s="672"/>
      <c r="E50" s="672"/>
      <c r="F50" s="208"/>
    </row>
    <row r="51" spans="1:6" ht="15">
      <c r="A51" s="332"/>
      <c r="B51" s="332"/>
      <c r="C51" s="312"/>
      <c r="D51" s="308"/>
      <c r="E51" s="208"/>
      <c r="F51" s="208"/>
    </row>
    <row r="52" spans="1:6" ht="54.75" customHeight="1">
      <c r="A52" s="656" t="s">
        <v>376</v>
      </c>
      <c r="B52" s="656"/>
      <c r="C52" s="656"/>
      <c r="D52" s="656"/>
      <c r="E52" s="656"/>
      <c r="F52" s="208"/>
    </row>
    <row r="53" spans="1:6">
      <c r="A53" s="111"/>
      <c r="B53" s="214"/>
      <c r="C53" s="112"/>
      <c r="D53" s="109"/>
      <c r="E53" s="314"/>
      <c r="F53" s="208"/>
    </row>
    <row r="54" spans="1:6" ht="26.25" customHeight="1">
      <c r="A54" s="656" t="s">
        <v>377</v>
      </c>
      <c r="B54" s="656"/>
      <c r="C54" s="656"/>
      <c r="D54" s="656"/>
      <c r="E54" s="656"/>
      <c r="F54" s="208"/>
    </row>
    <row r="55" spans="1:6">
      <c r="A55" s="111"/>
      <c r="B55" s="288"/>
      <c r="C55" s="288"/>
      <c r="D55" s="314"/>
      <c r="E55" s="314"/>
      <c r="F55" s="208"/>
    </row>
    <row r="56" spans="1:6" ht="32.25" customHeight="1">
      <c r="A56" s="656" t="s">
        <v>378</v>
      </c>
      <c r="B56" s="656"/>
      <c r="C56" s="656"/>
      <c r="D56" s="656"/>
      <c r="E56" s="656"/>
      <c r="F56" s="208"/>
    </row>
    <row r="57" spans="1:6" ht="30.75" customHeight="1">
      <c r="A57" s="656" t="s">
        <v>379</v>
      </c>
      <c r="B57" s="656"/>
      <c r="C57" s="656"/>
      <c r="D57" s="656"/>
      <c r="E57" s="656"/>
      <c r="F57" s="208"/>
    </row>
    <row r="58" spans="1:6">
      <c r="A58" s="111"/>
      <c r="B58" s="288"/>
      <c r="C58" s="288"/>
      <c r="D58" s="314"/>
      <c r="E58" s="314"/>
      <c r="F58" s="208"/>
    </row>
    <row r="59" spans="1:6" ht="93.75" customHeight="1">
      <c r="A59" s="656" t="s">
        <v>380</v>
      </c>
      <c r="B59" s="656"/>
      <c r="C59" s="656"/>
      <c r="D59" s="656"/>
      <c r="E59" s="656"/>
      <c r="F59" s="208"/>
    </row>
    <row r="60" spans="1:6" ht="15">
      <c r="A60" s="111"/>
      <c r="B60" s="333"/>
      <c r="C60" s="333"/>
      <c r="D60" s="334"/>
      <c r="E60" s="334"/>
      <c r="F60" s="208"/>
    </row>
    <row r="61" spans="1:6" ht="111.75" customHeight="1">
      <c r="A61" s="656" t="s">
        <v>381</v>
      </c>
      <c r="B61" s="656"/>
      <c r="C61" s="656"/>
      <c r="D61" s="656"/>
      <c r="E61" s="656"/>
      <c r="F61" s="208"/>
    </row>
    <row r="62" spans="1:6">
      <c r="A62" s="111"/>
      <c r="B62" s="288"/>
      <c r="C62" s="288"/>
      <c r="D62" s="314"/>
      <c r="E62" s="314"/>
      <c r="F62" s="208"/>
    </row>
    <row r="63" spans="1:6" ht="39" customHeight="1">
      <c r="A63" s="656" t="s">
        <v>382</v>
      </c>
      <c r="B63" s="656"/>
      <c r="C63" s="656"/>
      <c r="D63" s="656"/>
      <c r="E63" s="656"/>
      <c r="F63" s="208"/>
    </row>
    <row r="64" spans="1:6" ht="147" customHeight="1">
      <c r="A64" s="656" t="s">
        <v>383</v>
      </c>
      <c r="B64" s="656"/>
      <c r="C64" s="656"/>
      <c r="D64" s="656"/>
      <c r="E64" s="656"/>
      <c r="F64" s="208"/>
    </row>
    <row r="65" spans="1:10">
      <c r="A65" s="310"/>
      <c r="B65" s="203"/>
      <c r="C65" s="203"/>
      <c r="D65" s="308"/>
      <c r="E65" s="353"/>
      <c r="F65" s="208"/>
    </row>
    <row r="66" spans="1:10" ht="36">
      <c r="A66" s="221" t="s">
        <v>27</v>
      </c>
      <c r="B66" s="115" t="s">
        <v>384</v>
      </c>
      <c r="C66" s="203"/>
      <c r="D66" s="109"/>
      <c r="E66" s="353"/>
      <c r="F66" s="208"/>
    </row>
    <row r="67" spans="1:10" ht="144">
      <c r="A67" s="137"/>
      <c r="B67" s="82" t="s">
        <v>385</v>
      </c>
      <c r="C67" s="112"/>
      <c r="D67" s="109"/>
      <c r="E67" s="108"/>
      <c r="F67" s="109"/>
      <c r="I67" s="201"/>
    </row>
    <row r="68" spans="1:10" s="198" customFormat="1" ht="12">
      <c r="A68" s="114"/>
      <c r="B68" s="196" t="s">
        <v>415</v>
      </c>
      <c r="C68" s="90" t="s">
        <v>148</v>
      </c>
      <c r="D68" s="90">
        <v>66</v>
      </c>
      <c r="E68" s="109"/>
      <c r="F68" s="206">
        <f t="shared" ref="F68:F70" si="0">D68*E68</f>
        <v>0</v>
      </c>
      <c r="G68" s="199"/>
      <c r="H68" s="213" t="s">
        <v>386</v>
      </c>
      <c r="I68" s="201"/>
    </row>
    <row r="69" spans="1:10" s="198" customFormat="1" ht="12">
      <c r="B69" s="196" t="s">
        <v>410</v>
      </c>
      <c r="C69" s="90" t="s">
        <v>148</v>
      </c>
      <c r="D69" s="90">
        <v>3</v>
      </c>
      <c r="E69" s="109"/>
      <c r="F69" s="206">
        <f t="shared" si="0"/>
        <v>0</v>
      </c>
      <c r="G69" s="199"/>
      <c r="H69" s="213" t="s">
        <v>387</v>
      </c>
      <c r="I69" s="201"/>
    </row>
    <row r="70" spans="1:10" s="224" customFormat="1" ht="12">
      <c r="A70" s="198"/>
      <c r="B70" s="196" t="s">
        <v>598</v>
      </c>
      <c r="C70" s="497" t="s">
        <v>148</v>
      </c>
      <c r="D70" s="497">
        <v>6</v>
      </c>
      <c r="E70" s="402"/>
      <c r="F70" s="456">
        <f t="shared" si="0"/>
        <v>0</v>
      </c>
      <c r="G70" s="109"/>
      <c r="H70" s="223"/>
    </row>
    <row r="71" spans="1:10">
      <c r="A71" s="198"/>
      <c r="B71" s="201"/>
      <c r="C71" s="222"/>
      <c r="D71" s="109"/>
      <c r="E71" s="109"/>
      <c r="F71" s="81">
        <f>SUM(F68:I70)</f>
        <v>0</v>
      </c>
      <c r="I71" s="378"/>
    </row>
    <row r="72" spans="1:10">
      <c r="A72" s="198"/>
      <c r="B72" s="201"/>
      <c r="C72" s="222"/>
      <c r="D72" s="109"/>
      <c r="E72" s="109"/>
      <c r="F72" s="81"/>
      <c r="I72" s="378"/>
    </row>
    <row r="73" spans="1:10" ht="24">
      <c r="A73" s="389" t="s">
        <v>29</v>
      </c>
      <c r="B73" s="586" t="s">
        <v>619</v>
      </c>
      <c r="C73" s="112"/>
      <c r="D73" s="90"/>
      <c r="E73" s="108"/>
      <c r="F73" s="139"/>
      <c r="I73" s="378"/>
      <c r="J73" s="1" t="s">
        <v>624</v>
      </c>
    </row>
    <row r="74" spans="1:10" ht="110.25" customHeight="1">
      <c r="A74" s="114"/>
      <c r="B74" s="82" t="s">
        <v>623</v>
      </c>
      <c r="C74" s="112"/>
      <c r="D74" s="90"/>
      <c r="E74" s="108"/>
      <c r="F74" s="139"/>
      <c r="I74" s="378"/>
    </row>
    <row r="75" spans="1:10" ht="14.45" customHeight="1">
      <c r="A75" s="491"/>
      <c r="B75" s="196" t="s">
        <v>620</v>
      </c>
      <c r="C75" s="112" t="s">
        <v>621</v>
      </c>
      <c r="D75" s="610">
        <v>1595</v>
      </c>
      <c r="E75" s="594"/>
      <c r="F75" s="595">
        <f>D75*E75</f>
        <v>0</v>
      </c>
      <c r="H75" s="109"/>
    </row>
    <row r="76" spans="1:10" ht="14.45" customHeight="1">
      <c r="A76" s="491"/>
      <c r="B76" s="196" t="s">
        <v>622</v>
      </c>
      <c r="C76" s="112" t="s">
        <v>621</v>
      </c>
      <c r="D76" s="196">
        <v>250</v>
      </c>
      <c r="E76" s="594"/>
      <c r="F76" s="595">
        <f>D76*E76</f>
        <v>0</v>
      </c>
      <c r="H76" s="425">
        <v>10.57</v>
      </c>
    </row>
    <row r="77" spans="1:10">
      <c r="A77" s="198"/>
      <c r="B77" s="201"/>
      <c r="C77" s="222"/>
      <c r="D77" s="109"/>
      <c r="E77" s="109"/>
      <c r="F77" s="81"/>
      <c r="H77" s="426"/>
    </row>
    <row r="78" spans="1:10">
      <c r="A78" s="288" t="s">
        <v>138</v>
      </c>
      <c r="B78" s="141" t="s">
        <v>625</v>
      </c>
      <c r="C78" s="112"/>
      <c r="D78" s="109"/>
      <c r="E78" s="108"/>
      <c r="F78" s="139"/>
      <c r="H78" s="426"/>
    </row>
    <row r="79" spans="1:10" ht="63" customHeight="1">
      <c r="A79" s="137"/>
      <c r="B79" s="82" t="s">
        <v>626</v>
      </c>
      <c r="C79" s="261"/>
      <c r="D79" s="107"/>
      <c r="E79" s="562"/>
      <c r="F79" s="596"/>
      <c r="H79" s="426"/>
    </row>
    <row r="80" spans="1:10" ht="15">
      <c r="A80" s="137"/>
      <c r="B80" s="201"/>
      <c r="C80" s="112" t="s">
        <v>205</v>
      </c>
      <c r="D80" s="109">
        <v>572</v>
      </c>
      <c r="E80" s="108"/>
      <c r="F80" s="139">
        <f>D80*E80</f>
        <v>0</v>
      </c>
    </row>
    <row r="81" spans="1:6" ht="15">
      <c r="A81" s="137"/>
      <c r="B81" s="201"/>
      <c r="C81" s="112"/>
      <c r="D81" s="109"/>
      <c r="E81" s="108"/>
      <c r="F81" s="139"/>
    </row>
    <row r="82" spans="1:6" ht="24">
      <c r="A82" s="389" t="s">
        <v>142</v>
      </c>
      <c r="B82" s="115" t="s">
        <v>627</v>
      </c>
      <c r="C82" s="90"/>
      <c r="D82" s="90"/>
      <c r="E82" s="108"/>
      <c r="F82" s="197"/>
    </row>
    <row r="83" spans="1:6" ht="114" customHeight="1">
      <c r="A83" s="597"/>
      <c r="B83" s="82" t="s">
        <v>638</v>
      </c>
      <c r="C83" s="90"/>
      <c r="D83" s="90"/>
      <c r="E83" s="108"/>
      <c r="F83" s="197"/>
    </row>
    <row r="84" spans="1:6" ht="14.45" customHeight="1">
      <c r="A84" s="452"/>
      <c r="B84" s="357" t="s">
        <v>628</v>
      </c>
      <c r="C84" s="124" t="s">
        <v>629</v>
      </c>
      <c r="D84" s="383">
        <v>822</v>
      </c>
      <c r="E84" s="363"/>
      <c r="F84" s="391">
        <f>D84*E84</f>
        <v>0</v>
      </c>
    </row>
    <row r="85" spans="1:6" ht="14.45" customHeight="1">
      <c r="A85" s="452"/>
      <c r="B85" s="357" t="s">
        <v>630</v>
      </c>
      <c r="C85" s="124" t="s">
        <v>629</v>
      </c>
      <c r="D85" s="383">
        <v>212</v>
      </c>
      <c r="E85" s="363"/>
      <c r="F85" s="391">
        <f>D85*E85</f>
        <v>0</v>
      </c>
    </row>
    <row r="86" spans="1:6">
      <c r="A86" s="114"/>
      <c r="B86" s="201"/>
      <c r="C86" s="112"/>
      <c r="D86" s="90"/>
      <c r="E86" s="108"/>
      <c r="F86" s="197"/>
    </row>
    <row r="87" spans="1:6" ht="24">
      <c r="A87" s="389" t="s">
        <v>145</v>
      </c>
      <c r="B87" s="115" t="s">
        <v>631</v>
      </c>
      <c r="C87" s="90"/>
      <c r="D87" s="90"/>
      <c r="E87" s="108"/>
      <c r="F87" s="197"/>
    </row>
    <row r="88" spans="1:6" ht="120">
      <c r="A88" s="597"/>
      <c r="B88" s="82" t="s">
        <v>724</v>
      </c>
      <c r="C88" s="90"/>
      <c r="D88" s="90"/>
      <c r="E88" s="108"/>
      <c r="F88" s="197"/>
    </row>
    <row r="89" spans="1:6" ht="14.45" customHeight="1">
      <c r="A89" s="114"/>
      <c r="B89" s="196" t="s">
        <v>632</v>
      </c>
      <c r="C89" s="112" t="s">
        <v>629</v>
      </c>
      <c r="D89" s="90">
        <v>205</v>
      </c>
      <c r="E89" s="108"/>
      <c r="F89" s="197">
        <f>D89*E89</f>
        <v>0</v>
      </c>
    </row>
    <row r="90" spans="1:6" ht="14.45" customHeight="1">
      <c r="A90" s="114"/>
      <c r="B90" s="196" t="s">
        <v>633</v>
      </c>
      <c r="C90" s="112" t="s">
        <v>629</v>
      </c>
      <c r="D90" s="90">
        <v>552</v>
      </c>
      <c r="E90" s="108"/>
      <c r="F90" s="197">
        <f>D90*E90</f>
        <v>0</v>
      </c>
    </row>
    <row r="91" spans="1:6">
      <c r="A91" s="114"/>
      <c r="B91" s="201"/>
      <c r="C91" s="90"/>
      <c r="D91" s="90"/>
      <c r="E91" s="108"/>
      <c r="F91" s="197"/>
    </row>
    <row r="92" spans="1:6" ht="24">
      <c r="A92" s="389" t="s">
        <v>149</v>
      </c>
      <c r="B92" s="115" t="s">
        <v>634</v>
      </c>
      <c r="C92" s="90"/>
      <c r="D92" s="90"/>
      <c r="E92" s="108"/>
      <c r="F92" s="197"/>
    </row>
    <row r="93" spans="1:6" ht="99.75" customHeight="1">
      <c r="A93" s="597"/>
      <c r="B93" s="82" t="s">
        <v>725</v>
      </c>
      <c r="C93" s="90"/>
      <c r="D93" s="90"/>
      <c r="E93" s="108"/>
      <c r="F93" s="197"/>
    </row>
    <row r="94" spans="1:6" ht="14.45" customHeight="1">
      <c r="A94" s="491"/>
      <c r="B94" s="599" t="s">
        <v>639</v>
      </c>
      <c r="C94" s="112" t="s">
        <v>629</v>
      </c>
      <c r="D94" s="90">
        <v>93</v>
      </c>
      <c r="E94" s="108"/>
      <c r="F94" s="197">
        <f>D94*E94</f>
        <v>0</v>
      </c>
    </row>
    <row r="95" spans="1:6" ht="14.45" customHeight="1">
      <c r="A95" s="491"/>
      <c r="B95" s="599" t="s">
        <v>640</v>
      </c>
      <c r="C95" s="112" t="s">
        <v>629</v>
      </c>
      <c r="D95" s="90">
        <v>211</v>
      </c>
      <c r="E95" s="108"/>
      <c r="F95" s="197">
        <f>D95*E95</f>
        <v>0</v>
      </c>
    </row>
    <row r="96" spans="1:6">
      <c r="A96" s="114"/>
      <c r="B96" s="598"/>
      <c r="C96" s="112"/>
      <c r="D96" s="90"/>
      <c r="E96" s="108"/>
      <c r="F96" s="197"/>
    </row>
    <row r="97" spans="1:6" ht="24">
      <c r="A97" s="389" t="s">
        <v>168</v>
      </c>
      <c r="B97" s="115" t="s">
        <v>636</v>
      </c>
      <c r="C97" s="90"/>
      <c r="D97" s="90"/>
      <c r="E97" s="108"/>
      <c r="F97" s="197"/>
    </row>
    <row r="98" spans="1:6" ht="132">
      <c r="A98" s="597"/>
      <c r="B98" s="82" t="s">
        <v>641</v>
      </c>
      <c r="C98" s="90"/>
      <c r="D98" s="90"/>
      <c r="E98" s="108"/>
      <c r="F98" s="197"/>
    </row>
    <row r="99" spans="1:6" ht="14.45" customHeight="1">
      <c r="A99" s="114"/>
      <c r="B99" s="357"/>
      <c r="C99" s="112" t="s">
        <v>629</v>
      </c>
      <c r="D99" s="90">
        <v>24</v>
      </c>
      <c r="E99" s="108"/>
      <c r="F99" s="197">
        <f>D99*E99</f>
        <v>0</v>
      </c>
    </row>
    <row r="100" spans="1:6">
      <c r="A100" s="114"/>
      <c r="B100" s="201"/>
      <c r="C100" s="90"/>
      <c r="D100" s="90"/>
      <c r="E100" s="108"/>
      <c r="F100" s="197"/>
    </row>
    <row r="101" spans="1:6" ht="24">
      <c r="A101" s="389" t="s">
        <v>169</v>
      </c>
      <c r="B101" s="115" t="s">
        <v>637</v>
      </c>
      <c r="C101" s="90"/>
      <c r="D101" s="90"/>
      <c r="E101" s="108"/>
      <c r="F101" s="197"/>
    </row>
    <row r="102" spans="1:6" ht="108">
      <c r="A102" s="114"/>
      <c r="B102" s="82" t="s">
        <v>726</v>
      </c>
      <c r="C102" s="90"/>
      <c r="D102" s="90"/>
      <c r="E102" s="108"/>
      <c r="F102" s="197"/>
    </row>
    <row r="103" spans="1:6" ht="17.25">
      <c r="A103" s="114"/>
      <c r="B103" s="201"/>
      <c r="C103" s="112" t="s">
        <v>621</v>
      </c>
      <c r="D103" s="90">
        <v>5</v>
      </c>
      <c r="E103" s="108"/>
      <c r="F103" s="139">
        <f>D103*E103</f>
        <v>0</v>
      </c>
    </row>
    <row r="104" spans="1:6" ht="15.75" thickBot="1">
      <c r="A104" s="140"/>
      <c r="B104" s="210"/>
      <c r="C104" s="428"/>
      <c r="D104" s="429"/>
      <c r="E104" s="429"/>
      <c r="F104" s="448"/>
    </row>
    <row r="105" spans="1:6" ht="15" thickBot="1">
      <c r="A105" s="247" t="s">
        <v>62</v>
      </c>
      <c r="B105" s="600" t="s">
        <v>642</v>
      </c>
      <c r="C105" s="249"/>
      <c r="D105" s="271"/>
      <c r="E105" s="463" t="s">
        <v>28</v>
      </c>
      <c r="F105" s="455">
        <f>F103+F99+F95+F94+F90+F89+F85+F84+F80+F76+F75+F71</f>
        <v>0</v>
      </c>
    </row>
    <row r="106" spans="1:6">
      <c r="D106" s="354"/>
    </row>
  </sheetData>
  <mergeCells count="33">
    <mergeCell ref="A17:E17"/>
    <mergeCell ref="A32:E32"/>
    <mergeCell ref="A21:E21"/>
    <mergeCell ref="A1:F1"/>
    <mergeCell ref="A23:E23"/>
    <mergeCell ref="A25:E25"/>
    <mergeCell ref="A19:E19"/>
    <mergeCell ref="A2:F2"/>
    <mergeCell ref="B7:F7"/>
    <mergeCell ref="A9:B9"/>
    <mergeCell ref="A11:E11"/>
    <mergeCell ref="A13:E13"/>
    <mergeCell ref="A15:E15"/>
    <mergeCell ref="A54:E54"/>
    <mergeCell ref="A27:E27"/>
    <mergeCell ref="A28:E28"/>
    <mergeCell ref="A30:E30"/>
    <mergeCell ref="A48:E48"/>
    <mergeCell ref="A42:E42"/>
    <mergeCell ref="A44:E44"/>
    <mergeCell ref="A46:E46"/>
    <mergeCell ref="A52:E52"/>
    <mergeCell ref="A50:E50"/>
    <mergeCell ref="A40:E40"/>
    <mergeCell ref="A34:E34"/>
    <mergeCell ref="A37:E37"/>
    <mergeCell ref="A38:E38"/>
    <mergeCell ref="A64:E64"/>
    <mergeCell ref="A56:E56"/>
    <mergeCell ref="A57:E57"/>
    <mergeCell ref="A59:E59"/>
    <mergeCell ref="A63:E63"/>
    <mergeCell ref="A61:E61"/>
  </mergeCells>
  <phoneticPr fontId="28" type="noConversion"/>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rowBreaks count="5" manualBreakCount="5">
    <brk id="26" max="7" man="1"/>
    <brk id="48" max="7" man="1"/>
    <brk id="59" max="7" man="1"/>
    <brk id="72" max="7" man="1"/>
    <brk id="91" max="7"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tint="-0.249977111117893"/>
  </sheetPr>
  <dimension ref="A1:I34"/>
  <sheetViews>
    <sheetView view="pageBreakPreview" zoomScale="130" zoomScaleNormal="100" zoomScaleSheetLayoutView="130" workbookViewId="0">
      <selection activeCell="C14" sqref="C14"/>
    </sheetView>
  </sheetViews>
  <sheetFormatPr defaultColWidth="9.28515625" defaultRowHeight="14.25"/>
  <cols>
    <col min="1" max="1" width="5.7109375" style="1" customWidth="1"/>
    <col min="2" max="2" width="42.7109375" style="1" customWidth="1"/>
    <col min="3" max="3" width="8.140625" style="132" customWidth="1"/>
    <col min="4" max="4" width="8.140625" style="233" customWidth="1"/>
    <col min="5" max="6" width="10.140625" style="99" customWidth="1"/>
    <col min="7" max="8" width="9.28515625" style="1"/>
    <col min="9" max="9" width="56.42578125" style="1" hidden="1" customWidth="1"/>
    <col min="10" max="16384" width="9.28515625" style="1"/>
  </cols>
  <sheetData>
    <row r="1" spans="1:8">
      <c r="A1" s="674"/>
      <c r="B1" s="674"/>
      <c r="C1" s="674"/>
      <c r="D1" s="674"/>
      <c r="E1" s="674"/>
      <c r="F1" s="674"/>
      <c r="G1" s="99"/>
    </row>
    <row r="2" spans="1:8">
      <c r="A2" s="638" t="s">
        <v>108</v>
      </c>
      <c r="B2" s="639"/>
      <c r="C2" s="639"/>
      <c r="D2" s="639"/>
      <c r="E2" s="639"/>
      <c r="F2" s="640"/>
    </row>
    <row r="3" spans="1:8" ht="15">
      <c r="A3" s="137" t="s">
        <v>388</v>
      </c>
      <c r="B3" s="137"/>
      <c r="C3" s="209"/>
      <c r="D3" s="206"/>
      <c r="E3" s="207"/>
      <c r="F3" s="207"/>
    </row>
    <row r="4" spans="1:8">
      <c r="A4" s="116" t="s">
        <v>110</v>
      </c>
      <c r="B4" s="116" t="s">
        <v>111</v>
      </c>
      <c r="C4" s="116" t="s">
        <v>112</v>
      </c>
      <c r="D4" s="268" t="s">
        <v>113</v>
      </c>
      <c r="E4" s="268" t="s">
        <v>114</v>
      </c>
      <c r="F4" s="268" t="s">
        <v>115</v>
      </c>
    </row>
    <row r="5" spans="1:8">
      <c r="A5" s="105"/>
      <c r="B5" s="105"/>
      <c r="C5" s="105"/>
      <c r="D5" s="269"/>
      <c r="E5" s="269"/>
      <c r="F5" s="269"/>
    </row>
    <row r="6" spans="1:8">
      <c r="A6" s="105"/>
      <c r="B6" s="105"/>
      <c r="C6" s="105"/>
      <c r="D6" s="269"/>
      <c r="E6" s="269"/>
      <c r="F6" s="269"/>
    </row>
    <row r="7" spans="1:8" ht="15.75" thickBot="1">
      <c r="A7" s="106" t="s">
        <v>79</v>
      </c>
      <c r="B7" s="644" t="s">
        <v>643</v>
      </c>
      <c r="C7" s="644"/>
      <c r="D7" s="644"/>
      <c r="E7" s="644"/>
      <c r="F7" s="644"/>
    </row>
    <row r="8" spans="1:8" ht="15">
      <c r="A8" s="162"/>
      <c r="B8" s="270"/>
      <c r="C8" s="270"/>
      <c r="D8" s="352"/>
      <c r="E8" s="352"/>
      <c r="F8" s="352"/>
    </row>
    <row r="9" spans="1:8" ht="40.5" customHeight="1">
      <c r="A9" s="221" t="s">
        <v>27</v>
      </c>
      <c r="B9" s="115" t="s">
        <v>384</v>
      </c>
      <c r="C9" s="203"/>
      <c r="D9" s="109"/>
      <c r="E9" s="353"/>
      <c r="F9" s="208"/>
    </row>
    <row r="10" spans="1:8" ht="144">
      <c r="A10" s="137"/>
      <c r="B10" s="82" t="s">
        <v>389</v>
      </c>
      <c r="C10" s="112"/>
      <c r="D10" s="109"/>
      <c r="E10" s="108"/>
      <c r="F10" s="109"/>
    </row>
    <row r="11" spans="1:8" s="224" customFormat="1" ht="12">
      <c r="A11" s="114"/>
      <c r="B11" s="201" t="s">
        <v>449</v>
      </c>
      <c r="C11" s="90" t="s">
        <v>148</v>
      </c>
      <c r="D11" s="90">
        <v>18</v>
      </c>
      <c r="E11" s="109"/>
      <c r="F11" s="206">
        <f t="shared" ref="F11:F14" si="0">D11*E11</f>
        <v>0</v>
      </c>
      <c r="G11" s="109"/>
      <c r="H11" s="108"/>
    </row>
    <row r="12" spans="1:8" s="224" customFormat="1" ht="12">
      <c r="A12" s="114"/>
      <c r="B12" s="201" t="s">
        <v>414</v>
      </c>
      <c r="C12" s="90" t="s">
        <v>148</v>
      </c>
      <c r="D12" s="90">
        <v>8</v>
      </c>
      <c r="E12" s="109"/>
      <c r="F12" s="206">
        <f t="shared" si="0"/>
        <v>0</v>
      </c>
      <c r="G12" s="109"/>
      <c r="H12" s="108"/>
    </row>
    <row r="13" spans="1:8" s="224" customFormat="1" ht="13.5" customHeight="1">
      <c r="A13" s="114"/>
      <c r="B13" s="201" t="s">
        <v>599</v>
      </c>
      <c r="C13" s="90" t="s">
        <v>148</v>
      </c>
      <c r="D13" s="90">
        <v>15</v>
      </c>
      <c r="E13" s="108"/>
      <c r="F13" s="206">
        <f t="shared" si="0"/>
        <v>0</v>
      </c>
      <c r="G13" s="109"/>
      <c r="H13" s="108"/>
    </row>
    <row r="14" spans="1:8" s="224" customFormat="1" ht="24">
      <c r="A14" s="114"/>
      <c r="B14" s="201" t="s">
        <v>600</v>
      </c>
      <c r="C14" s="90" t="s">
        <v>148</v>
      </c>
      <c r="D14" s="90">
        <v>16</v>
      </c>
      <c r="E14" s="108"/>
      <c r="F14" s="206">
        <f t="shared" si="0"/>
        <v>0</v>
      </c>
      <c r="G14" s="109"/>
      <c r="H14" s="108"/>
    </row>
    <row r="15" spans="1:8">
      <c r="A15" s="263"/>
      <c r="B15" s="264"/>
      <c r="C15" s="215"/>
      <c r="D15" s="228"/>
      <c r="E15" s="216"/>
      <c r="F15" s="344">
        <f>SUM(F11:F14)</f>
        <v>0</v>
      </c>
    </row>
    <row r="16" spans="1:8" ht="15" thickBot="1">
      <c r="B16" s="201"/>
      <c r="C16" s="222"/>
      <c r="D16" s="109"/>
    </row>
    <row r="17" spans="1:6" ht="15" thickBot="1">
      <c r="A17" s="247" t="s">
        <v>390</v>
      </c>
      <c r="B17" s="248" t="s">
        <v>643</v>
      </c>
      <c r="C17" s="249"/>
      <c r="D17" s="271"/>
      <c r="E17" s="251" t="s">
        <v>28</v>
      </c>
      <c r="F17" s="455">
        <f>SUM(F15)</f>
        <v>0</v>
      </c>
    </row>
    <row r="18" spans="1:6">
      <c r="D18" s="367"/>
    </row>
    <row r="20" spans="1:6">
      <c r="B20" s="379"/>
    </row>
    <row r="21" spans="1:6">
      <c r="D21" s="489"/>
    </row>
    <row r="22" spans="1:6" hidden="1"/>
    <row r="26" spans="1:6">
      <c r="D26" s="489"/>
    </row>
    <row r="30" spans="1:6">
      <c r="D30" s="489"/>
    </row>
    <row r="34" spans="2:4">
      <c r="B34" s="214"/>
      <c r="C34" s="112"/>
      <c r="D34" s="109"/>
    </row>
  </sheetData>
  <mergeCells count="3">
    <mergeCell ref="A1:F1"/>
    <mergeCell ref="A2:F2"/>
    <mergeCell ref="B7:F7"/>
  </mergeCells>
  <printOptions horizontalCentered="1"/>
  <pageMargins left="0.7" right="0.7" top="0.75" bottom="0.75" header="0.3" footer="0.3"/>
  <pageSetup paperSize="9" orientation="portrait" r:id="rId1"/>
  <headerFooter alignWithMargins="0">
    <oddHeader>&amp;L&amp;8          Projektantski ured: SAEPTUM d.o.o. Travnička 50/a, Čakovec, Kružna ulica 81, Zagreb
          Građevina: SZ Poljana Jurja Andrassya 12,13 i 14, Zagreb, k.č. 5333, k.o.Trešnjevka</oddHeader>
    <oddFooter>&amp;L&amp;8Zagreb, svibanj 2024. godine&amp;R&amp;9&amp;K000000&amp;P/&amp;N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030A0"/>
  </sheetPr>
  <dimension ref="A1:H40"/>
  <sheetViews>
    <sheetView view="pageLayout" topLeftCell="A22" zoomScaleNormal="90" zoomScaleSheetLayoutView="100" workbookViewId="0">
      <selection activeCell="E26" sqref="E26"/>
    </sheetView>
  </sheetViews>
  <sheetFormatPr defaultColWidth="9.140625" defaultRowHeight="14.25"/>
  <cols>
    <col min="1" max="1" width="5.7109375" style="1" customWidth="1"/>
    <col min="2" max="2" width="42" style="1" customWidth="1"/>
    <col min="3" max="3" width="7.7109375" style="132" customWidth="1"/>
    <col min="4" max="4" width="9.5703125" style="133" customWidth="1"/>
    <col min="5" max="5" width="10.7109375" style="1" customWidth="1"/>
    <col min="6" max="6" width="10.7109375" style="99" customWidth="1"/>
    <col min="7" max="7" width="9.140625" style="1"/>
    <col min="8" max="8" width="34" style="1" customWidth="1"/>
    <col min="9" max="16384" width="9.140625" style="1"/>
  </cols>
  <sheetData>
    <row r="1" spans="1:7">
      <c r="A1" s="119"/>
      <c r="B1" s="119"/>
      <c r="C1" s="119"/>
      <c r="D1" s="119"/>
      <c r="E1" s="119"/>
      <c r="F1" s="119"/>
      <c r="G1" s="99"/>
    </row>
    <row r="2" spans="1:7">
      <c r="A2" s="638" t="s">
        <v>108</v>
      </c>
      <c r="B2" s="639"/>
      <c r="C2" s="639"/>
      <c r="D2" s="639"/>
      <c r="E2" s="639"/>
      <c r="F2" s="640"/>
    </row>
    <row r="3" spans="1:7">
      <c r="A3" s="642" t="s">
        <v>653</v>
      </c>
      <c r="B3" s="642"/>
      <c r="C3" s="642"/>
      <c r="D3" s="642"/>
      <c r="E3" s="642"/>
      <c r="F3" s="642"/>
    </row>
    <row r="4" spans="1:7">
      <c r="A4" s="116" t="s">
        <v>110</v>
      </c>
      <c r="B4" s="116" t="s">
        <v>111</v>
      </c>
      <c r="C4" s="116" t="s">
        <v>112</v>
      </c>
      <c r="D4" s="117" t="s">
        <v>113</v>
      </c>
      <c r="E4" s="116" t="s">
        <v>114</v>
      </c>
      <c r="F4" s="116" t="s">
        <v>115</v>
      </c>
    </row>
    <row r="5" spans="1:7">
      <c r="A5" s="105"/>
      <c r="B5" s="105"/>
      <c r="C5" s="105"/>
      <c r="D5" s="118"/>
      <c r="E5" s="105"/>
      <c r="F5" s="105"/>
    </row>
    <row r="6" spans="1:7">
      <c r="A6" s="105"/>
      <c r="B6" s="105"/>
      <c r="C6" s="105"/>
      <c r="D6" s="118"/>
      <c r="E6" s="105"/>
      <c r="F6" s="105"/>
    </row>
    <row r="7" spans="1:7" ht="15.75" thickBot="1">
      <c r="A7" s="106" t="s">
        <v>64</v>
      </c>
      <c r="B7" s="644" t="s">
        <v>644</v>
      </c>
      <c r="C7" s="644"/>
      <c r="D7" s="644"/>
      <c r="E7" s="644"/>
      <c r="F7" s="644"/>
    </row>
    <row r="8" spans="1:7">
      <c r="A8" s="119"/>
      <c r="B8" s="120"/>
      <c r="C8" s="121"/>
      <c r="D8" s="84"/>
      <c r="E8" s="122"/>
      <c r="F8" s="107"/>
    </row>
    <row r="9" spans="1:7" ht="15">
      <c r="A9" s="114"/>
      <c r="B9" s="307" t="s">
        <v>81</v>
      </c>
      <c r="C9" s="124"/>
      <c r="D9" s="205"/>
      <c r="E9" s="137"/>
      <c r="F9" s="206"/>
    </row>
    <row r="10" spans="1:7" ht="15">
      <c r="A10" s="114"/>
      <c r="B10" s="307"/>
      <c r="C10" s="124"/>
      <c r="D10" s="205"/>
      <c r="E10" s="137"/>
      <c r="F10" s="206"/>
    </row>
    <row r="11" spans="1:7" ht="30" customHeight="1">
      <c r="A11" s="114"/>
      <c r="B11" s="656" t="s">
        <v>645</v>
      </c>
      <c r="C11" s="656"/>
      <c r="D11" s="656"/>
      <c r="E11" s="656"/>
      <c r="F11" s="206"/>
    </row>
    <row r="12" spans="1:7">
      <c r="A12" s="114"/>
      <c r="B12" s="111"/>
      <c r="C12" s="111"/>
      <c r="D12" s="129"/>
      <c r="E12" s="111"/>
      <c r="F12" s="206"/>
    </row>
    <row r="13" spans="1:7" ht="64.5" customHeight="1">
      <c r="A13" s="114"/>
      <c r="B13" s="656" t="s">
        <v>646</v>
      </c>
      <c r="C13" s="656"/>
      <c r="D13" s="656"/>
      <c r="E13" s="656"/>
      <c r="F13" s="206"/>
    </row>
    <row r="14" spans="1:7">
      <c r="A14" s="114"/>
      <c r="B14" s="111"/>
      <c r="C14" s="111"/>
      <c r="D14" s="129"/>
      <c r="E14" s="111"/>
      <c r="F14" s="206"/>
    </row>
    <row r="15" spans="1:7" ht="102" customHeight="1">
      <c r="A15" s="114"/>
      <c r="B15" s="656" t="s">
        <v>647</v>
      </c>
      <c r="C15" s="656"/>
      <c r="D15" s="656"/>
      <c r="E15" s="656"/>
      <c r="F15" s="206"/>
    </row>
    <row r="16" spans="1:7" ht="12" customHeight="1">
      <c r="A16" s="114"/>
      <c r="B16" s="111"/>
      <c r="C16" s="111"/>
      <c r="D16" s="111"/>
      <c r="E16" s="111"/>
      <c r="F16" s="206"/>
    </row>
    <row r="17" spans="1:8" ht="147" customHeight="1">
      <c r="A17" s="114"/>
      <c r="B17" s="656" t="s">
        <v>648</v>
      </c>
      <c r="C17" s="656"/>
      <c r="D17" s="656"/>
      <c r="E17" s="656"/>
      <c r="F17" s="206"/>
    </row>
    <row r="18" spans="1:8">
      <c r="A18" s="114"/>
      <c r="B18" s="111"/>
      <c r="C18" s="111"/>
      <c r="D18" s="111"/>
      <c r="E18" s="111"/>
      <c r="F18" s="206"/>
      <c r="G18" s="130"/>
    </row>
    <row r="19" spans="1:8" ht="27" customHeight="1">
      <c r="A19" s="114"/>
      <c r="B19" s="656" t="s">
        <v>649</v>
      </c>
      <c r="C19" s="656"/>
      <c r="D19" s="656"/>
      <c r="E19" s="656"/>
      <c r="F19" s="206"/>
    </row>
    <row r="20" spans="1:8" ht="54" customHeight="1">
      <c r="A20" s="114"/>
      <c r="B20" s="656" t="s">
        <v>650</v>
      </c>
      <c r="C20" s="656"/>
      <c r="D20" s="656"/>
      <c r="E20" s="656"/>
      <c r="F20" s="206"/>
    </row>
    <row r="21" spans="1:8">
      <c r="A21" s="114"/>
      <c r="B21" s="111"/>
      <c r="C21" s="111"/>
      <c r="D21" s="111"/>
      <c r="E21" s="111"/>
      <c r="F21" s="206"/>
    </row>
    <row r="22" spans="1:8" ht="171.75" customHeight="1">
      <c r="A22" s="114"/>
      <c r="B22" s="656" t="s">
        <v>651</v>
      </c>
      <c r="C22" s="656"/>
      <c r="D22" s="656"/>
      <c r="E22" s="656"/>
      <c r="F22" s="206"/>
    </row>
    <row r="23" spans="1:8">
      <c r="A23" s="114"/>
      <c r="B23" s="111"/>
      <c r="C23" s="111"/>
      <c r="D23" s="111"/>
      <c r="E23" s="111"/>
      <c r="F23" s="206"/>
    </row>
    <row r="24" spans="1:8" ht="24">
      <c r="A24" s="389" t="s">
        <v>27</v>
      </c>
      <c r="B24" s="115" t="s">
        <v>654</v>
      </c>
      <c r="C24" s="386"/>
      <c r="D24" s="500"/>
      <c r="E24" s="602"/>
      <c r="F24" s="603"/>
    </row>
    <row r="25" spans="1:8" ht="181.9" customHeight="1">
      <c r="A25" s="597"/>
      <c r="B25" s="111" t="s">
        <v>659</v>
      </c>
      <c r="C25" s="261"/>
      <c r="D25" s="435"/>
      <c r="E25" s="562"/>
      <c r="F25" s="107"/>
      <c r="G25" s="130"/>
    </row>
    <row r="26" spans="1:8" ht="96">
      <c r="A26" s="597"/>
      <c r="B26" s="111" t="s">
        <v>660</v>
      </c>
      <c r="C26" s="261"/>
      <c r="D26" s="435"/>
      <c r="E26" s="562"/>
      <c r="F26" s="107"/>
      <c r="G26" s="130"/>
      <c r="H26" s="150"/>
    </row>
    <row r="27" spans="1:8" ht="14.25" customHeight="1">
      <c r="A27" s="597"/>
      <c r="B27" s="111" t="s">
        <v>655</v>
      </c>
      <c r="C27" s="261"/>
      <c r="D27" s="435"/>
      <c r="E27" s="562"/>
      <c r="F27" s="107"/>
      <c r="G27" s="130"/>
      <c r="H27" s="150"/>
    </row>
    <row r="28" spans="1:8" ht="14.45" customHeight="1">
      <c r="A28" s="114"/>
      <c r="B28" s="357" t="s">
        <v>656</v>
      </c>
      <c r="C28" s="124" t="s">
        <v>621</v>
      </c>
      <c r="D28" s="383">
        <f>9.36*1.1</f>
        <v>10.295999999999999</v>
      </c>
      <c r="E28" s="363"/>
      <c r="F28" s="390">
        <f>D28*E28</f>
        <v>0</v>
      </c>
      <c r="G28" s="130"/>
      <c r="H28" s="150"/>
    </row>
    <row r="29" spans="1:8" ht="24">
      <c r="A29" s="114"/>
      <c r="B29" s="357" t="s">
        <v>657</v>
      </c>
      <c r="C29" s="124" t="s">
        <v>621</v>
      </c>
      <c r="D29" s="383">
        <f>4.77*1.1</f>
        <v>5.2469999999999999</v>
      </c>
      <c r="E29" s="363"/>
      <c r="F29" s="390">
        <f>D29*E29</f>
        <v>0</v>
      </c>
      <c r="G29" s="130"/>
      <c r="H29" s="150"/>
    </row>
    <row r="30" spans="1:8">
      <c r="A30" s="114"/>
      <c r="B30" s="357" t="s">
        <v>658</v>
      </c>
      <c r="C30" s="588" t="s">
        <v>148</v>
      </c>
      <c r="D30" s="588">
        <v>18</v>
      </c>
      <c r="E30" s="604"/>
      <c r="F30" s="397">
        <f>D30*E30</f>
        <v>0</v>
      </c>
      <c r="G30" s="130"/>
      <c r="H30" s="150"/>
    </row>
    <row r="31" spans="1:8">
      <c r="A31" s="436"/>
      <c r="B31" s="341"/>
      <c r="C31" s="341"/>
      <c r="D31" s="341"/>
      <c r="E31" s="341"/>
      <c r="F31" s="320">
        <f>F28+F29+F30</f>
        <v>0</v>
      </c>
      <c r="G31" s="130"/>
      <c r="H31" s="150"/>
    </row>
    <row r="32" spans="1:8" ht="15" thickBot="1">
      <c r="A32" s="114"/>
      <c r="B32" s="196"/>
      <c r="C32" s="90"/>
      <c r="D32" s="138"/>
      <c r="E32" s="108"/>
      <c r="F32" s="139"/>
    </row>
    <row r="33" spans="1:6" ht="15" thickBot="1">
      <c r="A33" s="464" t="s">
        <v>64</v>
      </c>
      <c r="B33" s="465" t="s">
        <v>652</v>
      </c>
      <c r="C33" s="466"/>
      <c r="D33" s="601"/>
      <c r="E33" s="473" t="s">
        <v>28</v>
      </c>
      <c r="F33" s="468">
        <f>F31</f>
        <v>0</v>
      </c>
    </row>
    <row r="35" spans="1:6">
      <c r="D35" s="138"/>
    </row>
    <row r="37" spans="1:6">
      <c r="B37" s="131"/>
    </row>
    <row r="38" spans="1:6">
      <c r="B38" s="131"/>
    </row>
    <row r="39" spans="1:6">
      <c r="D39" s="134"/>
    </row>
    <row r="40" spans="1:6">
      <c r="D40" s="134"/>
    </row>
  </sheetData>
  <mergeCells count="10">
    <mergeCell ref="B17:E17"/>
    <mergeCell ref="B19:E19"/>
    <mergeCell ref="B20:E20"/>
    <mergeCell ref="B22:E22"/>
    <mergeCell ref="A2:F2"/>
    <mergeCell ref="A3:F3"/>
    <mergeCell ref="B7:F7"/>
    <mergeCell ref="B11:E11"/>
    <mergeCell ref="B13:E13"/>
    <mergeCell ref="B15:E15"/>
  </mergeCells>
  <pageMargins left="0.70866141732283505" right="0.70866141732283505" top="0.74803149606299202" bottom="0.74803149606299202" header="0.31496062992126" footer="0.31496062992126"/>
  <pageSetup paperSize="9" orientation="portrait" r:id="rId1"/>
  <headerFooter alignWithMargins="0">
    <oddHeader>&amp;L&amp;"Calibri,Regular"&amp;8&amp;K000000Projektantski ured: SAEPTUM d.o.o. Travnička 50/a, Čakovec, Kružna ulica 81, Zagreb
Građevina: SZ Poljana Jurja Andrassya 12,13 i 14, Zagreb, k.č. 5333, k.o.Trešnjevka</oddHeader>
    <oddFooter>&amp;L&amp;"Calibri,Regular"&amp;9&amp;K000000Zagreb, rujan 2023. godine&amp;R&amp;9&amp;K000000&amp;P/&amp;N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39997558519241921"/>
  </sheetPr>
  <dimension ref="A1:K101"/>
  <sheetViews>
    <sheetView view="pageLayout" topLeftCell="A64" zoomScale="115" zoomScaleNormal="100" zoomScaleSheetLayoutView="100" zoomScalePageLayoutView="115" workbookViewId="0">
      <selection activeCell="C54" sqref="C54"/>
    </sheetView>
  </sheetViews>
  <sheetFormatPr defaultColWidth="9.28515625" defaultRowHeight="14.25"/>
  <cols>
    <col min="1" max="1" width="5.7109375" style="1" customWidth="1"/>
    <col min="2" max="2" width="42.7109375" style="1" customWidth="1"/>
    <col min="3" max="3" width="8.140625" style="132" customWidth="1"/>
    <col min="4" max="4" width="8.140625" style="199" customWidth="1"/>
    <col min="5" max="6" width="10.140625" style="99" customWidth="1"/>
    <col min="7" max="8" width="9.28515625" style="1"/>
    <col min="9" max="9" width="56.42578125" style="1" customWidth="1"/>
    <col min="10" max="16384" width="9.28515625" style="1"/>
  </cols>
  <sheetData>
    <row r="1" spans="1:7">
      <c r="A1" s="674"/>
      <c r="B1" s="674"/>
      <c r="C1" s="674"/>
      <c r="D1" s="674"/>
      <c r="E1" s="674"/>
      <c r="F1" s="674"/>
      <c r="G1" s="99"/>
    </row>
    <row r="2" spans="1:7">
      <c r="A2" s="638" t="s">
        <v>108</v>
      </c>
      <c r="B2" s="639"/>
      <c r="C2" s="639"/>
      <c r="D2" s="639"/>
      <c r="E2" s="639"/>
      <c r="F2" s="640"/>
    </row>
    <row r="3" spans="1:7" s="198" customFormat="1" ht="12">
      <c r="A3" s="119" t="s">
        <v>664</v>
      </c>
      <c r="B3" s="119"/>
      <c r="C3" s="121"/>
      <c r="D3" s="206"/>
      <c r="E3" s="206"/>
      <c r="F3" s="206"/>
    </row>
    <row r="4" spans="1:7">
      <c r="A4" s="116" t="s">
        <v>110</v>
      </c>
      <c r="B4" s="116" t="s">
        <v>111</v>
      </c>
      <c r="C4" s="116" t="s">
        <v>112</v>
      </c>
      <c r="D4" s="268" t="s">
        <v>113</v>
      </c>
      <c r="E4" s="268" t="s">
        <v>114</v>
      </c>
      <c r="F4" s="268" t="s">
        <v>115</v>
      </c>
    </row>
    <row r="5" spans="1:7">
      <c r="A5" s="105"/>
      <c r="B5" s="105"/>
      <c r="C5" s="105"/>
      <c r="D5" s="269"/>
      <c r="E5" s="269"/>
      <c r="F5" s="269"/>
    </row>
    <row r="6" spans="1:7">
      <c r="A6" s="105"/>
      <c r="B6" s="105"/>
      <c r="C6" s="105"/>
      <c r="D6" s="269"/>
      <c r="E6" s="269"/>
      <c r="F6" s="269"/>
    </row>
    <row r="7" spans="1:7" ht="15.75" thickBot="1">
      <c r="A7" s="106" t="s">
        <v>65</v>
      </c>
      <c r="B7" s="644" t="s">
        <v>714</v>
      </c>
      <c r="C7" s="644"/>
      <c r="D7" s="644"/>
      <c r="E7" s="644"/>
      <c r="F7" s="644"/>
    </row>
    <row r="8" spans="1:7" ht="15">
      <c r="A8" s="162"/>
      <c r="B8" s="270"/>
      <c r="C8" s="270"/>
      <c r="D8" s="270"/>
      <c r="E8" s="270"/>
      <c r="F8" s="270"/>
    </row>
    <row r="9" spans="1:7" ht="15">
      <c r="A9" s="162"/>
      <c r="B9" s="270" t="s">
        <v>117</v>
      </c>
      <c r="C9" s="270"/>
      <c r="D9" s="270"/>
      <c r="E9" s="270"/>
      <c r="F9" s="270"/>
    </row>
    <row r="10" spans="1:7" ht="15">
      <c r="A10" s="162"/>
      <c r="B10" s="270"/>
      <c r="C10" s="270"/>
      <c r="D10" s="270"/>
      <c r="E10" s="270"/>
      <c r="F10" s="270"/>
    </row>
    <row r="11" spans="1:7" ht="60.75" customHeight="1">
      <c r="A11" s="162"/>
      <c r="B11" s="656" t="s">
        <v>688</v>
      </c>
      <c r="C11" s="656"/>
      <c r="D11" s="656"/>
      <c r="E11" s="656"/>
      <c r="F11" s="270"/>
    </row>
    <row r="12" spans="1:7" ht="51" customHeight="1">
      <c r="A12" s="162"/>
      <c r="B12" s="631" t="s">
        <v>688</v>
      </c>
      <c r="C12" s="631"/>
      <c r="D12" s="631"/>
      <c r="E12" s="631"/>
      <c r="F12" s="270"/>
    </row>
    <row r="13" spans="1:7" ht="35.450000000000003" customHeight="1">
      <c r="A13" s="162"/>
      <c r="B13" s="631" t="s">
        <v>689</v>
      </c>
      <c r="C13" s="631"/>
      <c r="D13" s="631"/>
      <c r="E13" s="631"/>
      <c r="F13" s="270"/>
    </row>
    <row r="14" spans="1:7" ht="48" customHeight="1">
      <c r="A14" s="162"/>
      <c r="B14" s="656" t="s">
        <v>690</v>
      </c>
      <c r="C14" s="656"/>
      <c r="D14" s="656"/>
      <c r="E14" s="656"/>
      <c r="F14" s="270"/>
    </row>
    <row r="15" spans="1:7" ht="24.6" customHeight="1">
      <c r="A15" s="105"/>
      <c r="B15" s="656" t="s">
        <v>691</v>
      </c>
      <c r="C15" s="656"/>
      <c r="D15" s="656"/>
      <c r="E15" s="656"/>
      <c r="F15" s="269"/>
    </row>
    <row r="16" spans="1:7" s="198" customFormat="1" ht="12">
      <c r="A16" s="645"/>
      <c r="B16" s="645"/>
      <c r="C16" s="645"/>
      <c r="D16" s="645"/>
      <c r="E16" s="645"/>
      <c r="F16" s="645"/>
    </row>
    <row r="17" spans="1:11" s="198" customFormat="1" ht="12">
      <c r="A17" s="538" t="s">
        <v>676</v>
      </c>
      <c r="B17" s="252" t="s">
        <v>692</v>
      </c>
      <c r="C17" s="286"/>
      <c r="D17" s="286"/>
      <c r="E17" s="286"/>
      <c r="F17" s="286"/>
    </row>
    <row r="18" spans="1:11" s="198" customFormat="1" ht="12">
      <c r="A18" s="538" t="s">
        <v>676</v>
      </c>
      <c r="B18" s="286" t="s">
        <v>716</v>
      </c>
      <c r="C18" s="538"/>
      <c r="D18" s="286"/>
      <c r="E18" s="286"/>
      <c r="F18" s="286"/>
    </row>
    <row r="19" spans="1:11" s="198" customFormat="1" ht="12">
      <c r="A19" s="538" t="s">
        <v>676</v>
      </c>
      <c r="B19" s="286" t="s">
        <v>717</v>
      </c>
      <c r="C19" s="538"/>
      <c r="D19" s="286"/>
      <c r="E19" s="286"/>
      <c r="F19" s="286"/>
    </row>
    <row r="20" spans="1:11" s="198" customFormat="1" ht="12">
      <c r="A20" s="538" t="s">
        <v>676</v>
      </c>
      <c r="B20" s="286" t="s">
        <v>718</v>
      </c>
      <c r="C20" s="538"/>
      <c r="D20" s="286"/>
      <c r="E20" s="286"/>
      <c r="F20" s="286"/>
    </row>
    <row r="21" spans="1:11" s="198" customFormat="1" ht="12">
      <c r="A21" s="538" t="s">
        <v>676</v>
      </c>
      <c r="B21" s="286" t="s">
        <v>719</v>
      </c>
      <c r="C21" s="538"/>
      <c r="D21" s="286"/>
      <c r="E21" s="286"/>
      <c r="F21" s="286"/>
    </row>
    <row r="22" spans="1:11" s="198" customFormat="1" ht="12">
      <c r="A22" s="538" t="s">
        <v>676</v>
      </c>
      <c r="B22" s="286" t="s">
        <v>720</v>
      </c>
      <c r="C22" s="538"/>
      <c r="D22" s="286"/>
      <c r="E22" s="286"/>
      <c r="F22" s="286"/>
    </row>
    <row r="23" spans="1:11" s="198" customFormat="1" ht="12.75">
      <c r="A23" s="538"/>
      <c r="B23" s="286"/>
      <c r="C23" s="538" t="s">
        <v>693</v>
      </c>
      <c r="D23" s="286" t="s">
        <v>694</v>
      </c>
      <c r="E23" s="286"/>
      <c r="F23" s="286"/>
      <c r="K23" s="461"/>
    </row>
    <row r="24" spans="1:11">
      <c r="A24" s="538"/>
      <c r="B24" s="286"/>
      <c r="C24" s="538" t="s">
        <v>693</v>
      </c>
      <c r="D24" s="286" t="s">
        <v>695</v>
      </c>
      <c r="E24" s="286"/>
      <c r="F24" s="286"/>
    </row>
    <row r="25" spans="1:11" ht="14.25" customHeight="1">
      <c r="A25" s="538" t="s">
        <v>676</v>
      </c>
      <c r="B25" s="286" t="s">
        <v>696</v>
      </c>
      <c r="C25" s="538" t="s">
        <v>693</v>
      </c>
      <c r="D25" s="286" t="s">
        <v>697</v>
      </c>
      <c r="E25" s="286"/>
      <c r="F25" s="286"/>
    </row>
    <row r="26" spans="1:11">
      <c r="A26" s="538" t="s">
        <v>676</v>
      </c>
      <c r="B26" s="286" t="s">
        <v>698</v>
      </c>
      <c r="C26" s="538" t="s">
        <v>693</v>
      </c>
      <c r="D26" s="286" t="s">
        <v>699</v>
      </c>
      <c r="E26" s="286"/>
      <c r="F26" s="286"/>
    </row>
    <row r="27" spans="1:11">
      <c r="A27" s="538" t="s">
        <v>676</v>
      </c>
      <c r="B27" s="286" t="s">
        <v>700</v>
      </c>
      <c r="C27" s="287" t="s">
        <v>701</v>
      </c>
      <c r="D27" s="286" t="s">
        <v>702</v>
      </c>
      <c r="E27" s="286"/>
      <c r="F27" s="286"/>
    </row>
    <row r="28" spans="1:11">
      <c r="A28" s="538"/>
      <c r="B28" s="286"/>
      <c r="C28" s="287"/>
      <c r="D28" s="286"/>
      <c r="E28" s="286"/>
      <c r="F28" s="286"/>
    </row>
    <row r="29" spans="1:11" ht="30" customHeight="1">
      <c r="A29" s="538"/>
      <c r="B29" s="647" t="s">
        <v>703</v>
      </c>
      <c r="C29" s="647"/>
      <c r="D29" s="647"/>
      <c r="E29" s="647"/>
      <c r="F29" s="611"/>
      <c r="G29" s="611"/>
    </row>
    <row r="30" spans="1:11" s="224" customFormat="1" ht="27" customHeight="1">
      <c r="B30" s="647" t="s">
        <v>703</v>
      </c>
      <c r="C30" s="647"/>
      <c r="D30" s="647"/>
      <c r="E30" s="647"/>
      <c r="F30" s="611"/>
      <c r="G30" s="109"/>
      <c r="H30" s="223"/>
    </row>
    <row r="31" spans="1:11" s="224" customFormat="1" ht="26.25" customHeight="1">
      <c r="B31" s="647" t="s">
        <v>704</v>
      </c>
      <c r="C31" s="647"/>
      <c r="D31" s="647"/>
      <c r="E31" s="647"/>
      <c r="F31" s="611"/>
      <c r="G31" s="109"/>
      <c r="H31" s="223"/>
    </row>
    <row r="32" spans="1:11" ht="48.75" customHeight="1">
      <c r="B32" s="647" t="s">
        <v>705</v>
      </c>
      <c r="C32" s="647"/>
      <c r="D32" s="647"/>
      <c r="E32" s="647"/>
      <c r="F32" s="611"/>
    </row>
    <row r="33" spans="1:8" ht="50.25" customHeight="1">
      <c r="B33" s="647" t="s">
        <v>706</v>
      </c>
      <c r="C33" s="647"/>
      <c r="D33" s="647"/>
      <c r="E33" s="647"/>
      <c r="F33" s="611"/>
    </row>
    <row r="34" spans="1:8" ht="26.25" customHeight="1">
      <c r="B34" s="647" t="s">
        <v>707</v>
      </c>
      <c r="C34" s="647"/>
      <c r="D34" s="647"/>
      <c r="E34" s="647"/>
      <c r="F34" s="611"/>
    </row>
    <row r="35" spans="1:8" ht="37.5" customHeight="1">
      <c r="B35" s="647" t="s">
        <v>708</v>
      </c>
      <c r="C35" s="647"/>
      <c r="D35" s="647"/>
      <c r="E35" s="647"/>
      <c r="F35" s="611"/>
    </row>
    <row r="36" spans="1:8" ht="38.25" customHeight="1">
      <c r="B36" s="647" t="s">
        <v>709</v>
      </c>
      <c r="C36" s="647"/>
      <c r="D36" s="647"/>
      <c r="E36" s="647"/>
      <c r="F36" s="611"/>
    </row>
    <row r="37" spans="1:8" ht="64.5" customHeight="1">
      <c r="B37" s="647" t="s">
        <v>710</v>
      </c>
      <c r="C37" s="647"/>
      <c r="D37" s="647"/>
      <c r="E37" s="647"/>
      <c r="F37" s="611"/>
    </row>
    <row r="38" spans="1:8" ht="54" customHeight="1">
      <c r="B38" s="647" t="s">
        <v>711</v>
      </c>
      <c r="C38" s="647"/>
      <c r="D38" s="647"/>
      <c r="E38" s="647"/>
      <c r="F38" s="611"/>
    </row>
    <row r="39" spans="1:8" ht="27" customHeight="1">
      <c r="B39" s="647" t="s">
        <v>712</v>
      </c>
      <c r="C39" s="647"/>
      <c r="D39" s="647"/>
      <c r="E39" s="647"/>
      <c r="F39" s="611"/>
    </row>
    <row r="40" spans="1:8" s="224" customFormat="1" ht="59.25" customHeight="1">
      <c r="B40" s="647" t="s">
        <v>715</v>
      </c>
      <c r="C40" s="647"/>
      <c r="D40" s="647"/>
      <c r="E40" s="647"/>
      <c r="F40" s="611"/>
      <c r="G40" s="109"/>
      <c r="H40" s="223"/>
    </row>
    <row r="41" spans="1:8" s="224" customFormat="1" ht="28.5" customHeight="1">
      <c r="B41" s="647" t="s">
        <v>713</v>
      </c>
      <c r="C41" s="647"/>
      <c r="D41" s="647"/>
      <c r="E41" s="647"/>
      <c r="F41" s="611"/>
      <c r="G41" s="109"/>
      <c r="H41" s="223"/>
    </row>
    <row r="42" spans="1:8" ht="15.75" thickBot="1">
      <c r="A42" s="106" t="s">
        <v>65</v>
      </c>
      <c r="B42" s="644" t="s">
        <v>714</v>
      </c>
      <c r="C42" s="644"/>
      <c r="D42" s="644"/>
      <c r="E42" s="644"/>
      <c r="F42" s="644"/>
    </row>
    <row r="43" spans="1:8">
      <c r="A43" s="287"/>
      <c r="B43" s="201"/>
      <c r="C43" s="112"/>
      <c r="D43" s="109"/>
      <c r="E43" s="109"/>
      <c r="F43" s="81"/>
    </row>
    <row r="44" spans="1:8" ht="36">
      <c r="A44" s="110" t="s">
        <v>27</v>
      </c>
      <c r="B44" s="115" t="s">
        <v>686</v>
      </c>
      <c r="C44" s="115"/>
      <c r="D44" s="115"/>
      <c r="E44" s="115"/>
      <c r="F44" s="206"/>
    </row>
    <row r="45" spans="1:8" ht="14.45" customHeight="1">
      <c r="A45" s="114"/>
      <c r="B45" s="607" t="s">
        <v>675</v>
      </c>
      <c r="C45" s="90" t="s">
        <v>176</v>
      </c>
      <c r="D45" s="84"/>
      <c r="E45" s="108"/>
      <c r="F45" s="109"/>
    </row>
    <row r="46" spans="1:8">
      <c r="A46" s="261" t="s">
        <v>676</v>
      </c>
      <c r="B46" s="607" t="s">
        <v>671</v>
      </c>
      <c r="C46" s="90"/>
      <c r="D46" s="84"/>
      <c r="E46" s="108"/>
      <c r="F46" s="109"/>
    </row>
    <row r="47" spans="1:8" ht="24">
      <c r="A47" s="261" t="s">
        <v>676</v>
      </c>
      <c r="B47" s="607" t="s">
        <v>672</v>
      </c>
      <c r="C47" s="90"/>
      <c r="D47" s="84"/>
      <c r="E47" s="108"/>
      <c r="F47" s="109"/>
    </row>
    <row r="48" spans="1:8" ht="27.75" customHeight="1">
      <c r="A48" s="261" t="s">
        <v>676</v>
      </c>
      <c r="B48" s="607" t="s">
        <v>673</v>
      </c>
      <c r="C48" s="90"/>
      <c r="D48" s="84"/>
      <c r="E48" s="108"/>
      <c r="F48" s="109"/>
    </row>
    <row r="49" spans="1:6" ht="24">
      <c r="A49" s="261" t="s">
        <v>676</v>
      </c>
      <c r="B49" s="607" t="s">
        <v>677</v>
      </c>
      <c r="C49" s="90"/>
      <c r="D49" s="84"/>
      <c r="E49" s="108"/>
      <c r="F49" s="109"/>
    </row>
    <row r="50" spans="1:6" ht="48">
      <c r="A50" s="261" t="s">
        <v>676</v>
      </c>
      <c r="B50" s="607" t="s">
        <v>678</v>
      </c>
      <c r="C50" s="90"/>
      <c r="D50" s="84"/>
      <c r="E50" s="108"/>
      <c r="F50" s="109"/>
    </row>
    <row r="51" spans="1:6" ht="36">
      <c r="A51" s="261" t="s">
        <v>676</v>
      </c>
      <c r="B51" s="607" t="s">
        <v>674</v>
      </c>
      <c r="C51" s="90"/>
      <c r="D51" s="84"/>
      <c r="E51" s="108"/>
      <c r="F51" s="109"/>
    </row>
    <row r="52" spans="1:6" ht="48">
      <c r="A52" s="114"/>
      <c r="B52" s="605" t="s">
        <v>665</v>
      </c>
      <c r="C52" s="90" t="s">
        <v>176</v>
      </c>
      <c r="D52" s="84"/>
      <c r="E52" s="108"/>
      <c r="F52" s="109"/>
    </row>
    <row r="53" spans="1:6" ht="48">
      <c r="A53" s="114"/>
      <c r="B53" s="605" t="s">
        <v>666</v>
      </c>
      <c r="C53" s="90" t="s">
        <v>176</v>
      </c>
      <c r="D53" s="84"/>
      <c r="E53" s="108"/>
      <c r="F53" s="109"/>
    </row>
    <row r="54" spans="1:6" ht="60">
      <c r="A54" s="202"/>
      <c r="B54" s="111" t="s">
        <v>667</v>
      </c>
      <c r="C54" s="1"/>
      <c r="D54" s="1"/>
      <c r="E54" s="1"/>
      <c r="F54" s="1"/>
    </row>
    <row r="55" spans="1:6" ht="24">
      <c r="A55" s="114"/>
      <c r="B55" s="115" t="s">
        <v>668</v>
      </c>
      <c r="C55" s="112"/>
      <c r="D55" s="84"/>
      <c r="E55" s="366"/>
      <c r="F55" s="91"/>
    </row>
    <row r="56" spans="1:6">
      <c r="A56" s="114"/>
      <c r="B56" s="115" t="s">
        <v>679</v>
      </c>
      <c r="C56" s="112"/>
      <c r="D56" s="90"/>
      <c r="E56" s="366"/>
      <c r="F56" s="197"/>
    </row>
    <row r="57" spans="1:6">
      <c r="A57" s="114"/>
      <c r="B57" s="214"/>
      <c r="C57" s="112" t="s">
        <v>148</v>
      </c>
      <c r="D57" s="84">
        <v>38</v>
      </c>
      <c r="E57" s="108"/>
      <c r="F57" s="197">
        <f>D57*E57</f>
        <v>0</v>
      </c>
    </row>
    <row r="58" spans="1:6">
      <c r="A58" s="110"/>
      <c r="B58" s="203"/>
      <c r="C58" s="112"/>
      <c r="D58" s="205"/>
      <c r="E58" s="260"/>
      <c r="F58" s="206"/>
    </row>
    <row r="59" spans="1:6" ht="36">
      <c r="A59" s="110" t="s">
        <v>29</v>
      </c>
      <c r="B59" s="115" t="s">
        <v>685</v>
      </c>
      <c r="C59" s="115"/>
      <c r="D59" s="115"/>
      <c r="E59" s="115"/>
      <c r="F59" s="206"/>
    </row>
    <row r="60" spans="1:6" ht="90" customHeight="1">
      <c r="A60" s="114"/>
      <c r="B60" s="605" t="s">
        <v>687</v>
      </c>
      <c r="C60" s="90" t="s">
        <v>176</v>
      </c>
      <c r="D60" s="84"/>
      <c r="E60" s="108"/>
      <c r="F60" s="109"/>
    </row>
    <row r="61" spans="1:6">
      <c r="A61" s="261" t="s">
        <v>676</v>
      </c>
      <c r="B61" s="605" t="s">
        <v>671</v>
      </c>
      <c r="C61" s="90"/>
      <c r="D61" s="84"/>
      <c r="E61" s="108"/>
      <c r="F61" s="109"/>
    </row>
    <row r="62" spans="1:6" ht="36">
      <c r="A62" s="261" t="s">
        <v>676</v>
      </c>
      <c r="B62" s="605" t="s">
        <v>684</v>
      </c>
      <c r="C62" s="90"/>
      <c r="D62" s="84"/>
      <c r="E62" s="108"/>
      <c r="F62" s="109"/>
    </row>
    <row r="63" spans="1:6" ht="48">
      <c r="A63" s="261" t="s">
        <v>676</v>
      </c>
      <c r="B63" s="605" t="s">
        <v>680</v>
      </c>
      <c r="C63" s="90"/>
      <c r="D63" s="84"/>
      <c r="E63" s="108"/>
      <c r="F63" s="109"/>
    </row>
    <row r="64" spans="1:6" ht="60">
      <c r="A64" s="261" t="s">
        <v>676</v>
      </c>
      <c r="B64" s="605" t="s">
        <v>681</v>
      </c>
      <c r="C64" s="90"/>
      <c r="D64" s="84"/>
      <c r="E64" s="108"/>
      <c r="F64" s="109"/>
    </row>
    <row r="65" spans="1:6" ht="24">
      <c r="A65" s="261" t="s">
        <v>676</v>
      </c>
      <c r="B65" s="605" t="s">
        <v>682</v>
      </c>
      <c r="C65" s="90"/>
      <c r="D65" s="84"/>
      <c r="E65" s="108"/>
      <c r="F65" s="109"/>
    </row>
    <row r="66" spans="1:6" ht="48">
      <c r="A66" s="261" t="s">
        <v>676</v>
      </c>
      <c r="B66" s="605" t="s">
        <v>678</v>
      </c>
      <c r="C66" s="90"/>
      <c r="D66" s="84"/>
      <c r="E66" s="108"/>
      <c r="F66" s="109"/>
    </row>
    <row r="67" spans="1:6" ht="48">
      <c r="A67" s="261" t="s">
        <v>676</v>
      </c>
      <c r="B67" s="605" t="s">
        <v>683</v>
      </c>
      <c r="C67" s="90"/>
      <c r="D67" s="84"/>
      <c r="E67" s="108"/>
      <c r="F67" s="109"/>
    </row>
    <row r="68" spans="1:6" ht="48">
      <c r="A68" s="114"/>
      <c r="B68" s="605" t="s">
        <v>665</v>
      </c>
      <c r="C68" s="90" t="s">
        <v>176</v>
      </c>
      <c r="D68" s="84"/>
      <c r="E68" s="108"/>
      <c r="F68" s="109"/>
    </row>
    <row r="69" spans="1:6" ht="48">
      <c r="A69" s="114"/>
      <c r="B69" s="605" t="s">
        <v>666</v>
      </c>
      <c r="C69" s="90" t="s">
        <v>176</v>
      </c>
      <c r="D69" s="84"/>
      <c r="E69" s="108"/>
      <c r="F69" s="109"/>
    </row>
    <row r="70" spans="1:6" ht="48">
      <c r="A70" s="202"/>
      <c r="B70" s="111" t="s">
        <v>670</v>
      </c>
      <c r="C70" s="1"/>
      <c r="D70" s="1"/>
      <c r="E70" s="1"/>
      <c r="F70" s="1"/>
    </row>
    <row r="71" spans="1:6" ht="24">
      <c r="A71" s="114"/>
      <c r="B71" s="115" t="s">
        <v>668</v>
      </c>
      <c r="C71" s="112"/>
      <c r="D71" s="84"/>
      <c r="E71" s="366"/>
      <c r="F71" s="91"/>
    </row>
    <row r="72" spans="1:6">
      <c r="A72" s="114"/>
      <c r="B72" s="115" t="s">
        <v>669</v>
      </c>
      <c r="C72" s="112"/>
      <c r="D72" s="90"/>
      <c r="E72" s="366"/>
      <c r="F72" s="197"/>
    </row>
    <row r="73" spans="1:6" ht="17.25">
      <c r="A73" s="114"/>
      <c r="B73" s="598" t="s">
        <v>639</v>
      </c>
      <c r="C73" s="112" t="s">
        <v>629</v>
      </c>
      <c r="D73" s="90">
        <f>83.8*1.1</f>
        <v>92.18</v>
      </c>
      <c r="E73" s="108"/>
      <c r="F73" s="109">
        <f>D73*E73</f>
        <v>0</v>
      </c>
    </row>
    <row r="74" spans="1:6" ht="17.25">
      <c r="A74" s="114"/>
      <c r="B74" s="598" t="s">
        <v>635</v>
      </c>
      <c r="C74" s="112" t="s">
        <v>629</v>
      </c>
      <c r="D74" s="90">
        <f>191.25*1.1</f>
        <v>210.37500000000003</v>
      </c>
      <c r="E74" s="108"/>
      <c r="F74" s="109">
        <f>D74*E74</f>
        <v>0</v>
      </c>
    </row>
    <row r="75" spans="1:6">
      <c r="A75" s="114"/>
      <c r="B75" s="606"/>
      <c r="C75" s="215"/>
      <c r="D75" s="520"/>
      <c r="E75" s="216"/>
      <c r="F75" s="204">
        <f>SUM(F73:F74)</f>
        <v>0</v>
      </c>
    </row>
    <row r="76" spans="1:6">
      <c r="A76" s="253"/>
      <c r="B76" s="259"/>
      <c r="C76" s="210"/>
      <c r="D76" s="256"/>
      <c r="E76" s="256"/>
      <c r="F76" s="258"/>
    </row>
    <row r="77" spans="1:6">
      <c r="A77" s="221" t="s">
        <v>138</v>
      </c>
      <c r="B77" s="115" t="s">
        <v>391</v>
      </c>
      <c r="C77" s="203"/>
      <c r="D77" s="109"/>
      <c r="E77" s="208"/>
      <c r="F77" s="208"/>
    </row>
    <row r="78" spans="1:6" ht="48">
      <c r="A78" s="137"/>
      <c r="B78" s="338" t="s">
        <v>723</v>
      </c>
      <c r="C78" s="112"/>
      <c r="D78" s="109"/>
      <c r="F78" s="109"/>
    </row>
    <row r="79" spans="1:6" ht="15">
      <c r="A79" s="137"/>
      <c r="B79" s="338"/>
      <c r="C79" s="210" t="s">
        <v>148</v>
      </c>
      <c r="D79" s="109">
        <v>13</v>
      </c>
      <c r="E79" s="108"/>
      <c r="F79" s="81">
        <f>E79*D79</f>
        <v>0</v>
      </c>
    </row>
    <row r="80" spans="1:6" ht="15" thickBot="1">
      <c r="A80" s="114"/>
      <c r="B80" s="201"/>
      <c r="C80" s="462"/>
      <c r="D80" s="109"/>
      <c r="E80" s="109"/>
      <c r="F80" s="81"/>
    </row>
    <row r="81" spans="1:6" ht="15" thickBot="1">
      <c r="A81" s="464" t="s">
        <v>65</v>
      </c>
      <c r="B81" s="465" t="s">
        <v>663</v>
      </c>
      <c r="C81" s="466"/>
      <c r="D81" s="467"/>
      <c r="E81" s="608" t="s">
        <v>28</v>
      </c>
      <c r="F81" s="460">
        <f>F79+F75+F57</f>
        <v>0</v>
      </c>
    </row>
    <row r="82" spans="1:6">
      <c r="D82" s="354"/>
    </row>
    <row r="87" spans="1:6">
      <c r="B87" s="379"/>
    </row>
    <row r="88" spans="1:6">
      <c r="D88" s="675"/>
    </row>
    <row r="89" spans="1:6">
      <c r="D89" s="675"/>
    </row>
    <row r="90" spans="1:6">
      <c r="D90" s="675"/>
    </row>
    <row r="91" spans="1:6">
      <c r="D91" s="675"/>
    </row>
    <row r="92" spans="1:6">
      <c r="D92" s="675"/>
    </row>
    <row r="93" spans="1:6">
      <c r="D93" s="675"/>
    </row>
    <row r="94" spans="1:6">
      <c r="D94" s="675"/>
    </row>
    <row r="95" spans="1:6">
      <c r="D95" s="675"/>
    </row>
    <row r="96" spans="1:6">
      <c r="D96" s="675"/>
    </row>
    <row r="97" spans="2:4">
      <c r="D97" s="675"/>
    </row>
    <row r="101" spans="2:4">
      <c r="B101" s="214"/>
      <c r="C101" s="112"/>
      <c r="D101" s="109"/>
    </row>
  </sheetData>
  <mergeCells count="23">
    <mergeCell ref="B35:E35"/>
    <mergeCell ref="B36:E36"/>
    <mergeCell ref="A1:F1"/>
    <mergeCell ref="A2:F2"/>
    <mergeCell ref="B42:F42"/>
    <mergeCell ref="A16:F16"/>
    <mergeCell ref="B29:E29"/>
    <mergeCell ref="B7:F7"/>
    <mergeCell ref="B15:E15"/>
    <mergeCell ref="B11:E11"/>
    <mergeCell ref="B12:E12"/>
    <mergeCell ref="B13:E13"/>
    <mergeCell ref="B14:E14"/>
    <mergeCell ref="B30:E30"/>
    <mergeCell ref="B31:E31"/>
    <mergeCell ref="B32:E32"/>
    <mergeCell ref="B33:E33"/>
    <mergeCell ref="B34:E34"/>
    <mergeCell ref="B37:E37"/>
    <mergeCell ref="B38:E38"/>
    <mergeCell ref="B39:E39"/>
    <mergeCell ref="B40:E40"/>
    <mergeCell ref="B41:E41"/>
  </mergeCells>
  <pageMargins left="0.70866141732283472" right="0.70866141732283472" top="0.74803149606299213" bottom="0.74803149606299213" header="0.31496062992125984" footer="0.31496062992125984"/>
  <pageSetup paperSize="9" orientation="portrait" r:id="rId1"/>
  <headerFooter alignWithMargins="0">
    <oddHeader>&amp;L&amp;"Calibri,Regular"&amp;8&amp;K000000Projektantski ured: SAEPTUM d.o.o. Travnička 50/a, Čakovec, Kružna ulica 81, Zagreb
Građevina: SZ Poljana Jurja Andrassya 12,13 i 14, Zagreb, k.č. 5333, k.o.Trešnjevka</oddHeader>
    <oddFooter>&amp;L&amp;"Calibri,Regular"&amp;9&amp;K000000Zagreb, svibanj 2024. godine&amp;R&amp;9&amp;K000000&amp;P/&amp;N</oddFooter>
  </headerFooter>
  <rowBreaks count="3" manualBreakCount="3">
    <brk id="41" max="5" man="1"/>
    <brk id="58" max="5" man="1"/>
    <brk id="75"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3FAEAF45145CE4AB37E89D3D303D4B9" ma:contentTypeVersion="11" ma:contentTypeDescription="Stvaranje novog dokumenta." ma:contentTypeScope="" ma:versionID="8367ce220354412aeb92d2249ad0394a">
  <xsd:schema xmlns:xsd="http://www.w3.org/2001/XMLSchema" xmlns:xs="http://www.w3.org/2001/XMLSchema" xmlns:p="http://schemas.microsoft.com/office/2006/metadata/properties" xmlns:ns2="06b4092e-46b4-42e8-96dd-3ed95d382771" xmlns:ns3="d21001c5-53a2-42c2-a245-b52f4b214e56" targetNamespace="http://schemas.microsoft.com/office/2006/metadata/properties" ma:root="true" ma:fieldsID="9f0dd49ddd52ac548bbec05109cfc66f" ns2:_="" ns3:_="">
    <xsd:import namespace="06b4092e-46b4-42e8-96dd-3ed95d382771"/>
    <xsd:import namespace="d21001c5-53a2-42c2-a245-b52f4b214e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4092e-46b4-42e8-96dd-3ed95d3827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Oznake slika" ma:readOnly="false" ma:fieldId="{5cf76f15-5ced-4ddc-b409-7134ff3c332f}" ma:taxonomyMulti="true" ma:sspId="6a3264f8-011e-4ff0-a09b-38e30d877f5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1001c5-53a2-42c2-a245-b52f4b214e5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f682800-b3cc-4184-a3c4-ff2f155f846c}" ma:internalName="TaxCatchAll" ma:showField="CatchAllData" ma:web="d21001c5-53a2-42c2-a245-b52f4b214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6b4092e-46b4-42e8-96dd-3ed95d382771">
      <Terms xmlns="http://schemas.microsoft.com/office/infopath/2007/PartnerControls"/>
    </lcf76f155ced4ddcb4097134ff3c332f>
    <TaxCatchAll xmlns="d21001c5-53a2-42c2-a245-b52f4b214e56" xsi:nil="true"/>
  </documentManagement>
</p:properties>
</file>

<file path=customXml/itemProps1.xml><?xml version="1.0" encoding="utf-8"?>
<ds:datastoreItem xmlns:ds="http://schemas.openxmlformats.org/officeDocument/2006/customXml" ds:itemID="{10F741F0-1A01-4603-ABF4-19E8311CAEBD}"/>
</file>

<file path=customXml/itemProps2.xml><?xml version="1.0" encoding="utf-8"?>
<ds:datastoreItem xmlns:ds="http://schemas.openxmlformats.org/officeDocument/2006/customXml" ds:itemID="{1B3CFB59-B0FA-4AC7-9D5A-8EDF9CA516A7}">
  <ds:schemaRefs>
    <ds:schemaRef ds:uri="http://schemas.microsoft.com/sharepoint/v3/contenttype/forms"/>
  </ds:schemaRefs>
</ds:datastoreItem>
</file>

<file path=customXml/itemProps3.xml><?xml version="1.0" encoding="utf-8"?>
<ds:datastoreItem xmlns:ds="http://schemas.openxmlformats.org/officeDocument/2006/customXml" ds:itemID="{16ED37BC-5E24-4F25-8A93-042A6DA6476E}">
  <ds:schemaRefs>
    <ds:schemaRef ds:uri="b901e292-b3b2-4438-b34a-eb50f3e70cc5"/>
    <ds:schemaRef ds:uri="http://purl.org/dc/terms/"/>
    <ds:schemaRef ds:uri="http://purl.org/dc/elements/1.1/"/>
    <ds:schemaRef ds:uri="ea08edf6-5938-4382-a2e8-fe9b59949537"/>
    <ds:schemaRef ds:uri="http://schemas.microsoft.com/office/2006/metadata/propertie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23</vt:i4>
      </vt:variant>
      <vt:variant>
        <vt:lpstr>Imenovani rasponi</vt:lpstr>
      </vt:variant>
      <vt:variant>
        <vt:i4>38</vt:i4>
      </vt:variant>
    </vt:vector>
  </HeadingPairs>
  <TitlesOfParts>
    <vt:vector size="61" baseType="lpstr">
      <vt:lpstr>nas</vt:lpstr>
      <vt:lpstr>sve rek</vt:lpstr>
      <vt:lpstr>sve rek + stolarija</vt:lpstr>
      <vt:lpstr>rekap</vt:lpstr>
      <vt:lpstr>rekap+stolarija</vt:lpstr>
      <vt:lpstr>opći</vt:lpstr>
      <vt:lpstr>A.I.1. pri+skela</vt:lpstr>
      <vt:lpstr>A.I.2.pri</vt:lpstr>
      <vt:lpstr>A.II.1.dem</vt:lpstr>
      <vt:lpstr>A.II.2.dem</vt:lpstr>
      <vt:lpstr>A.III.1.zid</vt:lpstr>
      <vt:lpstr>A.III.2.zid</vt:lpstr>
      <vt:lpstr>A.IV.izo</vt:lpstr>
      <vt:lpstr>A.V.zem</vt:lpstr>
      <vt:lpstr>B.I.lim</vt:lpstr>
      <vt:lpstr>B.II.1. sto</vt:lpstr>
      <vt:lpstr>B.III.brav</vt:lpstr>
      <vt:lpstr>B.II.2. sto</vt:lpstr>
      <vt:lpstr>B.III.zz</vt:lpstr>
      <vt:lpstr>B.IV.1.lič</vt:lpstr>
      <vt:lpstr>B.IV.2.lič</vt:lpstr>
      <vt:lpstr>B.V.podopol.</vt:lpstr>
      <vt:lpstr>B.brav</vt:lpstr>
      <vt:lpstr>'A.I.1. pri+skela'!Ispis_naslova</vt:lpstr>
      <vt:lpstr>A.I.2.pri!Ispis_naslova</vt:lpstr>
      <vt:lpstr>A.II.1.dem!Ispis_naslova</vt:lpstr>
      <vt:lpstr>A.II.2.dem!Ispis_naslova</vt:lpstr>
      <vt:lpstr>A.III.1.zid!Ispis_naslova</vt:lpstr>
      <vt:lpstr>A.III.2.zid!Ispis_naslova</vt:lpstr>
      <vt:lpstr>A.IV.izo!Ispis_naslova</vt:lpstr>
      <vt:lpstr>A.V.zem!Ispis_naslova</vt:lpstr>
      <vt:lpstr>B.brav!Ispis_naslova</vt:lpstr>
      <vt:lpstr>B.I.lim!Ispis_naslova</vt:lpstr>
      <vt:lpstr>'B.II.1. sto'!Ispis_naslova</vt:lpstr>
      <vt:lpstr>'B.II.2. sto'!Ispis_naslova</vt:lpstr>
      <vt:lpstr>B.III.brav!Ispis_naslova</vt:lpstr>
      <vt:lpstr>B.III.zz!Ispis_naslova</vt:lpstr>
      <vt:lpstr>B.IV.1.lič!Ispis_naslova</vt:lpstr>
      <vt:lpstr>B.IV.2.lič!Ispis_naslova</vt:lpstr>
      <vt:lpstr>B.V.podopol.!Ispis_naslova</vt:lpstr>
      <vt:lpstr>'A.I.1. pri+skela'!Podrucje_ispisa</vt:lpstr>
      <vt:lpstr>A.I.2.pri!Podrucje_ispisa</vt:lpstr>
      <vt:lpstr>A.II.1.dem!Podrucje_ispisa</vt:lpstr>
      <vt:lpstr>A.II.2.dem!Podrucje_ispisa</vt:lpstr>
      <vt:lpstr>A.III.1.zid!Podrucje_ispisa</vt:lpstr>
      <vt:lpstr>A.III.2.zid!Podrucje_ispisa</vt:lpstr>
      <vt:lpstr>A.IV.izo!Podrucje_ispisa</vt:lpstr>
      <vt:lpstr>A.V.zem!Podrucje_ispisa</vt:lpstr>
      <vt:lpstr>B.brav!Podrucje_ispisa</vt:lpstr>
      <vt:lpstr>B.I.lim!Podrucje_ispisa</vt:lpstr>
      <vt:lpstr>'B.II.1. sto'!Podrucje_ispisa</vt:lpstr>
      <vt:lpstr>'B.II.2. sto'!Podrucje_ispisa</vt:lpstr>
      <vt:lpstr>B.III.brav!Podrucje_ispisa</vt:lpstr>
      <vt:lpstr>B.III.zz!Podrucje_ispisa</vt:lpstr>
      <vt:lpstr>B.IV.1.lič!Podrucje_ispisa</vt:lpstr>
      <vt:lpstr>B.IV.2.lič!Podrucje_ispisa</vt:lpstr>
      <vt:lpstr>nas!Podrucje_ispisa</vt:lpstr>
      <vt:lpstr>opći!Podrucje_ispisa</vt:lpstr>
      <vt:lpstr>rekap!Podrucje_ispisa</vt:lpstr>
      <vt:lpstr>'rekap+stolarija'!Podrucje_ispisa</vt:lpstr>
      <vt:lpstr>'sve rek + stolarija'!Podrucje_ispisa</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dc:creator>
  <cp:keywords/>
  <dc:description/>
  <cp:lastModifiedBy>Željka Hrs Borković</cp:lastModifiedBy>
  <cp:revision/>
  <cp:lastPrinted>2024-05-17T11:59:51Z</cp:lastPrinted>
  <dcterms:created xsi:type="dcterms:W3CDTF">2012-01-25T10:15:07Z</dcterms:created>
  <dcterms:modified xsi:type="dcterms:W3CDTF">2024-05-17T12:16:26Z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0x01010003FAEAF45145CE4AB37E89D3D303D4B9</vt:lpwstr>
  </property>
</Properties>
</file>