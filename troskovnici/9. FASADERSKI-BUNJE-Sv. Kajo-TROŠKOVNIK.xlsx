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showInkAnnotation="0"/>
  <mc:AlternateContent xmlns:mc="http://schemas.openxmlformats.org/markup-compatibility/2006">
    <mc:Choice Requires="x15">
      <x15ac:absPath xmlns:x15ac="http://schemas.microsoft.com/office/spreadsheetml/2010/11/ac" url="T:\7_PONUDE 2026\Solin Mezanin\"/>
    </mc:Choice>
  </mc:AlternateContent>
  <xr:revisionPtr revIDLastSave="0" documentId="8_{AD22FF4A-323C-42E0-B362-F39C2486022E}" xr6:coauthVersionLast="47" xr6:coauthVersionMax="47" xr10:uidLastSave="{00000000-0000-0000-0000-000000000000}"/>
  <bookViews>
    <workbookView xWindow="20745" yWindow="1290" windowWidth="16485" windowHeight="20280" xr2:uid="{B34F1D1E-778F-49DF-9564-D35433A6B94F}"/>
  </bookViews>
  <sheets>
    <sheet name="BUNJE-MEZANIN-fasaderski" sheetId="1" r:id="rId1"/>
  </sheets>
  <calcPr calcId="191029"/>
</workbook>
</file>

<file path=xl/calcChain.xml><?xml version="1.0" encoding="utf-8"?>
<calcChain xmlns="http://schemas.openxmlformats.org/spreadsheetml/2006/main">
  <c r="F10" i="1" l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9" i="1"/>
  <c r="F30" i="1"/>
  <c r="F32" i="1"/>
  <c r="F34" i="1"/>
</calcChain>
</file>

<file path=xl/sharedStrings.xml><?xml version="1.0" encoding="utf-8"?>
<sst xmlns="http://schemas.openxmlformats.org/spreadsheetml/2006/main" count="60" uniqueCount="45">
  <si>
    <r>
      <rPr>
        <b/>
        <i/>
        <sz val="14"/>
        <color indexed="8"/>
        <rFont val="Calibri"/>
        <family val="2"/>
        <charset val="238"/>
      </rPr>
      <t>STAMBENO-POSLOVNA SLOŽENA GRAĐEVINA, na k.č.z. 3525/1 i 3530/8, dio 3531/2 i dio 3524/1 k.o. Solin</t>
    </r>
    <r>
      <rPr>
        <b/>
        <i/>
        <sz val="11"/>
        <color indexed="8"/>
        <rFont val="Calibri"/>
        <family val="2"/>
        <charset val="238"/>
      </rPr>
      <t xml:space="preserve">                                                                                                                                       TROŠKOVNIK GRAĐEVINSKIH i OBRTNIČKIH RADOVA</t>
    </r>
  </si>
  <si>
    <t>INVESTITOR: MEZANIN NEKRETNINE DOO</t>
  </si>
  <si>
    <t>ST.</t>
  </si>
  <si>
    <t>OPIS RADOVA:</t>
  </si>
  <si>
    <t>JED. MJ.:</t>
  </si>
  <si>
    <t>KOLIČINA:</t>
  </si>
  <si>
    <t>JED. CIJENA:</t>
  </si>
  <si>
    <t>UKUPNO:</t>
  </si>
  <si>
    <t>9.</t>
  </si>
  <si>
    <t>FASADERSKI RADOVI:</t>
  </si>
  <si>
    <t>9.1.</t>
  </si>
  <si>
    <r>
      <t xml:space="preserve">Nabava, transport i montaža, a po završetku radova demontaža i odvoz </t>
    </r>
    <r>
      <rPr>
        <b/>
        <sz val="11"/>
        <color indexed="8"/>
        <rFont val="Calibri"/>
        <family val="2"/>
        <charset val="238"/>
      </rPr>
      <t>lake fasadne skele</t>
    </r>
    <r>
      <rPr>
        <sz val="11"/>
        <color indexed="8"/>
        <rFont val="Calibri"/>
        <family val="2"/>
        <charset val="238"/>
      </rPr>
      <t xml:space="preserve">. Prilikom izvođenja radova pridržavati se važećih pravilnika, propisa i zakona o zaštiti na radu.                                                                  </t>
    </r>
    <r>
      <rPr>
        <i/>
        <sz val="11"/>
        <color indexed="8"/>
        <rFont val="Calibri"/>
        <family val="2"/>
        <charset val="238"/>
      </rPr>
      <t>(Obračun po m2 postavljene skele, za vrijeme trajanja fasaderskih radova)</t>
    </r>
  </si>
  <si>
    <t>m2</t>
  </si>
  <si>
    <t>9.2.a)</t>
  </si>
  <si>
    <r>
      <t xml:space="preserve">Dobava materijala i izrada </t>
    </r>
    <r>
      <rPr>
        <b/>
        <sz val="11"/>
        <color indexed="8"/>
        <rFont val="Calibri"/>
        <family val="2"/>
        <charset val="238"/>
      </rPr>
      <t>kontaktnog toplinskog fasadnog sustava ETICS</t>
    </r>
    <r>
      <rPr>
        <sz val="11"/>
        <color indexed="8"/>
        <rFont val="Calibri"/>
        <family val="2"/>
        <charset val="238"/>
      </rPr>
      <t xml:space="preserve"> na </t>
    </r>
    <r>
      <rPr>
        <u/>
        <sz val="11"/>
        <color indexed="10"/>
        <rFont val="Calibri"/>
        <family val="2"/>
        <charset val="238"/>
      </rPr>
      <t xml:space="preserve">vanjskim fasadnim zidovima </t>
    </r>
    <r>
      <rPr>
        <i/>
        <u/>
        <sz val="11"/>
        <color indexed="10"/>
        <rFont val="Calibri"/>
        <family val="2"/>
        <charset val="238"/>
      </rPr>
      <t>(</t>
    </r>
    <r>
      <rPr>
        <b/>
        <i/>
        <u/>
        <sz val="11"/>
        <color indexed="10"/>
        <rFont val="Calibri"/>
        <family val="2"/>
        <charset val="238"/>
      </rPr>
      <t>Z1</t>
    </r>
    <r>
      <rPr>
        <i/>
        <u/>
        <sz val="11"/>
        <color indexed="10"/>
        <rFont val="Calibri"/>
        <family val="2"/>
        <charset val="238"/>
      </rPr>
      <t>) te na vanjskom licu parapeta ravnog krova i  nadgrađa OBJEKTA</t>
    </r>
    <r>
      <rPr>
        <sz val="11"/>
        <color indexed="8"/>
        <rFont val="Calibri"/>
        <family val="2"/>
        <charset val="238"/>
      </rPr>
      <t xml:space="preserve">:                                                                  Na vanjsku stranu zidova lijepe se polimer-cementnim ljepilom (točkasto i po rubovima ploče) i mehanički učvršćuju (spojnice- 6-8 kom/m2) </t>
    </r>
    <r>
      <rPr>
        <b/>
        <sz val="11"/>
        <color indexed="8"/>
        <rFont val="Calibri"/>
        <family val="2"/>
        <charset val="238"/>
      </rPr>
      <t xml:space="preserve">izolacijske PLOČE </t>
    </r>
    <r>
      <rPr>
        <b/>
        <i/>
        <sz val="11"/>
        <color indexed="8"/>
        <rFont val="Calibri"/>
        <family val="2"/>
        <charset val="238"/>
      </rPr>
      <t>(kao Knauf Insulation FKD-S Thermal ili jednakovrijedno</t>
    </r>
    <r>
      <rPr>
        <i/>
        <sz val="11"/>
        <color indexed="8"/>
        <rFont val="Calibri"/>
        <family val="2"/>
        <charset val="238"/>
      </rPr>
      <t>)</t>
    </r>
    <r>
      <rPr>
        <b/>
        <sz val="11"/>
        <color indexed="8"/>
        <rFont val="Calibri"/>
        <family val="2"/>
        <charset val="238"/>
      </rPr>
      <t xml:space="preserve"> od kamene vune</t>
    </r>
    <r>
      <rPr>
        <b/>
        <sz val="11"/>
        <color indexed="10"/>
        <rFont val="Calibri"/>
        <family val="2"/>
        <charset val="238"/>
      </rPr>
      <t xml:space="preserve"> (d=10 cm)</t>
    </r>
    <r>
      <rPr>
        <b/>
        <sz val="11"/>
        <color indexed="8"/>
        <rFont val="Calibri"/>
        <family val="2"/>
        <charset val="238"/>
      </rPr>
      <t xml:space="preserve">, </t>
    </r>
    <r>
      <rPr>
        <i/>
        <u/>
        <sz val="11"/>
        <color indexed="8"/>
        <rFont val="Calibri"/>
        <family val="2"/>
        <charset val="238"/>
      </rPr>
      <t>osim na poziciji cokla fasade (50 cm iznad uređenog terena oko objekta), gdje se postavlja stirodur XPS-10 cm</t>
    </r>
    <r>
      <rPr>
        <b/>
        <sz val="11"/>
        <color indexed="8"/>
        <rFont val="Calibri"/>
        <family val="2"/>
        <charset val="238"/>
      </rPr>
      <t>.</t>
    </r>
    <r>
      <rPr>
        <sz val="11"/>
        <color indexed="8"/>
        <rFont val="Calibri"/>
        <family val="2"/>
        <charset val="238"/>
      </rPr>
      <t xml:space="preserve"> Na zalijepljene ploče nanosi se dvostruki sloj cementnog ljepila s utisnutom staklenom mrežicom te </t>
    </r>
    <r>
      <rPr>
        <b/>
        <sz val="11"/>
        <color indexed="8"/>
        <rFont val="Calibri"/>
        <family val="2"/>
        <charset val="238"/>
      </rPr>
      <t xml:space="preserve">završno zaštitna ukrasna završna </t>
    </r>
    <r>
      <rPr>
        <b/>
        <u/>
        <sz val="11"/>
        <color indexed="8"/>
        <rFont val="Calibri"/>
        <family val="2"/>
        <charset val="238"/>
      </rPr>
      <t>silikatna</t>
    </r>
    <r>
      <rPr>
        <b/>
        <sz val="11"/>
        <color indexed="8"/>
        <rFont val="Calibri"/>
        <family val="2"/>
        <charset val="238"/>
      </rPr>
      <t xml:space="preserve"> žbuka</t>
    </r>
    <r>
      <rPr>
        <sz val="11"/>
        <color indexed="8"/>
        <rFont val="Calibri"/>
        <family val="2"/>
        <charset val="238"/>
      </rPr>
      <t xml:space="preserve"> (sa svim potrebnim predradnjama), u tonu po izboru Investitora</t>
    </r>
    <r>
      <rPr>
        <b/>
        <sz val="11"/>
        <color indexed="8"/>
        <rFont val="Calibri"/>
        <family val="2"/>
        <charset val="238"/>
      </rPr>
      <t xml:space="preserve">.                                                                  </t>
    </r>
    <r>
      <rPr>
        <sz val="11"/>
        <color indexed="8"/>
        <rFont val="Calibri"/>
        <family val="2"/>
        <charset val="238"/>
      </rPr>
      <t xml:space="preserve">                                                                     </t>
    </r>
    <r>
      <rPr>
        <i/>
        <sz val="11"/>
        <color indexed="8"/>
        <rFont val="Calibri"/>
        <family val="2"/>
        <charset val="238"/>
      </rPr>
      <t xml:space="preserve">(Dobava materijala i ugradba, prema uputama proizvođača. Obračun, po m2 ) </t>
    </r>
    <r>
      <rPr>
        <b/>
        <i/>
        <sz val="11"/>
        <color indexed="8"/>
        <rFont val="Calibri"/>
        <family val="2"/>
        <charset val="238"/>
      </rPr>
      <t xml:space="preserve"> </t>
    </r>
  </si>
  <si>
    <t>9.2.a)*</t>
  </si>
  <si>
    <r>
      <t xml:space="preserve">Doplata za dobavu i ugradbu </t>
    </r>
    <r>
      <rPr>
        <b/>
        <i/>
        <sz val="11"/>
        <color indexed="63"/>
        <rFont val="Calibri"/>
        <family val="2"/>
        <charset val="238"/>
      </rPr>
      <t>kutnog profila, s mrežicom duž linije spoja 2 fasadne zidne obloge različite debljine</t>
    </r>
    <r>
      <rPr>
        <i/>
        <sz val="11"/>
        <color indexed="63"/>
        <rFont val="Calibri"/>
        <family val="2"/>
        <charset val="238"/>
      </rPr>
      <t xml:space="preserve"> (10 i 8 cm).                                        (Dobava materijala i ugradba, prema uputama proizvođača. Obračun, po m1 ) </t>
    </r>
  </si>
  <si>
    <t>m1</t>
  </si>
  <si>
    <t>9.2.b)</t>
  </si>
  <si>
    <r>
      <t xml:space="preserve">Dobava materijala i izrada </t>
    </r>
    <r>
      <rPr>
        <b/>
        <sz val="11"/>
        <color indexed="8"/>
        <rFont val="Calibri"/>
        <family val="2"/>
        <charset val="238"/>
      </rPr>
      <t>kontaktnog toplinskog fasadnog sustava ETICS</t>
    </r>
    <r>
      <rPr>
        <sz val="11"/>
        <color indexed="8"/>
        <rFont val="Calibri"/>
        <family val="2"/>
        <charset val="238"/>
      </rPr>
      <t xml:space="preserve"> na </t>
    </r>
    <r>
      <rPr>
        <u/>
        <sz val="11"/>
        <color indexed="10"/>
        <rFont val="Calibri"/>
        <family val="2"/>
        <charset val="238"/>
      </rPr>
      <t xml:space="preserve">vanjskim fasadnim zidovima </t>
    </r>
    <r>
      <rPr>
        <i/>
        <u/>
        <sz val="11"/>
        <color indexed="10"/>
        <rFont val="Calibri"/>
        <family val="2"/>
        <charset val="238"/>
      </rPr>
      <t>(</t>
    </r>
    <r>
      <rPr>
        <b/>
        <i/>
        <u/>
        <sz val="11"/>
        <color indexed="10"/>
        <rFont val="Calibri"/>
        <family val="2"/>
        <charset val="238"/>
      </rPr>
      <t xml:space="preserve">Z2- </t>
    </r>
    <r>
      <rPr>
        <i/>
        <u/>
        <sz val="11"/>
        <color indexed="10"/>
        <rFont val="Calibri"/>
        <family val="2"/>
        <charset val="238"/>
      </rPr>
      <t>ukrasne plohe oko nekih fasadnih zatvora-prema arh.projektu-PROČELJA)</t>
    </r>
    <r>
      <rPr>
        <sz val="11"/>
        <color indexed="8"/>
        <rFont val="Calibri"/>
        <family val="2"/>
        <charset val="238"/>
      </rPr>
      <t xml:space="preserve">:                                                                  Na vanjsku stranu zidova lijepe se polimer-cementnim ljepilom (točkasto i po rubovima ploče) i mehanički učvršćuju (spojnice- 6-8 kom/m2) </t>
    </r>
    <r>
      <rPr>
        <b/>
        <sz val="11"/>
        <color indexed="8"/>
        <rFont val="Calibri"/>
        <family val="2"/>
        <charset val="238"/>
      </rPr>
      <t xml:space="preserve">izolacijske PLOČE </t>
    </r>
    <r>
      <rPr>
        <b/>
        <i/>
        <sz val="11"/>
        <color indexed="8"/>
        <rFont val="Calibri"/>
        <family val="2"/>
        <charset val="238"/>
      </rPr>
      <t>(kao Knauf Insulation FKD-S Thermal ili jednakovrijedno</t>
    </r>
    <r>
      <rPr>
        <i/>
        <sz val="11"/>
        <color indexed="8"/>
        <rFont val="Calibri"/>
        <family val="2"/>
        <charset val="238"/>
      </rPr>
      <t>)</t>
    </r>
    <r>
      <rPr>
        <b/>
        <sz val="11"/>
        <color indexed="8"/>
        <rFont val="Calibri"/>
        <family val="2"/>
        <charset val="238"/>
      </rPr>
      <t xml:space="preserve"> od kamene vune</t>
    </r>
    <r>
      <rPr>
        <b/>
        <sz val="11"/>
        <color indexed="10"/>
        <rFont val="Calibri"/>
        <family val="2"/>
        <charset val="238"/>
      </rPr>
      <t xml:space="preserve"> (d=8 cm)</t>
    </r>
    <r>
      <rPr>
        <b/>
        <sz val="11"/>
        <color indexed="8"/>
        <rFont val="Calibri"/>
        <family val="2"/>
        <charset val="238"/>
      </rPr>
      <t xml:space="preserve">, </t>
    </r>
    <r>
      <rPr>
        <i/>
        <u/>
        <sz val="11"/>
        <color indexed="8"/>
        <rFont val="Calibri"/>
        <family val="2"/>
        <charset val="238"/>
      </rPr>
      <t>osim na poziciji cokla fasade (50 cm iznad uređenog terena oko objekta), gdje se postavlja stirodur XPS-8 cm</t>
    </r>
    <r>
      <rPr>
        <b/>
        <sz val="11"/>
        <color indexed="8"/>
        <rFont val="Calibri"/>
        <family val="2"/>
        <charset val="238"/>
      </rPr>
      <t>.</t>
    </r>
    <r>
      <rPr>
        <sz val="11"/>
        <color indexed="8"/>
        <rFont val="Calibri"/>
        <family val="2"/>
        <charset val="238"/>
      </rPr>
      <t xml:space="preserve"> Na zalijepljene ploče nanosi se dvostruki sloj cementnog ljepila s utisnutom staklenom mrežicom te </t>
    </r>
    <r>
      <rPr>
        <b/>
        <sz val="11"/>
        <color indexed="8"/>
        <rFont val="Calibri"/>
        <family val="2"/>
        <charset val="238"/>
      </rPr>
      <t xml:space="preserve">završno zaštitna ukrasna završna </t>
    </r>
    <r>
      <rPr>
        <b/>
        <u/>
        <sz val="11"/>
        <color indexed="8"/>
        <rFont val="Calibri"/>
        <family val="2"/>
        <charset val="238"/>
      </rPr>
      <t>silikatna</t>
    </r>
    <r>
      <rPr>
        <b/>
        <sz val="11"/>
        <color indexed="8"/>
        <rFont val="Calibri"/>
        <family val="2"/>
        <charset val="238"/>
      </rPr>
      <t xml:space="preserve"> žbuka</t>
    </r>
    <r>
      <rPr>
        <sz val="11"/>
        <color indexed="8"/>
        <rFont val="Calibri"/>
        <family val="2"/>
        <charset val="238"/>
      </rPr>
      <t xml:space="preserve"> (sa svim potrebnim predradnjama), u tonu po izboru Investitora</t>
    </r>
    <r>
      <rPr>
        <b/>
        <sz val="11"/>
        <color indexed="8"/>
        <rFont val="Calibri"/>
        <family val="2"/>
        <charset val="238"/>
      </rPr>
      <t xml:space="preserve">.                                                                  </t>
    </r>
    <r>
      <rPr>
        <sz val="11"/>
        <color indexed="8"/>
        <rFont val="Calibri"/>
        <family val="2"/>
        <charset val="238"/>
      </rPr>
      <t xml:space="preserve">                                                                     </t>
    </r>
    <r>
      <rPr>
        <i/>
        <sz val="11"/>
        <color indexed="8"/>
        <rFont val="Calibri"/>
        <family val="2"/>
        <charset val="238"/>
      </rPr>
      <t xml:space="preserve">(Dobava materijala i ugradba, prema uputama proizvođača. Obračun, po m2 ) </t>
    </r>
    <r>
      <rPr>
        <b/>
        <i/>
        <sz val="11"/>
        <color indexed="8"/>
        <rFont val="Calibri"/>
        <family val="2"/>
        <charset val="238"/>
      </rPr>
      <t xml:space="preserve"> </t>
    </r>
  </si>
  <si>
    <t>9.2.c)</t>
  </si>
  <si>
    <r>
      <t xml:space="preserve">Dobava materijala i izrada </t>
    </r>
    <r>
      <rPr>
        <b/>
        <sz val="11"/>
        <color indexed="8"/>
        <rFont val="Calibri"/>
        <family val="2"/>
        <charset val="238"/>
      </rPr>
      <t>kontaktnog toplinskog fasadnog sustava ETICS</t>
    </r>
    <r>
      <rPr>
        <sz val="11"/>
        <color indexed="8"/>
        <rFont val="Calibri"/>
        <family val="2"/>
        <charset val="238"/>
      </rPr>
      <t xml:space="preserve"> na </t>
    </r>
    <r>
      <rPr>
        <u/>
        <sz val="11"/>
        <color indexed="10"/>
        <rFont val="Calibri"/>
        <family val="2"/>
        <charset val="238"/>
      </rPr>
      <t xml:space="preserve">vanjskim fasadnim zidovima </t>
    </r>
    <r>
      <rPr>
        <i/>
        <u/>
        <sz val="11"/>
        <color indexed="10"/>
        <rFont val="Calibri"/>
        <family val="2"/>
        <charset val="238"/>
      </rPr>
      <t>(</t>
    </r>
    <r>
      <rPr>
        <b/>
        <i/>
        <u/>
        <sz val="11"/>
        <color indexed="10"/>
        <rFont val="Calibri"/>
        <family val="2"/>
        <charset val="238"/>
      </rPr>
      <t>Z3-</t>
    </r>
    <r>
      <rPr>
        <i/>
        <u/>
        <sz val="11"/>
        <color indexed="10"/>
        <rFont val="Calibri"/>
        <family val="2"/>
        <charset val="238"/>
      </rPr>
      <t>sjeverni zid okna lifta</t>
    </r>
    <r>
      <rPr>
        <b/>
        <i/>
        <u/>
        <sz val="11"/>
        <color indexed="10"/>
        <rFont val="Calibri"/>
        <family val="2"/>
        <charset val="238"/>
      </rPr>
      <t xml:space="preserve">;  </t>
    </r>
    <r>
      <rPr>
        <i/>
        <u/>
        <sz val="11"/>
        <color indexed="10"/>
        <rFont val="Calibri"/>
        <family val="2"/>
        <charset val="238"/>
      </rPr>
      <t>na unutrašnjem licu parapeta ravnog krova i terease nadgrađa OBJEKTA)</t>
    </r>
    <r>
      <rPr>
        <sz val="11"/>
        <color indexed="8"/>
        <rFont val="Calibri"/>
        <family val="2"/>
        <charset val="238"/>
      </rPr>
      <t xml:space="preserve">:                                                                  Na vanjsku stranu zidova lijepe se polimer-cementnim ljepilom (točkasto i po rubovima ploče) i mehanički učvršćuju (spojnice- 6-8 kom/m2) </t>
    </r>
    <r>
      <rPr>
        <b/>
        <sz val="11"/>
        <color indexed="8"/>
        <rFont val="Calibri"/>
        <family val="2"/>
        <charset val="238"/>
      </rPr>
      <t xml:space="preserve">izolacijske PLOČE </t>
    </r>
    <r>
      <rPr>
        <b/>
        <i/>
        <sz val="11"/>
        <color indexed="8"/>
        <rFont val="Calibri"/>
        <family val="2"/>
        <charset val="238"/>
      </rPr>
      <t>(kao Knauf Insulation FKD-S Thermal ili jednakovrijedno</t>
    </r>
    <r>
      <rPr>
        <i/>
        <sz val="11"/>
        <color indexed="8"/>
        <rFont val="Calibri"/>
        <family val="2"/>
        <charset val="238"/>
      </rPr>
      <t>)</t>
    </r>
    <r>
      <rPr>
        <b/>
        <sz val="11"/>
        <color indexed="8"/>
        <rFont val="Calibri"/>
        <family val="2"/>
        <charset val="238"/>
      </rPr>
      <t>od kamene vune</t>
    </r>
    <r>
      <rPr>
        <b/>
        <sz val="11"/>
        <color indexed="10"/>
        <rFont val="Calibri"/>
        <family val="2"/>
        <charset val="238"/>
      </rPr>
      <t xml:space="preserve"> (d=5 cm)</t>
    </r>
    <r>
      <rPr>
        <b/>
        <sz val="11"/>
        <color indexed="8"/>
        <rFont val="Calibri"/>
        <family val="2"/>
        <charset val="238"/>
      </rPr>
      <t xml:space="preserve">, </t>
    </r>
    <r>
      <rPr>
        <i/>
        <u/>
        <sz val="11"/>
        <color indexed="8"/>
        <rFont val="Calibri"/>
        <family val="2"/>
        <charset val="238"/>
      </rPr>
      <t>osim na poziciji cokla fasade (50 cm iznad uređenog terena oko objekta), gdje se postavlja stirodur XPS-5 cm</t>
    </r>
    <r>
      <rPr>
        <b/>
        <sz val="11"/>
        <color indexed="8"/>
        <rFont val="Calibri"/>
        <family val="2"/>
        <charset val="238"/>
      </rPr>
      <t>.</t>
    </r>
    <r>
      <rPr>
        <sz val="11"/>
        <color indexed="8"/>
        <rFont val="Calibri"/>
        <family val="2"/>
        <charset val="238"/>
      </rPr>
      <t xml:space="preserve"> Na zalijepljene ploče nanosi se dvostruki sloj cementnog ljepila s utisnutom staklenom mrežicom te </t>
    </r>
    <r>
      <rPr>
        <b/>
        <sz val="11"/>
        <color indexed="8"/>
        <rFont val="Calibri"/>
        <family val="2"/>
        <charset val="238"/>
      </rPr>
      <t xml:space="preserve">završno zaštitna ukrasna završna </t>
    </r>
    <r>
      <rPr>
        <b/>
        <u/>
        <sz val="11"/>
        <color indexed="8"/>
        <rFont val="Calibri"/>
        <family val="2"/>
        <charset val="238"/>
      </rPr>
      <t>silikatna</t>
    </r>
    <r>
      <rPr>
        <b/>
        <sz val="11"/>
        <color indexed="8"/>
        <rFont val="Calibri"/>
        <family val="2"/>
        <charset val="238"/>
      </rPr>
      <t xml:space="preserve"> žbuka</t>
    </r>
    <r>
      <rPr>
        <sz val="11"/>
        <color indexed="8"/>
        <rFont val="Calibri"/>
        <family val="2"/>
        <charset val="238"/>
      </rPr>
      <t xml:space="preserve"> (sa svim potrebnim predradnjama), u tonu po izboru Investitora</t>
    </r>
    <r>
      <rPr>
        <b/>
        <sz val="11"/>
        <color indexed="8"/>
        <rFont val="Calibri"/>
        <family val="2"/>
        <charset val="238"/>
      </rPr>
      <t xml:space="preserve">.                                                                  </t>
    </r>
    <r>
      <rPr>
        <sz val="11"/>
        <color indexed="8"/>
        <rFont val="Calibri"/>
        <family val="2"/>
        <charset val="238"/>
      </rPr>
      <t xml:space="preserve">                                                                     </t>
    </r>
    <r>
      <rPr>
        <i/>
        <sz val="11"/>
        <color indexed="8"/>
        <rFont val="Calibri"/>
        <family val="2"/>
        <charset val="238"/>
      </rPr>
      <t xml:space="preserve">(Dobava materijala i ugradba, prema uputama proizvođača. Obračun, po m2 ) </t>
    </r>
    <r>
      <rPr>
        <b/>
        <i/>
        <sz val="11"/>
        <color indexed="8"/>
        <rFont val="Calibri"/>
        <family val="2"/>
        <charset val="238"/>
      </rPr>
      <t xml:space="preserve"> </t>
    </r>
  </si>
  <si>
    <t>9.3.</t>
  </si>
  <si>
    <r>
      <t xml:space="preserve">Dobava materijala i izrada </t>
    </r>
    <r>
      <rPr>
        <b/>
        <sz val="11"/>
        <color indexed="8"/>
        <rFont val="Calibri"/>
        <family val="2"/>
        <charset val="238"/>
      </rPr>
      <t>kontaktnog toplinskog fasadnog sustava ETICS</t>
    </r>
    <r>
      <rPr>
        <sz val="11"/>
        <color indexed="8"/>
        <rFont val="Calibri"/>
        <family val="2"/>
        <charset val="238"/>
      </rPr>
      <t xml:space="preserve"> na </t>
    </r>
    <r>
      <rPr>
        <u/>
        <sz val="11"/>
        <color indexed="10"/>
        <rFont val="Calibri"/>
        <family val="2"/>
        <charset val="238"/>
      </rPr>
      <t xml:space="preserve">unutrašnjim zidovima hodnika/stubišta-prema stanovima/poslovnim prostorima </t>
    </r>
    <r>
      <rPr>
        <i/>
        <u/>
        <sz val="11"/>
        <color indexed="10"/>
        <rFont val="Calibri"/>
        <family val="2"/>
        <charset val="238"/>
      </rPr>
      <t>(</t>
    </r>
    <r>
      <rPr>
        <b/>
        <i/>
        <u/>
        <sz val="11"/>
        <color indexed="10"/>
        <rFont val="Calibri"/>
        <family val="2"/>
        <charset val="238"/>
      </rPr>
      <t>Zu1</t>
    </r>
    <r>
      <rPr>
        <i/>
        <u/>
        <sz val="11"/>
        <color indexed="10"/>
        <rFont val="Calibri"/>
        <family val="2"/>
        <charset val="238"/>
      </rPr>
      <t>)</t>
    </r>
    <r>
      <rPr>
        <sz val="11"/>
        <color indexed="8"/>
        <rFont val="Calibri"/>
        <family val="2"/>
        <charset val="238"/>
      </rPr>
      <t xml:space="preserve">:                                                                  Na vanjsku stranu zidova lijepe se polimer-cementnim ljepilom (točkasto i po rubovima ploče) i mehanički učvršćuju (spojnice- 6-8 kom/m2) </t>
    </r>
    <r>
      <rPr>
        <b/>
        <sz val="11"/>
        <color indexed="8"/>
        <rFont val="Calibri"/>
        <family val="2"/>
        <charset val="238"/>
      </rPr>
      <t xml:space="preserve">izolacijske PLOČE </t>
    </r>
    <r>
      <rPr>
        <b/>
        <i/>
        <sz val="11"/>
        <color indexed="8"/>
        <rFont val="Calibri"/>
        <family val="2"/>
        <charset val="238"/>
      </rPr>
      <t>(kao Knauf Insulation FKD-S Thermal ili jednakovrijedno)</t>
    </r>
    <r>
      <rPr>
        <b/>
        <sz val="11"/>
        <color indexed="8"/>
        <rFont val="Calibri"/>
        <family val="2"/>
        <charset val="238"/>
      </rPr>
      <t xml:space="preserve"> od kamene vune </t>
    </r>
    <r>
      <rPr>
        <b/>
        <sz val="11"/>
        <color indexed="10"/>
        <rFont val="Calibri"/>
        <family val="2"/>
        <charset val="238"/>
      </rPr>
      <t>(d=5cm)</t>
    </r>
    <r>
      <rPr>
        <b/>
        <sz val="11"/>
        <color indexed="8"/>
        <rFont val="Calibri"/>
        <family val="2"/>
        <charset val="238"/>
      </rPr>
      <t>.</t>
    </r>
    <r>
      <rPr>
        <sz val="11"/>
        <color indexed="8"/>
        <rFont val="Calibri"/>
        <family val="2"/>
        <charset val="238"/>
      </rPr>
      <t xml:space="preserve"> Na zalijepljene ploče nanosi se dvostruki sloj cementnog ljepila s utisnutom staklenom mrežicom, </t>
    </r>
    <r>
      <rPr>
        <b/>
        <sz val="11"/>
        <color indexed="10"/>
        <rFont val="Calibri"/>
        <family val="2"/>
        <charset val="238"/>
      </rPr>
      <t>BEZ</t>
    </r>
    <r>
      <rPr>
        <sz val="11"/>
        <color indexed="10"/>
        <rFont val="Calibri"/>
        <family val="2"/>
        <charset val="238"/>
      </rPr>
      <t xml:space="preserve"> </t>
    </r>
    <r>
      <rPr>
        <b/>
        <sz val="11"/>
        <color indexed="10"/>
        <rFont val="Calibri"/>
        <family val="2"/>
        <charset val="238"/>
      </rPr>
      <t xml:space="preserve">završnog  sloja </t>
    </r>
    <r>
      <rPr>
        <i/>
        <sz val="11"/>
        <color indexed="8"/>
        <rFont val="Calibri"/>
        <family val="2"/>
        <charset val="238"/>
      </rPr>
      <t>(stavka BOJADISARSKIH RADOVA)</t>
    </r>
    <r>
      <rPr>
        <b/>
        <sz val="11"/>
        <color indexed="8"/>
        <rFont val="Calibri"/>
        <family val="2"/>
        <charset val="238"/>
      </rPr>
      <t xml:space="preserve">.                                                                  </t>
    </r>
    <r>
      <rPr>
        <sz val="11"/>
        <color indexed="8"/>
        <rFont val="Calibri"/>
        <family val="2"/>
        <charset val="238"/>
      </rPr>
      <t xml:space="preserve">                                                                     </t>
    </r>
    <r>
      <rPr>
        <i/>
        <sz val="11"/>
        <color indexed="8"/>
        <rFont val="Calibri"/>
        <family val="2"/>
        <charset val="238"/>
      </rPr>
      <t xml:space="preserve">(Dobava materijala i ugradba, prema uputama proizvođača. Obračun, po m2 ) </t>
    </r>
    <r>
      <rPr>
        <b/>
        <i/>
        <sz val="11"/>
        <color indexed="8"/>
        <rFont val="Calibri"/>
        <family val="2"/>
        <charset val="238"/>
      </rPr>
      <t xml:space="preserve"> </t>
    </r>
  </si>
  <si>
    <t>9.4.</t>
  </si>
  <si>
    <r>
      <t xml:space="preserve">Dobava materijala i izrada </t>
    </r>
    <r>
      <rPr>
        <b/>
        <sz val="11"/>
        <color indexed="8"/>
        <rFont val="Calibri"/>
        <family val="2"/>
        <charset val="238"/>
      </rPr>
      <t>kontaktnog toplinskog fasadnog sustava ETICS</t>
    </r>
    <r>
      <rPr>
        <sz val="11"/>
        <color indexed="8"/>
        <rFont val="Calibri"/>
        <family val="2"/>
        <charset val="238"/>
      </rPr>
      <t xml:space="preserve"> </t>
    </r>
    <r>
      <rPr>
        <b/>
        <u/>
        <sz val="11"/>
        <color indexed="8"/>
        <rFont val="Calibri"/>
        <family val="2"/>
        <charset val="238"/>
      </rPr>
      <t>na podgled stropne AB ploče garaže, ispod grijanih prostorija OBJEKTA</t>
    </r>
    <r>
      <rPr>
        <u/>
        <sz val="11"/>
        <color indexed="8"/>
        <rFont val="Calibri"/>
        <family val="2"/>
        <charset val="238"/>
      </rPr>
      <t xml:space="preserve"> </t>
    </r>
    <r>
      <rPr>
        <i/>
        <u/>
        <sz val="11"/>
        <color indexed="10"/>
        <rFont val="Calibri"/>
        <family val="2"/>
        <charset val="238"/>
      </rPr>
      <t>(PRIZEMLJE)</t>
    </r>
    <r>
      <rPr>
        <sz val="11"/>
        <color indexed="8"/>
        <rFont val="Calibri"/>
        <family val="2"/>
        <charset val="238"/>
      </rPr>
      <t xml:space="preserve">:                                                                                        </t>
    </r>
    <r>
      <rPr>
        <b/>
        <sz val="11"/>
        <color indexed="8"/>
        <rFont val="Calibri"/>
        <family val="2"/>
        <charset val="238"/>
      </rPr>
      <t xml:space="preserve">           </t>
    </r>
    <r>
      <rPr>
        <i/>
        <sz val="11"/>
        <color indexed="8"/>
        <rFont val="Calibri"/>
        <family val="2"/>
        <charset val="238"/>
      </rPr>
      <t xml:space="preserve"> </t>
    </r>
    <r>
      <rPr>
        <b/>
        <sz val="11"/>
        <color indexed="8"/>
        <rFont val="Calibri"/>
        <family val="2"/>
        <charset val="238"/>
      </rPr>
      <t xml:space="preserve">      </t>
    </r>
    <r>
      <rPr>
        <sz val="11"/>
        <color indexed="8"/>
        <rFont val="Calibri"/>
        <family val="2"/>
        <charset val="238"/>
      </rPr>
      <t xml:space="preserve">                                                                       Na stropnu AB ploču lijepe se polimer-cementnim ljepilom (točkasto i po rubovima ploče) i mehanički učvršćuju (spojnice- 6-8 kom/m2) izolacijske </t>
    </r>
    <r>
      <rPr>
        <b/>
        <sz val="11"/>
        <color indexed="8"/>
        <rFont val="Calibri"/>
        <family val="2"/>
        <charset val="238"/>
      </rPr>
      <t xml:space="preserve">LAMELE </t>
    </r>
    <r>
      <rPr>
        <b/>
        <i/>
        <sz val="11"/>
        <color indexed="8"/>
        <rFont val="Calibri"/>
        <family val="2"/>
        <charset val="238"/>
      </rPr>
      <t>(kao Knauf Insulation FKL ili jednakovrijedno)</t>
    </r>
    <r>
      <rPr>
        <b/>
        <sz val="11"/>
        <color indexed="8"/>
        <rFont val="Calibri"/>
        <family val="2"/>
        <charset val="238"/>
      </rPr>
      <t xml:space="preserve"> od kamene vune</t>
    </r>
    <r>
      <rPr>
        <sz val="11"/>
        <color indexed="8"/>
        <rFont val="Calibri"/>
        <family val="2"/>
        <charset val="238"/>
      </rPr>
      <t xml:space="preserve"> </t>
    </r>
    <r>
      <rPr>
        <b/>
        <sz val="11"/>
        <color indexed="10"/>
        <rFont val="Calibri"/>
        <family val="2"/>
        <charset val="238"/>
      </rPr>
      <t>(d=8 cm)</t>
    </r>
    <r>
      <rPr>
        <sz val="11"/>
        <color indexed="8"/>
        <rFont val="Calibri"/>
        <family val="2"/>
        <charset val="238"/>
      </rPr>
      <t>. Na zalijepljene ploče nanosi se dvostruki sloj cementnog ljepila s utisnutom staklenom mrežicom</t>
    </r>
    <r>
      <rPr>
        <b/>
        <sz val="11"/>
        <color indexed="10"/>
        <rFont val="Calibri"/>
        <family val="2"/>
        <charset val="238"/>
      </rPr>
      <t>, BEZ završnog  sloja</t>
    </r>
    <r>
      <rPr>
        <sz val="11"/>
        <color indexed="8"/>
        <rFont val="Calibri"/>
        <family val="2"/>
        <charset val="238"/>
      </rPr>
      <t xml:space="preserve"> </t>
    </r>
    <r>
      <rPr>
        <i/>
        <sz val="11"/>
        <color indexed="8"/>
        <rFont val="Calibri"/>
        <family val="2"/>
        <charset val="238"/>
      </rPr>
      <t>(stavka BOJADISARSKIH RADOVA)</t>
    </r>
    <r>
      <rPr>
        <sz val="11"/>
        <color indexed="8"/>
        <rFont val="Calibri"/>
        <family val="2"/>
        <charset val="238"/>
      </rPr>
      <t xml:space="preserve">.                                                        </t>
    </r>
    <r>
      <rPr>
        <i/>
        <sz val="11"/>
        <color indexed="8"/>
        <rFont val="Calibri"/>
        <family val="2"/>
        <charset val="238"/>
      </rPr>
      <t xml:space="preserve">(Dobava materijala i ugradba, prema uputama proizvođača. Obračun, po m2 ) </t>
    </r>
    <r>
      <rPr>
        <b/>
        <i/>
        <sz val="11"/>
        <color indexed="8"/>
        <rFont val="Calibri"/>
        <family val="2"/>
        <charset val="238"/>
      </rPr>
      <t xml:space="preserve"> </t>
    </r>
  </si>
  <si>
    <t>9.5.a)</t>
  </si>
  <si>
    <r>
      <t xml:space="preserve">Dobava materijala i izrada </t>
    </r>
    <r>
      <rPr>
        <b/>
        <sz val="11"/>
        <color indexed="8"/>
        <rFont val="Calibri"/>
        <family val="2"/>
        <charset val="238"/>
      </rPr>
      <t>kontaktnog toplinskog fasadnog sustava ETICS</t>
    </r>
    <r>
      <rPr>
        <u/>
        <sz val="11"/>
        <color indexed="10"/>
        <rFont val="Calibri"/>
        <family val="2"/>
        <charset val="238"/>
      </rPr>
      <t xml:space="preserve"> na podglede ploča OBJEKTA (ispod grijanih prostorija) </t>
    </r>
    <r>
      <rPr>
        <sz val="11"/>
        <color indexed="8"/>
        <rFont val="Calibri"/>
        <family val="2"/>
        <charset val="238"/>
      </rPr>
      <t xml:space="preserve">:                                                                  Na stropnu AB ploču lijepe se polimer-cementnim ljepilom (točkasto i po rubovima ploče) i mehanički učvršćuju (spojnice- 6-8 kom/m2) </t>
    </r>
    <r>
      <rPr>
        <b/>
        <sz val="11"/>
        <color indexed="8"/>
        <rFont val="Calibri"/>
        <family val="2"/>
        <charset val="238"/>
      </rPr>
      <t xml:space="preserve">izolacijske PLOČE </t>
    </r>
    <r>
      <rPr>
        <b/>
        <i/>
        <sz val="11"/>
        <color indexed="8"/>
        <rFont val="Calibri"/>
        <family val="2"/>
        <charset val="238"/>
      </rPr>
      <t>(kao Knauf Insulation FKD-S Thermal ili jednakovrijedno)</t>
    </r>
    <r>
      <rPr>
        <b/>
        <sz val="11"/>
        <color indexed="8"/>
        <rFont val="Calibri"/>
        <family val="2"/>
        <charset val="238"/>
      </rPr>
      <t xml:space="preserve"> od kamene vune </t>
    </r>
    <r>
      <rPr>
        <b/>
        <sz val="11"/>
        <color indexed="10"/>
        <rFont val="Calibri"/>
        <family val="2"/>
        <charset val="238"/>
      </rPr>
      <t>(d=10 cm)</t>
    </r>
    <r>
      <rPr>
        <b/>
        <sz val="11"/>
        <color indexed="8"/>
        <rFont val="Calibri"/>
        <family val="2"/>
        <charset val="238"/>
      </rPr>
      <t>.</t>
    </r>
    <r>
      <rPr>
        <sz val="11"/>
        <color indexed="8"/>
        <rFont val="Calibri"/>
        <family val="2"/>
        <charset val="238"/>
      </rPr>
      <t xml:space="preserve"> Na zalijepljene ploče nanosi se dvostruki sloj cementnog ljepila s utisnutom staklenom mrežicom te </t>
    </r>
    <r>
      <rPr>
        <b/>
        <sz val="11"/>
        <color indexed="8"/>
        <rFont val="Calibri"/>
        <family val="2"/>
        <charset val="238"/>
      </rPr>
      <t xml:space="preserve">završno zaštitna ukrasna završna </t>
    </r>
    <r>
      <rPr>
        <b/>
        <u/>
        <sz val="11"/>
        <color indexed="8"/>
        <rFont val="Calibri"/>
        <family val="2"/>
        <charset val="238"/>
      </rPr>
      <t>silikatna</t>
    </r>
    <r>
      <rPr>
        <b/>
        <sz val="11"/>
        <color indexed="8"/>
        <rFont val="Calibri"/>
        <family val="2"/>
        <charset val="238"/>
      </rPr>
      <t xml:space="preserve"> žbuka</t>
    </r>
    <r>
      <rPr>
        <sz val="11"/>
        <color indexed="8"/>
        <rFont val="Calibri"/>
        <family val="2"/>
        <charset val="238"/>
      </rPr>
      <t xml:space="preserve"> (sa svim potrebnim predradnjama), u tonu po izboru Investitora</t>
    </r>
    <r>
      <rPr>
        <b/>
        <sz val="11"/>
        <color indexed="8"/>
        <rFont val="Calibri"/>
        <family val="2"/>
        <charset val="238"/>
      </rPr>
      <t xml:space="preserve">.                                                                  </t>
    </r>
    <r>
      <rPr>
        <sz val="11"/>
        <color indexed="8"/>
        <rFont val="Calibri"/>
        <family val="2"/>
        <charset val="238"/>
      </rPr>
      <t xml:space="preserve">                                                                     </t>
    </r>
    <r>
      <rPr>
        <i/>
        <sz val="11"/>
        <color indexed="8"/>
        <rFont val="Calibri"/>
        <family val="2"/>
        <charset val="238"/>
      </rPr>
      <t xml:space="preserve">(Dobava materijala i ugradba, prema uputama proizvođača. Obračun, po m2 ) </t>
    </r>
    <r>
      <rPr>
        <b/>
        <i/>
        <sz val="11"/>
        <color indexed="8"/>
        <rFont val="Calibri"/>
        <family val="2"/>
        <charset val="238"/>
      </rPr>
      <t xml:space="preserve"> </t>
    </r>
  </si>
  <si>
    <t>9.5.b)</t>
  </si>
  <si>
    <r>
      <t xml:space="preserve">Dobava materijala i izrada </t>
    </r>
    <r>
      <rPr>
        <b/>
        <sz val="11"/>
        <color indexed="8"/>
        <rFont val="Calibri"/>
        <family val="2"/>
        <charset val="238"/>
      </rPr>
      <t>kontaktnog toplinskog fasadnog sustava ETICS</t>
    </r>
    <r>
      <rPr>
        <u/>
        <sz val="11"/>
        <color indexed="10"/>
        <rFont val="Calibri"/>
        <family val="2"/>
        <charset val="238"/>
      </rPr>
      <t xml:space="preserve"> na podglede ploča OBJEKTA (ispod balkona/loggia) </t>
    </r>
    <r>
      <rPr>
        <sz val="11"/>
        <color indexed="8"/>
        <rFont val="Calibri"/>
        <family val="2"/>
        <charset val="238"/>
      </rPr>
      <t xml:space="preserve">:                                                                  Na stropnu AB ploču lijepe se polimer-cementnim ljepilom (točkasto i po rubovima ploče) i mehanički učvršćuju (spojnice- 6-8 kom/m2) </t>
    </r>
    <r>
      <rPr>
        <b/>
        <sz val="11"/>
        <color indexed="8"/>
        <rFont val="Calibri"/>
        <family val="2"/>
        <charset val="238"/>
      </rPr>
      <t xml:space="preserve">izolacijske PLOČE </t>
    </r>
    <r>
      <rPr>
        <b/>
        <i/>
        <sz val="11"/>
        <color indexed="8"/>
        <rFont val="Calibri"/>
        <family val="2"/>
        <charset val="238"/>
      </rPr>
      <t>(kao Knauf Insulation FKD-S Thermal ili jednakovrijedno)</t>
    </r>
    <r>
      <rPr>
        <b/>
        <sz val="11"/>
        <color indexed="8"/>
        <rFont val="Calibri"/>
        <family val="2"/>
        <charset val="238"/>
      </rPr>
      <t xml:space="preserve"> od kamene vune </t>
    </r>
    <r>
      <rPr>
        <b/>
        <sz val="11"/>
        <color indexed="10"/>
        <rFont val="Calibri"/>
        <family val="2"/>
        <charset val="238"/>
      </rPr>
      <t>(d=5cm)</t>
    </r>
    <r>
      <rPr>
        <b/>
        <sz val="11"/>
        <color indexed="8"/>
        <rFont val="Calibri"/>
        <family val="2"/>
        <charset val="238"/>
      </rPr>
      <t>.</t>
    </r>
    <r>
      <rPr>
        <sz val="11"/>
        <color indexed="8"/>
        <rFont val="Calibri"/>
        <family val="2"/>
        <charset val="238"/>
      </rPr>
      <t xml:space="preserve"> Na zalijepljene ploče nanosi se dvostruki sloj cementnog ljepila s utisnutom staklenom mrežicom te </t>
    </r>
    <r>
      <rPr>
        <b/>
        <sz val="11"/>
        <color indexed="8"/>
        <rFont val="Calibri"/>
        <family val="2"/>
        <charset val="238"/>
      </rPr>
      <t xml:space="preserve">završno zaštitna ukrasna završna </t>
    </r>
    <r>
      <rPr>
        <b/>
        <u/>
        <sz val="11"/>
        <color indexed="8"/>
        <rFont val="Calibri"/>
        <family val="2"/>
        <charset val="238"/>
      </rPr>
      <t>silikatna</t>
    </r>
    <r>
      <rPr>
        <b/>
        <sz val="11"/>
        <color indexed="8"/>
        <rFont val="Calibri"/>
        <family val="2"/>
        <charset val="238"/>
      </rPr>
      <t xml:space="preserve"> žbuka</t>
    </r>
    <r>
      <rPr>
        <sz val="11"/>
        <color indexed="8"/>
        <rFont val="Calibri"/>
        <family val="2"/>
        <charset val="238"/>
      </rPr>
      <t xml:space="preserve"> (sa svim potrebnim predradnjama), u tonu po izboru Investitora</t>
    </r>
    <r>
      <rPr>
        <b/>
        <sz val="11"/>
        <color indexed="8"/>
        <rFont val="Calibri"/>
        <family val="2"/>
        <charset val="238"/>
      </rPr>
      <t xml:space="preserve">.                                                                  </t>
    </r>
    <r>
      <rPr>
        <sz val="11"/>
        <color indexed="8"/>
        <rFont val="Calibri"/>
        <family val="2"/>
        <charset val="238"/>
      </rPr>
      <t xml:space="preserve">                                                                     </t>
    </r>
    <r>
      <rPr>
        <i/>
        <sz val="11"/>
        <color indexed="8"/>
        <rFont val="Calibri"/>
        <family val="2"/>
        <charset val="238"/>
      </rPr>
      <t xml:space="preserve">(Dobava materijala i ugradba, prema uputama proizvođača. Obračun, po m2 ) </t>
    </r>
    <r>
      <rPr>
        <b/>
        <i/>
        <sz val="11"/>
        <color indexed="8"/>
        <rFont val="Calibri"/>
        <family val="2"/>
        <charset val="238"/>
      </rPr>
      <t xml:space="preserve"> </t>
    </r>
  </si>
  <si>
    <t>9.6.a)</t>
  </si>
  <si>
    <r>
      <t xml:space="preserve">Izrada </t>
    </r>
    <r>
      <rPr>
        <b/>
        <u/>
        <sz val="11"/>
        <color indexed="8"/>
        <rFont val="Calibri"/>
        <family val="2"/>
        <charset val="238"/>
      </rPr>
      <t xml:space="preserve">završne obrade površina koje se NE termo-izoliraju </t>
    </r>
    <r>
      <rPr>
        <b/>
        <u/>
        <sz val="11"/>
        <color indexed="10"/>
        <rFont val="Calibri"/>
        <family val="2"/>
        <charset val="238"/>
      </rPr>
      <t>(OBJEKT)</t>
    </r>
    <r>
      <rPr>
        <b/>
        <sz val="11"/>
        <color indexed="8"/>
        <rFont val="Calibri"/>
        <family val="2"/>
        <charset val="238"/>
      </rPr>
      <t>:</t>
    </r>
    <r>
      <rPr>
        <sz val="11"/>
        <color indexed="8"/>
        <rFont val="Calibri"/>
        <family val="2"/>
        <charset val="238"/>
      </rPr>
      <t xml:space="preserve"> poklopci krovnih inst. šahtova</t>
    </r>
    <r>
      <rPr>
        <i/>
        <sz val="11"/>
        <color indexed="8"/>
        <rFont val="Calibri"/>
        <family val="2"/>
        <charset val="238"/>
      </rPr>
      <t>, stupovi i grede nadgrađa parapeti balkona/loggia, pregradni zidići između balkona, istočni zid ulaza u garažu -PODRUM -2 (objekt B),..</t>
    </r>
    <r>
      <rPr>
        <b/>
        <sz val="11"/>
        <color indexed="8"/>
        <rFont val="Calibri"/>
        <family val="2"/>
        <charset val="238"/>
      </rPr>
      <t xml:space="preserve">                                                                                    </t>
    </r>
    <r>
      <rPr>
        <sz val="11"/>
        <color indexed="8"/>
        <rFont val="Calibri"/>
        <family val="2"/>
        <charset val="238"/>
      </rPr>
      <t>-</t>
    </r>
    <r>
      <rPr>
        <b/>
        <u/>
        <sz val="11"/>
        <color indexed="8"/>
        <rFont val="Calibri"/>
        <family val="2"/>
        <charset val="238"/>
      </rPr>
      <t>dvostruki sloj polimer-cementnog ljepila s utisnutom staklenom mrežicom</t>
    </r>
    <r>
      <rPr>
        <sz val="11"/>
        <color indexed="8"/>
        <rFont val="Calibri"/>
        <family val="2"/>
        <charset val="238"/>
      </rPr>
      <t xml:space="preserve">, na koji se nanosi impregnacija </t>
    </r>
    <r>
      <rPr>
        <b/>
        <u/>
        <sz val="11"/>
        <color indexed="8"/>
        <rFont val="Calibri"/>
        <family val="2"/>
        <charset val="238"/>
      </rPr>
      <t>i dekorativna završna  zaštitna fasadna žbuka</t>
    </r>
    <r>
      <rPr>
        <b/>
        <sz val="11"/>
        <color indexed="8"/>
        <rFont val="Calibri"/>
        <family val="2"/>
        <charset val="238"/>
      </rPr>
      <t xml:space="preserve"> </t>
    </r>
    <r>
      <rPr>
        <i/>
        <sz val="11"/>
        <color indexed="8"/>
        <rFont val="Calibri"/>
        <family val="2"/>
        <charset val="238"/>
      </rPr>
      <t>(u tonu po izboru Projektanta).</t>
    </r>
    <r>
      <rPr>
        <b/>
        <sz val="11"/>
        <color indexed="8"/>
        <rFont val="Calibri"/>
        <family val="2"/>
        <charset val="238"/>
      </rPr>
      <t xml:space="preserve">  </t>
    </r>
    <r>
      <rPr>
        <sz val="11"/>
        <color indexed="8"/>
        <rFont val="Calibri"/>
        <family val="2"/>
        <charset val="238"/>
      </rPr>
      <t xml:space="preserve">                                                                     </t>
    </r>
    <r>
      <rPr>
        <i/>
        <sz val="11"/>
        <color indexed="8"/>
        <rFont val="Calibri"/>
        <family val="2"/>
        <charset val="238"/>
      </rPr>
      <t xml:space="preserve">(Dobava materijala i ugradba, prema uputama proizvođača. Obračun, po m2 obrađene površine ) </t>
    </r>
  </si>
  <si>
    <t>9.6.b)</t>
  </si>
  <si>
    <r>
      <t xml:space="preserve">Izrada </t>
    </r>
    <r>
      <rPr>
        <b/>
        <u/>
        <sz val="11"/>
        <color indexed="8"/>
        <rFont val="Calibri"/>
        <family val="2"/>
        <charset val="238"/>
      </rPr>
      <t xml:space="preserve">završne obrade površina koje se NE termo-izoliraju </t>
    </r>
    <r>
      <rPr>
        <b/>
        <u/>
        <sz val="11"/>
        <color indexed="10"/>
        <rFont val="Calibri"/>
        <family val="2"/>
        <charset val="238"/>
      </rPr>
      <t>(OKOLIŠ):</t>
    </r>
    <r>
      <rPr>
        <sz val="11"/>
        <color indexed="8"/>
        <rFont val="Calibri"/>
        <family val="2"/>
        <charset val="238"/>
      </rPr>
      <t xml:space="preserve">  neki </t>
    </r>
    <r>
      <rPr>
        <i/>
        <sz val="11"/>
        <color indexed="8"/>
        <rFont val="Calibri"/>
        <family val="2"/>
        <charset val="238"/>
      </rPr>
      <t>zidovi i zidići  uređenja okoliša,..</t>
    </r>
    <r>
      <rPr>
        <b/>
        <sz val="11"/>
        <color indexed="8"/>
        <rFont val="Calibri"/>
        <family val="2"/>
        <charset val="238"/>
      </rPr>
      <t xml:space="preserve">                                                                                    </t>
    </r>
    <r>
      <rPr>
        <sz val="11"/>
        <color indexed="8"/>
        <rFont val="Calibri"/>
        <family val="2"/>
        <charset val="238"/>
      </rPr>
      <t>-</t>
    </r>
    <r>
      <rPr>
        <b/>
        <u/>
        <sz val="11"/>
        <color indexed="8"/>
        <rFont val="Calibri"/>
        <family val="2"/>
        <charset val="238"/>
      </rPr>
      <t>dvostruki sloj polimer-cementnog ljepila s utisnutom staklenom mrežicom</t>
    </r>
    <r>
      <rPr>
        <sz val="11"/>
        <color indexed="8"/>
        <rFont val="Calibri"/>
        <family val="2"/>
        <charset val="238"/>
      </rPr>
      <t xml:space="preserve">, na koji se nanosi impregnacija </t>
    </r>
    <r>
      <rPr>
        <b/>
        <u/>
        <sz val="11"/>
        <color indexed="8"/>
        <rFont val="Calibri"/>
        <family val="2"/>
        <charset val="238"/>
      </rPr>
      <t>i dekorativna završna  zaštitna fasadna žbuka</t>
    </r>
    <r>
      <rPr>
        <b/>
        <sz val="11"/>
        <color indexed="8"/>
        <rFont val="Calibri"/>
        <family val="2"/>
        <charset val="238"/>
      </rPr>
      <t xml:space="preserve"> </t>
    </r>
    <r>
      <rPr>
        <i/>
        <sz val="11"/>
        <color indexed="8"/>
        <rFont val="Calibri"/>
        <family val="2"/>
        <charset val="238"/>
      </rPr>
      <t>(u tonu po izboru Projektanta).</t>
    </r>
    <r>
      <rPr>
        <b/>
        <sz val="11"/>
        <color indexed="8"/>
        <rFont val="Calibri"/>
        <family val="2"/>
        <charset val="238"/>
      </rPr>
      <t xml:space="preserve">  </t>
    </r>
    <r>
      <rPr>
        <sz val="11"/>
        <color indexed="8"/>
        <rFont val="Calibri"/>
        <family val="2"/>
        <charset val="238"/>
      </rPr>
      <t xml:space="preserve">                                                                     </t>
    </r>
    <r>
      <rPr>
        <i/>
        <sz val="11"/>
        <color indexed="8"/>
        <rFont val="Calibri"/>
        <family val="2"/>
        <charset val="238"/>
      </rPr>
      <t xml:space="preserve">(Dobava materijala i ugradba, prema uputama proizvođača. Obračun, po m2 obrađene površine ) </t>
    </r>
  </si>
  <si>
    <t>9.6.c)</t>
  </si>
  <si>
    <r>
      <t xml:space="preserve">Izrada </t>
    </r>
    <r>
      <rPr>
        <b/>
        <u/>
        <sz val="11"/>
        <color indexed="8"/>
        <rFont val="Calibri"/>
        <family val="2"/>
        <charset val="238"/>
      </rPr>
      <t xml:space="preserve">završne obrade površina koje se NE termo-izoliraju </t>
    </r>
    <r>
      <rPr>
        <b/>
        <u/>
        <sz val="11"/>
        <color indexed="10"/>
        <rFont val="Calibri"/>
        <family val="2"/>
        <charset val="238"/>
      </rPr>
      <t>(OKOLIŠ):</t>
    </r>
    <r>
      <rPr>
        <sz val="11"/>
        <color indexed="8"/>
        <rFont val="Calibri"/>
        <family val="2"/>
        <charset val="238"/>
      </rPr>
      <t xml:space="preserve">  neki </t>
    </r>
    <r>
      <rPr>
        <i/>
        <sz val="11"/>
        <color indexed="8"/>
        <rFont val="Calibri"/>
        <family val="2"/>
        <charset val="238"/>
      </rPr>
      <t>zidovi i zidići  uređenja okoliša,..</t>
    </r>
    <r>
      <rPr>
        <b/>
        <sz val="11"/>
        <color indexed="8"/>
        <rFont val="Calibri"/>
        <family val="2"/>
        <charset val="238"/>
      </rPr>
      <t xml:space="preserve">                                                                                    </t>
    </r>
    <r>
      <rPr>
        <sz val="11"/>
        <color indexed="8"/>
        <rFont val="Calibri"/>
        <family val="2"/>
        <charset val="238"/>
      </rPr>
      <t>-</t>
    </r>
    <r>
      <rPr>
        <b/>
        <u/>
        <sz val="11"/>
        <color indexed="8"/>
        <rFont val="Calibri"/>
        <family val="2"/>
        <charset val="238"/>
      </rPr>
      <t>dvostruki sloj polimer-cementnog ljepila s utisnutom staklenom mrežicom</t>
    </r>
    <r>
      <rPr>
        <sz val="11"/>
        <color indexed="8"/>
        <rFont val="Calibri"/>
        <family val="2"/>
        <charset val="238"/>
      </rPr>
      <t xml:space="preserve">, na koji se nanosi impregnacija </t>
    </r>
    <r>
      <rPr>
        <b/>
        <u/>
        <sz val="11"/>
        <color indexed="8"/>
        <rFont val="Calibri"/>
        <family val="2"/>
        <charset val="238"/>
      </rPr>
      <t xml:space="preserve">i dekorativna završna  FASADNA BOJA </t>
    </r>
    <r>
      <rPr>
        <i/>
        <sz val="11"/>
        <color indexed="8"/>
        <rFont val="Calibri"/>
        <family val="2"/>
        <charset val="238"/>
      </rPr>
      <t>(u tonu po izboru Projektanta).</t>
    </r>
    <r>
      <rPr>
        <b/>
        <sz val="11"/>
        <color indexed="8"/>
        <rFont val="Calibri"/>
        <family val="2"/>
        <charset val="238"/>
      </rPr>
      <t xml:space="preserve">  </t>
    </r>
    <r>
      <rPr>
        <sz val="11"/>
        <color indexed="8"/>
        <rFont val="Calibri"/>
        <family val="2"/>
        <charset val="238"/>
      </rPr>
      <t xml:space="preserve">                                                                     </t>
    </r>
    <r>
      <rPr>
        <i/>
        <sz val="11"/>
        <color indexed="8"/>
        <rFont val="Calibri"/>
        <family val="2"/>
        <charset val="238"/>
      </rPr>
      <t xml:space="preserve">(Dobava materijala i ugradba, prema uputama proizvođača. Obračun, po m3 obrađene površine ) </t>
    </r>
  </si>
  <si>
    <t>9.7.</t>
  </si>
  <si>
    <r>
      <t xml:space="preserve">Dobava i ugradba </t>
    </r>
    <r>
      <rPr>
        <b/>
        <sz val="11"/>
        <color indexed="8"/>
        <rFont val="Calibri"/>
        <family val="2"/>
        <charset val="238"/>
      </rPr>
      <t>fasadnih okapnih PVC profila, sa mrežicom</t>
    </r>
    <r>
      <rPr>
        <sz val="11"/>
        <color indexed="8"/>
        <rFont val="Calibri"/>
        <family val="2"/>
        <charset val="238"/>
      </rPr>
      <t xml:space="preserve">.                                                   </t>
    </r>
    <r>
      <rPr>
        <i/>
        <sz val="11"/>
        <color indexed="8"/>
        <rFont val="Calibri"/>
        <family val="2"/>
        <charset val="238"/>
      </rPr>
      <t>(Obračun, po m1 ugrađenog profila)</t>
    </r>
  </si>
  <si>
    <t>9.8.</t>
  </si>
  <si>
    <r>
      <rPr>
        <sz val="11"/>
        <color indexed="8"/>
        <rFont val="Calibri"/>
        <family val="2"/>
        <charset val="238"/>
      </rPr>
      <t xml:space="preserve">Dobava i ugradba </t>
    </r>
    <r>
      <rPr>
        <b/>
        <sz val="11"/>
        <color indexed="8"/>
        <rFont val="Calibri"/>
        <family val="2"/>
        <charset val="238"/>
      </rPr>
      <t>brtvećih</t>
    </r>
    <r>
      <rPr>
        <sz val="11"/>
        <color indexed="8"/>
        <rFont val="Calibri"/>
        <family val="2"/>
        <charset val="238"/>
      </rPr>
      <t xml:space="preserve"> </t>
    </r>
    <r>
      <rPr>
        <b/>
        <sz val="11"/>
        <color indexed="8"/>
        <rFont val="Calibri"/>
        <family val="2"/>
        <charset val="238"/>
      </rPr>
      <t>fasadnih PVC profila (</t>
    </r>
    <r>
      <rPr>
        <b/>
        <u/>
        <sz val="11"/>
        <color indexed="8"/>
        <rFont val="Calibri"/>
        <family val="2"/>
        <charset val="238"/>
      </rPr>
      <t>APU lajsne</t>
    </r>
    <r>
      <rPr>
        <b/>
        <sz val="11"/>
        <color indexed="8"/>
        <rFont val="Calibri"/>
        <family val="2"/>
        <charset val="238"/>
      </rPr>
      <t xml:space="preserve">), sa mrežicom, za ugradbu na spojnoj liniji ETICS fasade sa fasadnom stolarijom </t>
    </r>
    <r>
      <rPr>
        <sz val="11"/>
        <color indexed="8"/>
        <rFont val="Calibri"/>
        <family val="2"/>
        <charset val="238"/>
      </rPr>
      <t xml:space="preserve">.                                                   </t>
    </r>
    <r>
      <rPr>
        <i/>
        <sz val="11"/>
        <color indexed="8"/>
        <rFont val="Calibri"/>
        <family val="2"/>
        <charset val="238"/>
      </rPr>
      <t>(Obračun, po m1 ugrađenog profila)</t>
    </r>
  </si>
  <si>
    <t>FASADERSKI RADOVI-UKUPNO:</t>
  </si>
  <si>
    <t>REKAPITULACIJA:</t>
  </si>
  <si>
    <t>FASADERSKI RADOVI</t>
  </si>
  <si>
    <t>PDV (25%):</t>
  </si>
  <si>
    <t>SVEUKUPNO: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</si>
</sst>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8" formatCode="#,##0.00\ &quot;kn&quot;"/>
    <numFmt numFmtId="179" formatCode="#,##0.00_-\ [$€-1];#,##0.00\-\ [$€-1]"/>
  </numFmts>
  <fonts count="34" x14ac:knownFonts="1">
    <font>
      <sz val="11"/>
      <color theme="1"/>
      <name val="Calibri"/>
      <family val="2"/>
      <charset val="238"/>
      <scheme val="minor"/>
    </font>
    <font>
      <b/>
      <i/>
      <sz val="14"/>
      <color indexed="8"/>
      <name val="Calibri"/>
      <family val="2"/>
      <charset val="238"/>
    </font>
    <font>
      <b/>
      <i/>
      <sz val="11"/>
      <color indexed="8"/>
      <name val="Calibri"/>
      <family val="2"/>
      <charset val="238"/>
    </font>
    <font>
      <sz val="11"/>
      <color indexed="8"/>
      <name val="Calibri"/>
      <family val="2"/>
      <charset val="238"/>
    </font>
    <font>
      <i/>
      <sz val="11"/>
      <color indexed="63"/>
      <name val="Calibri"/>
      <family val="2"/>
      <charset val="238"/>
    </font>
    <font>
      <sz val="11"/>
      <color indexed="8"/>
      <name val="Calibri"/>
      <family val="2"/>
      <charset val="238"/>
    </font>
    <font>
      <b/>
      <sz val="11"/>
      <color indexed="8"/>
      <name val="Calibri"/>
      <family val="2"/>
      <charset val="238"/>
    </font>
    <font>
      <u/>
      <sz val="11"/>
      <color indexed="10"/>
      <name val="Calibri"/>
      <family val="2"/>
      <charset val="238"/>
    </font>
    <font>
      <b/>
      <sz val="11"/>
      <color indexed="10"/>
      <name val="Calibri"/>
      <family val="2"/>
      <charset val="238"/>
    </font>
    <font>
      <b/>
      <u/>
      <sz val="11"/>
      <color indexed="8"/>
      <name val="Calibri"/>
      <family val="2"/>
      <charset val="238"/>
    </font>
    <font>
      <i/>
      <sz val="11"/>
      <color indexed="8"/>
      <name val="Calibri"/>
      <family val="2"/>
      <charset val="238"/>
    </font>
    <font>
      <i/>
      <u/>
      <sz val="11"/>
      <color indexed="10"/>
      <name val="Calibri"/>
      <family val="2"/>
      <charset val="238"/>
    </font>
    <font>
      <b/>
      <i/>
      <u/>
      <sz val="11"/>
      <color indexed="10"/>
      <name val="Calibri"/>
      <family val="2"/>
      <charset val="238"/>
    </font>
    <font>
      <i/>
      <u/>
      <sz val="11"/>
      <color indexed="8"/>
      <name val="Calibri"/>
      <family val="2"/>
      <charset val="238"/>
    </font>
    <font>
      <b/>
      <i/>
      <sz val="11"/>
      <color indexed="63"/>
      <name val="Calibri"/>
      <family val="2"/>
      <charset val="238"/>
    </font>
    <font>
      <b/>
      <u/>
      <sz val="11"/>
      <color indexed="10"/>
      <name val="Calibri"/>
      <family val="2"/>
      <charset val="238"/>
    </font>
    <font>
      <sz val="11"/>
      <color indexed="10"/>
      <name val="Calibri"/>
      <family val="2"/>
      <charset val="238"/>
    </font>
    <font>
      <u/>
      <sz val="11"/>
      <color indexed="8"/>
      <name val="Calibri"/>
      <family val="2"/>
      <charset val="238"/>
    </font>
    <font>
      <b/>
      <sz val="11"/>
      <color theme="1"/>
      <name val="Calibri"/>
      <family val="2"/>
      <charset val="238"/>
      <scheme val="minor"/>
    </font>
    <font>
      <b/>
      <i/>
      <sz val="14"/>
      <color rgb="FF000000"/>
      <name val="Calibri"/>
      <family val="2"/>
      <charset val="238"/>
    </font>
    <font>
      <b/>
      <i/>
      <sz val="11"/>
      <color theme="1"/>
      <name val="Calibri"/>
      <family val="2"/>
      <charset val="238"/>
      <scheme val="minor"/>
    </font>
    <font>
      <b/>
      <i/>
      <u/>
      <sz val="11"/>
      <color rgb="FF000000"/>
      <name val="Calibri"/>
      <family val="2"/>
      <charset val="238"/>
    </font>
    <font>
      <b/>
      <u/>
      <sz val="11"/>
      <color theme="1"/>
      <name val="Calibri"/>
      <family val="2"/>
      <charset val="238"/>
      <scheme val="minor"/>
    </font>
    <font>
      <sz val="11"/>
      <color rgb="FF000000"/>
      <name val="Calibri"/>
      <family val="2"/>
      <charset val="238"/>
    </font>
    <font>
      <sz val="14"/>
      <color theme="1"/>
      <name val="Calibri"/>
      <family val="2"/>
      <charset val="238"/>
      <scheme val="minor"/>
    </font>
    <font>
      <i/>
      <sz val="11"/>
      <color theme="1" tint="0.34998626667073579"/>
      <name val="Calibri"/>
      <family val="2"/>
      <charset val="238"/>
      <scheme val="minor"/>
    </font>
    <font>
      <i/>
      <sz val="11"/>
      <color theme="1" tint="0.34998626667073579"/>
      <name val="Calibri"/>
      <family val="2"/>
      <charset val="238"/>
    </font>
    <font>
      <b/>
      <sz val="14"/>
      <color theme="1"/>
      <name val="Calibri"/>
      <family val="2"/>
      <charset val="238"/>
      <scheme val="minor"/>
    </font>
    <font>
      <b/>
      <sz val="12"/>
      <color theme="1"/>
      <name val="Calibri"/>
      <family val="2"/>
      <charset val="238"/>
      <scheme val="minor"/>
    </font>
    <font>
      <b/>
      <sz val="12"/>
      <name val="Calibri"/>
      <family val="2"/>
      <charset val="238"/>
      <scheme val="minor"/>
    </font>
    <font>
      <b/>
      <sz val="14"/>
      <name val="Calibri"/>
      <family val="2"/>
      <charset val="238"/>
      <scheme val="minor"/>
    </font>
    <font>
      <i/>
      <sz val="12"/>
      <color theme="1"/>
      <name val="Calibri"/>
      <family val="2"/>
      <charset val="238"/>
      <scheme val="minor"/>
    </font>
    <font>
      <sz val="11"/>
      <color rgb="FF000000"/>
      <name val="Calibri"/>
      <family val="2"/>
      <charset val="238"/>
      <scheme val="minor"/>
    </font>
    <font>
      <i/>
      <sz val="11"/>
      <color rgb="FFFF0000"/>
      <name val="Calibri"/>
      <family val="2"/>
      <charset val="238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93">
    <xf numFmtId="0" fontId="0" fillId="0" borderId="0" xfId="0"/>
    <xf numFmtId="0" fontId="0" fillId="0" borderId="0" xfId="0" applyBorder="1"/>
    <xf numFmtId="4" fontId="0" fillId="0" borderId="0" xfId="0" applyNumberFormat="1"/>
    <xf numFmtId="0" fontId="20" fillId="0" borderId="0" xfId="0" applyFont="1" applyAlignment="1">
      <alignment horizontal="center" wrapText="1"/>
    </xf>
    <xf numFmtId="0" fontId="0" fillId="0" borderId="7" xfId="0" applyBorder="1" applyAlignment="1">
      <alignment horizontal="center"/>
    </xf>
    <xf numFmtId="0" fontId="0" fillId="0" borderId="7" xfId="0" applyBorder="1"/>
    <xf numFmtId="0" fontId="0" fillId="0" borderId="7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/>
    <xf numFmtId="0" fontId="0" fillId="0" borderId="2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16" fontId="22" fillId="3" borderId="7" xfId="0" applyNumberFormat="1" applyFont="1" applyFill="1" applyBorder="1" applyAlignment="1">
      <alignment horizontal="center" vertical="center"/>
    </xf>
    <xf numFmtId="0" fontId="22" fillId="3" borderId="7" xfId="0" applyFont="1" applyFill="1" applyBorder="1" applyAlignment="1">
      <alignment horizontal="left" vertical="center" wrapText="1"/>
    </xf>
    <xf numFmtId="0" fontId="0" fillId="3" borderId="7" xfId="0" applyFill="1" applyBorder="1" applyAlignment="1">
      <alignment horizontal="center" vertical="center"/>
    </xf>
    <xf numFmtId="4" fontId="0" fillId="3" borderId="7" xfId="0" applyNumberFormat="1" applyFill="1" applyBorder="1" applyAlignment="1">
      <alignment horizontal="center" vertical="center"/>
    </xf>
    <xf numFmtId="4" fontId="0" fillId="3" borderId="7" xfId="0" applyNumberFormat="1" applyFill="1" applyBorder="1" applyAlignment="1">
      <alignment vertical="center"/>
    </xf>
    <xf numFmtId="4" fontId="0" fillId="0" borderId="0" xfId="0" applyNumberFormat="1" applyFill="1" applyBorder="1" applyAlignment="1">
      <alignment horizontal="center" vertical="center"/>
    </xf>
    <xf numFmtId="0" fontId="0" fillId="0" borderId="0" xfId="0" applyFill="1" applyBorder="1"/>
    <xf numFmtId="0" fontId="23" fillId="0" borderId="7" xfId="0" applyFont="1" applyFill="1" applyBorder="1" applyAlignment="1">
      <alignment horizontal="left" vertical="top" wrapText="1"/>
    </xf>
    <xf numFmtId="0" fontId="0" fillId="0" borderId="7" xfId="0" applyFill="1" applyBorder="1" applyAlignment="1">
      <alignment horizontal="center" vertical="center"/>
    </xf>
    <xf numFmtId="4" fontId="0" fillId="0" borderId="7" xfId="0" applyNumberFormat="1" applyFill="1" applyBorder="1" applyAlignment="1">
      <alignment horizontal="center" vertical="center"/>
    </xf>
    <xf numFmtId="4" fontId="0" fillId="0" borderId="7" xfId="0" applyNumberFormat="1" applyFont="1" applyFill="1" applyBorder="1" applyAlignment="1">
      <alignment horizontal="center" vertical="center"/>
    </xf>
    <xf numFmtId="178" fontId="24" fillId="0" borderId="0" xfId="0" applyNumberFormat="1" applyFont="1" applyFill="1" applyBorder="1" applyAlignment="1">
      <alignment horizontal="center" vertical="center"/>
    </xf>
    <xf numFmtId="16" fontId="25" fillId="0" borderId="7" xfId="0" applyNumberFormat="1" applyFont="1" applyFill="1" applyBorder="1" applyAlignment="1">
      <alignment horizontal="center" vertical="top" wrapText="1"/>
    </xf>
    <xf numFmtId="0" fontId="26" fillId="0" borderId="7" xfId="0" applyFont="1" applyFill="1" applyBorder="1" applyAlignment="1">
      <alignment horizontal="left" vertical="top" wrapText="1"/>
    </xf>
    <xf numFmtId="0" fontId="25" fillId="0" borderId="7" xfId="0" applyFont="1" applyFill="1" applyBorder="1" applyAlignment="1">
      <alignment horizontal="center" vertical="center"/>
    </xf>
    <xf numFmtId="4" fontId="25" fillId="0" borderId="7" xfId="0" applyNumberFormat="1" applyFont="1" applyFill="1" applyBorder="1" applyAlignment="1">
      <alignment horizontal="center" vertical="center"/>
    </xf>
    <xf numFmtId="4" fontId="25" fillId="0" borderId="7" xfId="0" applyNumberFormat="1" applyFont="1" applyFill="1" applyBorder="1" applyAlignment="1">
      <alignment horizontal="center" vertical="center"/>
    </xf>
    <xf numFmtId="0" fontId="0" fillId="0" borderId="8" xfId="0" applyFill="1" applyBorder="1" applyAlignment="1">
      <alignment horizontal="center" vertical="center"/>
    </xf>
    <xf numFmtId="4" fontId="0" fillId="0" borderId="8" xfId="0" applyNumberFormat="1" applyFill="1" applyBorder="1" applyAlignment="1">
      <alignment horizontal="center" vertical="center"/>
    </xf>
    <xf numFmtId="4" fontId="0" fillId="0" borderId="8" xfId="0" applyNumberFormat="1" applyFont="1" applyFill="1" applyBorder="1" applyAlignment="1">
      <alignment horizontal="center" vertical="center"/>
    </xf>
    <xf numFmtId="0" fontId="0" fillId="0" borderId="7" xfId="0" applyFont="1" applyFill="1" applyBorder="1" applyAlignment="1">
      <alignment horizontal="center" vertical="center"/>
    </xf>
    <xf numFmtId="0" fontId="23" fillId="0" borderId="8" xfId="0" applyFont="1" applyFill="1" applyBorder="1" applyAlignment="1">
      <alignment horizontal="left" vertical="top" wrapText="1"/>
    </xf>
    <xf numFmtId="0" fontId="0" fillId="0" borderId="8" xfId="0" applyFont="1" applyFill="1" applyBorder="1" applyAlignment="1">
      <alignment horizontal="center" vertical="center"/>
    </xf>
    <xf numFmtId="0" fontId="0" fillId="0" borderId="8" xfId="0" applyFont="1" applyFill="1" applyBorder="1" applyAlignment="1">
      <alignment horizontal="center" vertical="center"/>
    </xf>
    <xf numFmtId="0" fontId="5" fillId="0" borderId="7" xfId="0" applyFont="1" applyFill="1" applyBorder="1" applyAlignment="1">
      <alignment horizontal="left" vertical="top" wrapText="1"/>
    </xf>
    <xf numFmtId="0" fontId="5" fillId="0" borderId="8" xfId="0" applyFont="1" applyFill="1" applyBorder="1" applyAlignment="1">
      <alignment horizontal="left" vertical="top" wrapText="1"/>
    </xf>
    <xf numFmtId="16" fontId="22" fillId="3" borderId="9" xfId="0" applyNumberFormat="1" applyFont="1" applyFill="1" applyBorder="1" applyAlignment="1">
      <alignment horizontal="center" vertical="center"/>
    </xf>
    <xf numFmtId="0" fontId="22" fillId="3" borderId="10" xfId="0" applyFont="1" applyFill="1" applyBorder="1" applyAlignment="1">
      <alignment horizontal="left" vertical="center" wrapText="1"/>
    </xf>
    <xf numFmtId="0" fontId="0" fillId="3" borderId="3" xfId="0" applyFill="1" applyBorder="1" applyAlignment="1">
      <alignment horizontal="center" vertical="center"/>
    </xf>
    <xf numFmtId="4" fontId="0" fillId="3" borderId="1" xfId="0" applyNumberFormat="1" applyFill="1" applyBorder="1" applyAlignment="1">
      <alignment horizontal="center" vertical="center"/>
    </xf>
    <xf numFmtId="4" fontId="18" fillId="3" borderId="11" xfId="0" applyNumberFormat="1" applyFont="1" applyFill="1" applyBorder="1" applyAlignment="1">
      <alignment horizontal="center" vertical="center"/>
    </xf>
    <xf numFmtId="16" fontId="22" fillId="0" borderId="0" xfId="0" applyNumberFormat="1" applyFont="1" applyFill="1" applyBorder="1" applyAlignment="1">
      <alignment horizontal="center" vertical="center"/>
    </xf>
    <xf numFmtId="0" fontId="22" fillId="0" borderId="0" xfId="0" applyFont="1" applyFill="1" applyBorder="1" applyAlignment="1">
      <alignment horizontal="left" vertical="center" wrapText="1"/>
    </xf>
    <xf numFmtId="4" fontId="18" fillId="0" borderId="0" xfId="0" applyNumberFormat="1" applyFont="1" applyFill="1" applyBorder="1" applyAlignment="1">
      <alignment horizontal="center" vertical="center"/>
    </xf>
    <xf numFmtId="0" fontId="0" fillId="0" borderId="0" xfId="0" applyBorder="1"/>
    <xf numFmtId="0" fontId="27" fillId="4" borderId="1" xfId="0" applyFont="1" applyFill="1" applyBorder="1" applyAlignment="1">
      <alignment vertical="center"/>
    </xf>
    <xf numFmtId="0" fontId="27" fillId="4" borderId="2" xfId="0" applyFont="1" applyFill="1" applyBorder="1" applyAlignment="1">
      <alignment vertical="center"/>
    </xf>
    <xf numFmtId="178" fontId="28" fillId="4" borderId="3" xfId="0" applyNumberFormat="1" applyFont="1" applyFill="1" applyBorder="1" applyAlignment="1">
      <alignment vertical="center"/>
    </xf>
    <xf numFmtId="0" fontId="27" fillId="0" borderId="0" xfId="0" applyFont="1" applyFill="1" applyBorder="1" applyAlignment="1">
      <alignment vertical="center"/>
    </xf>
    <xf numFmtId="178" fontId="28" fillId="0" borderId="0" xfId="0" applyNumberFormat="1" applyFont="1" applyFill="1" applyBorder="1" applyAlignment="1">
      <alignment vertical="center"/>
    </xf>
    <xf numFmtId="0" fontId="29" fillId="0" borderId="7" xfId="0" applyFont="1" applyFill="1" applyBorder="1" applyAlignment="1">
      <alignment horizontal="left" vertical="center"/>
    </xf>
    <xf numFmtId="0" fontId="29" fillId="0" borderId="3" xfId="0" applyFont="1" applyFill="1" applyBorder="1" applyAlignment="1">
      <alignment horizontal="left" vertical="center" wrapText="1"/>
    </xf>
    <xf numFmtId="0" fontId="30" fillId="0" borderId="1" xfId="0" applyFont="1" applyFill="1" applyBorder="1" applyAlignment="1">
      <alignment vertical="center"/>
    </xf>
    <xf numFmtId="0" fontId="30" fillId="0" borderId="2" xfId="0" applyFont="1" applyFill="1" applyBorder="1" applyAlignment="1">
      <alignment vertical="center"/>
    </xf>
    <xf numFmtId="179" fontId="29" fillId="0" borderId="7" xfId="0" applyNumberFormat="1" applyFont="1" applyFill="1" applyBorder="1" applyAlignment="1">
      <alignment horizontal="center" vertical="center"/>
    </xf>
    <xf numFmtId="0" fontId="27" fillId="4" borderId="12" xfId="0" applyFont="1" applyFill="1" applyBorder="1" applyAlignment="1">
      <alignment vertical="center"/>
    </xf>
    <xf numFmtId="179" fontId="28" fillId="4" borderId="11" xfId="0" applyNumberFormat="1" applyFont="1" applyFill="1" applyBorder="1" applyAlignment="1">
      <alignment horizontal="center" vertical="center"/>
    </xf>
    <xf numFmtId="0" fontId="28" fillId="0" borderId="0" xfId="0" applyFont="1" applyFill="1" applyBorder="1" applyAlignment="1">
      <alignment horizontal="right"/>
    </xf>
    <xf numFmtId="0" fontId="28" fillId="0" borderId="0" xfId="0" applyFont="1" applyFill="1" applyBorder="1" applyAlignment="1"/>
    <xf numFmtId="179" fontId="28" fillId="0" borderId="0" xfId="0" applyNumberFormat="1" applyFont="1" applyFill="1" applyBorder="1" applyAlignment="1">
      <alignment vertical="center"/>
    </xf>
    <xf numFmtId="0" fontId="28" fillId="0" borderId="12" xfId="0" applyFont="1" applyFill="1" applyBorder="1" applyAlignment="1">
      <alignment horizontal="right"/>
    </xf>
    <xf numFmtId="0" fontId="31" fillId="0" borderId="12" xfId="0" applyFont="1" applyFill="1" applyBorder="1" applyAlignment="1">
      <alignment vertical="center"/>
    </xf>
    <xf numFmtId="0" fontId="27" fillId="0" borderId="12" xfId="0" applyFont="1" applyFill="1" applyBorder="1" applyAlignment="1">
      <alignment vertical="center"/>
    </xf>
    <xf numFmtId="179" fontId="18" fillId="0" borderId="12" xfId="0" applyNumberFormat="1" applyFont="1" applyFill="1" applyBorder="1" applyAlignment="1">
      <alignment horizontal="center" vertical="center"/>
    </xf>
    <xf numFmtId="179" fontId="0" fillId="0" borderId="0" xfId="0" applyNumberFormat="1"/>
    <xf numFmtId="0" fontId="28" fillId="2" borderId="11" xfId="0" applyFont="1" applyFill="1" applyBorder="1"/>
    <xf numFmtId="179" fontId="28" fillId="2" borderId="11" xfId="0" applyNumberFormat="1" applyFont="1" applyFill="1" applyBorder="1" applyAlignment="1">
      <alignment horizontal="center"/>
    </xf>
    <xf numFmtId="0" fontId="18" fillId="0" borderId="0" xfId="0" applyFont="1" applyFill="1" applyBorder="1" applyAlignment="1">
      <alignment horizontal="center" vertical="center"/>
    </xf>
    <xf numFmtId="0" fontId="18" fillId="0" borderId="0" xfId="0" applyFont="1" applyBorder="1" applyAlignment="1">
      <alignment horizontal="center" vertical="center"/>
    </xf>
    <xf numFmtId="4" fontId="18" fillId="0" borderId="0" xfId="0" applyNumberFormat="1" applyFont="1" applyFill="1" applyBorder="1" applyAlignment="1">
      <alignment horizontal="center" vertical="center"/>
    </xf>
    <xf numFmtId="4" fontId="32" fillId="0" borderId="0" xfId="0" applyNumberFormat="1" applyFont="1" applyBorder="1" applyAlignment="1">
      <alignment horizontal="center" vertical="center"/>
    </xf>
    <xf numFmtId="4" fontId="0" fillId="0" borderId="0" xfId="0" applyNumberForma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32" fillId="0" borderId="0" xfId="0" applyFont="1" applyBorder="1" applyAlignment="1">
      <alignment horizontal="center" vertical="center"/>
    </xf>
    <xf numFmtId="4" fontId="33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Border="1" applyAlignment="1">
      <alignment horizontal="center" vertical="center" wrapText="1"/>
    </xf>
    <xf numFmtId="4" fontId="0" fillId="0" borderId="0" xfId="0" applyNumberFormat="1" applyAlignment="1">
      <alignment horizontal="center" vertical="center"/>
    </xf>
    <xf numFmtId="4" fontId="0" fillId="0" borderId="0" xfId="0" applyNumberFormat="1" applyFill="1" applyBorder="1"/>
    <xf numFmtId="16" fontId="0" fillId="0" borderId="7" xfId="0" quotePrefix="1" applyNumberFormat="1" applyFill="1" applyBorder="1" applyAlignment="1">
      <alignment horizontal="center" vertical="top"/>
    </xf>
    <xf numFmtId="16" fontId="0" fillId="0" borderId="7" xfId="0" quotePrefix="1" applyNumberFormat="1" applyFill="1" applyBorder="1" applyAlignment="1">
      <alignment horizontal="center" vertical="top" wrapText="1"/>
    </xf>
    <xf numFmtId="16" fontId="0" fillId="0" borderId="8" xfId="0" quotePrefix="1" applyNumberFormat="1" applyFill="1" applyBorder="1" applyAlignment="1">
      <alignment horizontal="center" vertical="top"/>
    </xf>
    <xf numFmtId="0" fontId="19" fillId="4" borderId="1" xfId="0" applyFont="1" applyFill="1" applyBorder="1" applyAlignment="1">
      <alignment horizontal="left" vertical="center" wrapText="1"/>
    </xf>
    <xf numFmtId="0" fontId="20" fillId="4" borderId="2" xfId="0" applyFont="1" applyFill="1" applyBorder="1" applyAlignment="1">
      <alignment horizontal="left" vertical="center" wrapText="1"/>
    </xf>
    <xf numFmtId="0" fontId="20" fillId="4" borderId="3" xfId="0" applyFont="1" applyFill="1" applyBorder="1" applyAlignment="1">
      <alignment horizontal="left" vertical="center" wrapText="1"/>
    </xf>
    <xf numFmtId="0" fontId="21" fillId="0" borderId="4" xfId="0" applyFont="1" applyFill="1" applyBorder="1" applyAlignment="1">
      <alignment horizontal="left" vertical="center" wrapText="1"/>
    </xf>
    <xf numFmtId="0" fontId="2" fillId="0" borderId="5" xfId="0" applyFont="1" applyFill="1" applyBorder="1" applyAlignment="1">
      <alignment horizontal="left" vertical="center" wrapText="1"/>
    </xf>
    <xf numFmtId="0" fontId="2" fillId="0" borderId="6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552F2A-19E4-4D8C-B9ED-4BD2E341602B}">
  <dimension ref="A1:P34"/>
  <sheetViews>
    <sheetView tabSelected="1" workbookViewId="0">
      <selection activeCell="N21" sqref="N21"/>
    </sheetView>
  </sheetViews>
  <sheetFormatPr defaultColWidth="9.140625" defaultRowHeight="15" x14ac:dyDescent="0.25"/>
  <cols>
    <col min="1" max="1" width="6.85546875" customWidth="1"/>
    <col min="2" max="2" width="40.7109375" customWidth="1"/>
    <col min="3" max="3" width="4.85546875" customWidth="1"/>
    <col min="4" max="4" width="9.85546875" customWidth="1"/>
    <col min="5" max="5" width="13.5703125" customWidth="1"/>
    <col min="6" max="6" width="16.140625" customWidth="1"/>
    <col min="7" max="7" width="19.85546875" customWidth="1"/>
    <col min="8" max="8" width="16" customWidth="1"/>
    <col min="9" max="9" width="19.85546875" customWidth="1"/>
    <col min="10" max="10" width="18.85546875" customWidth="1"/>
    <col min="11" max="11" width="16.7109375" customWidth="1"/>
    <col min="12" max="12" width="17.140625" customWidth="1"/>
    <col min="13" max="13" width="17.28515625" customWidth="1"/>
    <col min="14" max="14" width="22.7109375" customWidth="1"/>
    <col min="15" max="15" width="23.85546875" customWidth="1"/>
    <col min="16" max="16" width="14" customWidth="1"/>
  </cols>
  <sheetData>
    <row r="1" spans="1:16" x14ac:dyDescent="0.25">
      <c r="I1" s="21"/>
      <c r="J1" s="21"/>
      <c r="K1" s="21"/>
      <c r="L1" s="21"/>
    </row>
    <row r="2" spans="1:16" ht="67.5" customHeight="1" x14ac:dyDescent="0.25">
      <c r="A2" s="1"/>
      <c r="B2" s="87" t="s">
        <v>0</v>
      </c>
      <c r="C2" s="88"/>
      <c r="D2" s="88"/>
      <c r="E2" s="89"/>
      <c r="F2" s="1"/>
      <c r="G2" s="1"/>
      <c r="I2" s="21"/>
      <c r="J2" s="21"/>
      <c r="K2" s="21"/>
      <c r="L2" s="21"/>
    </row>
    <row r="3" spans="1:16" ht="21" customHeight="1" x14ac:dyDescent="0.25">
      <c r="E3" s="2"/>
      <c r="I3" s="21"/>
      <c r="J3" s="21"/>
      <c r="K3" s="21"/>
      <c r="L3" s="21"/>
    </row>
    <row r="4" spans="1:16" ht="32.1" customHeight="1" x14ac:dyDescent="0.25">
      <c r="B4" s="90" t="s">
        <v>1</v>
      </c>
      <c r="C4" s="91"/>
      <c r="D4" s="91"/>
      <c r="E4" s="92"/>
      <c r="I4" s="21"/>
      <c r="J4" s="21"/>
      <c r="K4" s="21"/>
      <c r="L4" s="21"/>
    </row>
    <row r="5" spans="1:16" ht="15" customHeight="1" x14ac:dyDescent="0.25">
      <c r="E5" s="2"/>
      <c r="I5" s="21"/>
      <c r="J5" s="21"/>
      <c r="K5" s="21"/>
      <c r="L5" s="21"/>
    </row>
    <row r="6" spans="1:16" x14ac:dyDescent="0.25">
      <c r="B6" s="3"/>
      <c r="C6" s="3"/>
      <c r="D6" s="3"/>
      <c r="E6" s="3"/>
      <c r="I6" s="21"/>
      <c r="J6" s="21"/>
      <c r="K6" s="21"/>
      <c r="L6" s="21"/>
    </row>
    <row r="7" spans="1:16" ht="30" x14ac:dyDescent="0.25">
      <c r="A7" s="4" t="s">
        <v>2</v>
      </c>
      <c r="B7" s="5" t="s">
        <v>3</v>
      </c>
      <c r="C7" s="6" t="s">
        <v>4</v>
      </c>
      <c r="D7" s="7" t="s">
        <v>5</v>
      </c>
      <c r="E7" s="6" t="s">
        <v>6</v>
      </c>
      <c r="F7" s="7" t="s">
        <v>7</v>
      </c>
      <c r="G7" s="8"/>
      <c r="I7" s="21"/>
      <c r="J7" s="21"/>
      <c r="K7" s="21"/>
      <c r="L7" s="21"/>
    </row>
    <row r="8" spans="1:16" ht="30" customHeight="1" x14ac:dyDescent="0.25">
      <c r="A8" s="9"/>
      <c r="B8" s="10"/>
      <c r="C8" s="11"/>
      <c r="D8" s="12"/>
      <c r="E8" s="11"/>
      <c r="F8" s="13"/>
      <c r="G8" s="14"/>
      <c r="I8" s="21"/>
      <c r="J8" s="21"/>
      <c r="K8" s="21"/>
      <c r="L8" s="21"/>
    </row>
    <row r="9" spans="1:16" ht="36.75" customHeight="1" x14ac:dyDescent="0.25">
      <c r="A9" s="15" t="s">
        <v>8</v>
      </c>
      <c r="B9" s="16" t="s">
        <v>9</v>
      </c>
      <c r="C9" s="17"/>
      <c r="D9" s="18"/>
      <c r="E9" s="18"/>
      <c r="F9" s="19"/>
      <c r="G9" s="20"/>
      <c r="H9" s="21"/>
      <c r="I9" s="72"/>
      <c r="J9" s="73"/>
      <c r="K9" s="73"/>
      <c r="L9" s="73"/>
      <c r="M9" s="73"/>
    </row>
    <row r="10" spans="1:16" ht="119.1" customHeight="1" x14ac:dyDescent="0.25">
      <c r="A10" s="84" t="s">
        <v>10</v>
      </c>
      <c r="B10" s="22" t="s">
        <v>11</v>
      </c>
      <c r="C10" s="23" t="s">
        <v>12</v>
      </c>
      <c r="D10" s="24">
        <v>2500</v>
      </c>
      <c r="E10" s="24"/>
      <c r="F10" s="24">
        <f>D10*E10</f>
        <v>0</v>
      </c>
      <c r="G10" s="20"/>
      <c r="H10" s="21"/>
      <c r="I10" s="74"/>
      <c r="J10" s="75"/>
      <c r="K10" s="76"/>
      <c r="L10" s="77"/>
      <c r="M10" s="78"/>
    </row>
    <row r="11" spans="1:16" ht="330" customHeight="1" x14ac:dyDescent="0.25">
      <c r="A11" s="85" t="s">
        <v>13</v>
      </c>
      <c r="B11" s="22" t="s">
        <v>14</v>
      </c>
      <c r="C11" s="23" t="s">
        <v>12</v>
      </c>
      <c r="D11" s="24">
        <v>1786</v>
      </c>
      <c r="E11" s="25"/>
      <c r="F11" s="24">
        <f>D11*E11</f>
        <v>0</v>
      </c>
      <c r="G11" s="26"/>
      <c r="H11" s="21"/>
      <c r="I11" s="74"/>
      <c r="J11" s="76"/>
      <c r="K11" s="75"/>
      <c r="L11" s="76"/>
      <c r="M11" s="76"/>
      <c r="N11" s="76"/>
      <c r="O11" s="76"/>
      <c r="P11" s="79"/>
    </row>
    <row r="12" spans="1:16" ht="90" customHeight="1" x14ac:dyDescent="0.25">
      <c r="A12" s="27" t="s">
        <v>15</v>
      </c>
      <c r="B12" s="28" t="s">
        <v>16</v>
      </c>
      <c r="C12" s="29" t="s">
        <v>17</v>
      </c>
      <c r="D12" s="30">
        <v>124</v>
      </c>
      <c r="E12" s="31"/>
      <c r="F12" s="30">
        <f>D12*E12</f>
        <v>0</v>
      </c>
      <c r="G12" s="26"/>
      <c r="H12" s="21"/>
      <c r="I12" s="74"/>
      <c r="J12" s="76"/>
      <c r="K12" s="75"/>
      <c r="L12" s="75"/>
      <c r="M12" s="78"/>
    </row>
    <row r="13" spans="1:16" ht="330" customHeight="1" x14ac:dyDescent="0.25">
      <c r="A13" s="85" t="s">
        <v>18</v>
      </c>
      <c r="B13" s="22" t="s">
        <v>19</v>
      </c>
      <c r="C13" s="23" t="s">
        <v>12</v>
      </c>
      <c r="D13" s="24">
        <v>200</v>
      </c>
      <c r="E13" s="25"/>
      <c r="F13" s="24">
        <f>D13*E13</f>
        <v>0</v>
      </c>
      <c r="G13" s="26"/>
      <c r="H13" s="21"/>
      <c r="I13" s="74"/>
      <c r="J13" s="76"/>
      <c r="K13" s="76"/>
      <c r="L13" s="76"/>
      <c r="M13" s="77"/>
    </row>
    <row r="14" spans="1:16" ht="324" customHeight="1" x14ac:dyDescent="0.25">
      <c r="A14" s="85" t="s">
        <v>20</v>
      </c>
      <c r="B14" s="22" t="s">
        <v>21</v>
      </c>
      <c r="C14" s="23" t="s">
        <v>12</v>
      </c>
      <c r="D14" s="24">
        <v>350</v>
      </c>
      <c r="E14" s="25"/>
      <c r="F14" s="24">
        <f>D14*E14</f>
        <v>0</v>
      </c>
      <c r="G14" s="26"/>
      <c r="H14" s="21"/>
      <c r="I14" s="74"/>
      <c r="J14" s="76"/>
      <c r="K14" s="76"/>
      <c r="L14" s="49"/>
      <c r="M14" s="49"/>
      <c r="O14" s="80"/>
    </row>
    <row r="15" spans="1:16" ht="273.95" customHeight="1" x14ac:dyDescent="0.25">
      <c r="A15" s="86" t="s">
        <v>22</v>
      </c>
      <c r="B15" s="22" t="s">
        <v>23</v>
      </c>
      <c r="C15" s="32" t="s">
        <v>12</v>
      </c>
      <c r="D15" s="33">
        <v>663</v>
      </c>
      <c r="E15" s="34"/>
      <c r="F15" s="33">
        <f t="shared" ref="F15:F23" si="0">D15*E15</f>
        <v>0</v>
      </c>
      <c r="G15" s="26"/>
      <c r="H15" s="21"/>
      <c r="I15" s="74"/>
      <c r="J15" s="76"/>
      <c r="K15" s="75"/>
      <c r="L15" s="76"/>
      <c r="M15" s="76"/>
      <c r="N15" s="76"/>
      <c r="O15" s="76"/>
    </row>
    <row r="16" spans="1:16" ht="255" customHeight="1" x14ac:dyDescent="0.25">
      <c r="A16" s="84" t="s">
        <v>24</v>
      </c>
      <c r="B16" s="22" t="s">
        <v>25</v>
      </c>
      <c r="C16" s="35" t="s">
        <v>12</v>
      </c>
      <c r="D16" s="24">
        <v>630</v>
      </c>
      <c r="E16" s="25"/>
      <c r="F16" s="24">
        <f t="shared" si="0"/>
        <v>0</v>
      </c>
      <c r="G16" s="26"/>
      <c r="H16" s="21"/>
      <c r="I16" s="74"/>
      <c r="J16" s="75"/>
      <c r="K16" s="76"/>
      <c r="L16" s="77"/>
      <c r="M16" s="77"/>
      <c r="N16" s="77"/>
      <c r="O16" s="77"/>
    </row>
    <row r="17" spans="1:16" ht="282.95" customHeight="1" x14ac:dyDescent="0.25">
      <c r="A17" s="84" t="s">
        <v>26</v>
      </c>
      <c r="B17" s="22" t="s">
        <v>27</v>
      </c>
      <c r="C17" s="35" t="s">
        <v>12</v>
      </c>
      <c r="D17" s="24">
        <v>4</v>
      </c>
      <c r="E17" s="25"/>
      <c r="F17" s="24">
        <f t="shared" si="0"/>
        <v>0</v>
      </c>
      <c r="G17" s="26"/>
      <c r="H17" s="21"/>
      <c r="I17" s="74"/>
      <c r="J17" s="75"/>
      <c r="K17" s="76"/>
      <c r="L17" s="77"/>
      <c r="M17" s="49"/>
    </row>
    <row r="18" spans="1:16" ht="264" customHeight="1" x14ac:dyDescent="0.25">
      <c r="A18" s="84" t="s">
        <v>28</v>
      </c>
      <c r="B18" s="22" t="s">
        <v>29</v>
      </c>
      <c r="C18" s="35" t="s">
        <v>12</v>
      </c>
      <c r="D18" s="24">
        <v>367</v>
      </c>
      <c r="E18" s="25"/>
      <c r="F18" s="24">
        <f t="shared" si="0"/>
        <v>0</v>
      </c>
      <c r="G18" s="26"/>
      <c r="H18" s="21"/>
      <c r="I18" s="74"/>
      <c r="J18" s="75"/>
      <c r="K18" s="76"/>
      <c r="L18" s="81"/>
      <c r="M18" s="77"/>
      <c r="N18" s="80"/>
    </row>
    <row r="19" spans="1:16" ht="225.95" customHeight="1" x14ac:dyDescent="0.25">
      <c r="A19" s="84" t="s">
        <v>30</v>
      </c>
      <c r="B19" s="36" t="s">
        <v>31</v>
      </c>
      <c r="C19" s="37" t="s">
        <v>12</v>
      </c>
      <c r="D19" s="24">
        <v>415</v>
      </c>
      <c r="E19" s="25"/>
      <c r="F19" s="24">
        <f t="shared" si="0"/>
        <v>0</v>
      </c>
      <c r="G19" s="26"/>
      <c r="H19" s="21"/>
      <c r="I19" s="74"/>
      <c r="J19" s="76"/>
      <c r="K19" s="76"/>
      <c r="L19" s="76"/>
      <c r="M19" s="80"/>
      <c r="N19" s="82"/>
      <c r="O19" s="80"/>
      <c r="P19" s="80"/>
    </row>
    <row r="20" spans="1:16" ht="185.1" customHeight="1" x14ac:dyDescent="0.25">
      <c r="A20" s="84" t="s">
        <v>32</v>
      </c>
      <c r="B20" s="36" t="s">
        <v>33</v>
      </c>
      <c r="C20" s="37" t="s">
        <v>12</v>
      </c>
      <c r="D20" s="24">
        <v>300</v>
      </c>
      <c r="E20" s="25"/>
      <c r="F20" s="24">
        <f t="shared" si="0"/>
        <v>0</v>
      </c>
      <c r="G20" s="26"/>
      <c r="H20" s="21"/>
      <c r="I20" s="74"/>
      <c r="J20" s="76"/>
      <c r="K20" s="76"/>
      <c r="L20" s="76"/>
      <c r="M20" s="77"/>
    </row>
    <row r="21" spans="1:16" ht="177" customHeight="1" x14ac:dyDescent="0.25">
      <c r="A21" s="84" t="s">
        <v>34</v>
      </c>
      <c r="B21" s="36" t="s">
        <v>35</v>
      </c>
      <c r="C21" s="38" t="s">
        <v>12</v>
      </c>
      <c r="D21" s="24">
        <v>200</v>
      </c>
      <c r="E21" s="25"/>
      <c r="F21" s="24">
        <f t="shared" si="0"/>
        <v>0</v>
      </c>
      <c r="G21" s="26"/>
      <c r="H21" s="21"/>
      <c r="I21" s="74"/>
      <c r="J21" s="76"/>
      <c r="K21" s="76"/>
      <c r="L21" s="76"/>
      <c r="M21" s="77"/>
    </row>
    <row r="22" spans="1:16" ht="56.1" customHeight="1" x14ac:dyDescent="0.25">
      <c r="A22" s="84" t="s">
        <v>36</v>
      </c>
      <c r="B22" s="39" t="s">
        <v>37</v>
      </c>
      <c r="C22" s="23" t="s">
        <v>17</v>
      </c>
      <c r="D22" s="24">
        <v>202</v>
      </c>
      <c r="E22" s="25"/>
      <c r="F22" s="24">
        <f t="shared" si="0"/>
        <v>0</v>
      </c>
      <c r="G22" s="26"/>
      <c r="H22" s="21"/>
      <c r="I22" s="74"/>
      <c r="J22" s="76"/>
      <c r="K22" s="76"/>
      <c r="L22" s="77"/>
      <c r="M22" s="49"/>
    </row>
    <row r="23" spans="1:16" ht="84" customHeight="1" x14ac:dyDescent="0.25">
      <c r="A23" s="84" t="s">
        <v>38</v>
      </c>
      <c r="B23" s="40" t="s">
        <v>39</v>
      </c>
      <c r="C23" s="37" t="s">
        <v>17</v>
      </c>
      <c r="D23" s="24">
        <v>760</v>
      </c>
      <c r="E23" s="25"/>
      <c r="F23" s="24">
        <f t="shared" si="0"/>
        <v>0</v>
      </c>
      <c r="G23" s="26"/>
      <c r="H23" s="21"/>
      <c r="I23" s="74"/>
      <c r="J23" s="76"/>
      <c r="K23" s="76"/>
      <c r="L23" s="77"/>
      <c r="M23" s="77"/>
      <c r="N23" s="77"/>
      <c r="O23" s="80"/>
    </row>
    <row r="24" spans="1:16" ht="32.25" customHeight="1" x14ac:dyDescent="0.25">
      <c r="A24" s="41" t="s">
        <v>8</v>
      </c>
      <c r="B24" s="42" t="s">
        <v>40</v>
      </c>
      <c r="C24" s="43"/>
      <c r="D24" s="18"/>
      <c r="E24" s="44"/>
      <c r="F24" s="45">
        <f>SUM(F10:F23)</f>
        <v>0</v>
      </c>
      <c r="G24" s="21"/>
      <c r="H24" s="21"/>
      <c r="I24" s="83"/>
      <c r="J24" s="49"/>
      <c r="K24" s="49"/>
      <c r="L24" s="49"/>
      <c r="M24" s="49"/>
    </row>
    <row r="25" spans="1:16" ht="31.5" customHeight="1" x14ac:dyDescent="0.25">
      <c r="A25" s="46"/>
      <c r="B25" s="47"/>
      <c r="C25" s="14"/>
      <c r="D25" s="20"/>
      <c r="E25" s="20"/>
      <c r="F25" s="48"/>
      <c r="G25" s="21"/>
      <c r="H25" s="21"/>
      <c r="I25" s="83"/>
      <c r="J25" s="49"/>
      <c r="K25" s="49"/>
      <c r="L25" s="49"/>
      <c r="M25" s="49"/>
    </row>
    <row r="26" spans="1:16" ht="27" customHeight="1" x14ac:dyDescent="0.25">
      <c r="H26" s="49"/>
      <c r="I26" s="49"/>
      <c r="J26" s="49"/>
      <c r="K26" s="49"/>
      <c r="L26" s="49"/>
      <c r="M26" s="49"/>
    </row>
    <row r="27" spans="1:16" ht="24" customHeight="1" x14ac:dyDescent="0.25">
      <c r="A27" s="50"/>
      <c r="B27" s="51" t="s">
        <v>41</v>
      </c>
      <c r="C27" s="51"/>
      <c r="D27" s="51"/>
      <c r="E27" s="51"/>
      <c r="F27" s="52"/>
      <c r="H27" s="49"/>
      <c r="I27" s="49"/>
      <c r="J27" s="49"/>
      <c r="K27" s="49"/>
      <c r="L27" s="49"/>
      <c r="M27" s="49"/>
    </row>
    <row r="28" spans="1:16" ht="11.1" customHeight="1" x14ac:dyDescent="0.25">
      <c r="A28" s="53"/>
      <c r="B28" s="53"/>
      <c r="C28" s="53"/>
      <c r="D28" s="53"/>
      <c r="E28" s="53"/>
      <c r="F28" s="54"/>
      <c r="H28" s="49"/>
      <c r="I28" s="49"/>
      <c r="J28" s="49"/>
      <c r="K28" s="49"/>
      <c r="L28" s="49"/>
      <c r="M28" s="49"/>
    </row>
    <row r="29" spans="1:16" ht="27" customHeight="1" x14ac:dyDescent="0.25">
      <c r="A29" s="55" t="s">
        <v>8</v>
      </c>
      <c r="B29" s="56" t="s">
        <v>42</v>
      </c>
      <c r="C29" s="57"/>
      <c r="D29" s="58"/>
      <c r="E29" s="58"/>
      <c r="F29" s="59">
        <f>F24</f>
        <v>0</v>
      </c>
      <c r="H29" s="49"/>
      <c r="I29" s="49"/>
      <c r="J29" s="49"/>
      <c r="K29" s="49"/>
      <c r="L29" s="49"/>
      <c r="M29" s="49"/>
    </row>
    <row r="30" spans="1:16" ht="27.95" customHeight="1" x14ac:dyDescent="0.25">
      <c r="A30" s="60"/>
      <c r="B30" s="60" t="s">
        <v>7</v>
      </c>
      <c r="C30" s="60"/>
      <c r="D30" s="60"/>
      <c r="E30" s="60"/>
      <c r="F30" s="61">
        <f>SUM(F29:F29)</f>
        <v>0</v>
      </c>
      <c r="H30" s="49"/>
      <c r="I30" s="49"/>
      <c r="J30" s="49"/>
      <c r="K30" s="49"/>
      <c r="L30" s="49"/>
      <c r="M30" s="49"/>
    </row>
    <row r="31" spans="1:16" ht="18.75" x14ac:dyDescent="0.25">
      <c r="A31" s="62"/>
      <c r="B31" s="63"/>
      <c r="C31" s="53"/>
      <c r="D31" s="53"/>
      <c r="E31" s="53"/>
      <c r="F31" s="64"/>
      <c r="H31" s="49"/>
      <c r="I31" s="49"/>
      <c r="J31" s="49"/>
      <c r="K31" s="49"/>
      <c r="L31" s="49"/>
      <c r="M31" s="49"/>
    </row>
    <row r="32" spans="1:16" ht="18.75" x14ac:dyDescent="0.25">
      <c r="A32" s="65"/>
      <c r="B32" s="66" t="s">
        <v>43</v>
      </c>
      <c r="C32" s="67"/>
      <c r="D32" s="67"/>
      <c r="E32" s="67"/>
      <c r="F32" s="68">
        <f>F30*0.25</f>
        <v>0</v>
      </c>
      <c r="H32" s="49"/>
      <c r="I32" s="49"/>
      <c r="J32" s="49"/>
      <c r="K32" s="49"/>
      <c r="L32" s="49"/>
      <c r="M32" s="49"/>
    </row>
    <row r="33" spans="2:13" x14ac:dyDescent="0.25">
      <c r="F33" s="69"/>
      <c r="H33" s="49"/>
      <c r="I33" s="49"/>
      <c r="J33" s="49"/>
      <c r="K33" s="49"/>
      <c r="L33" s="49"/>
      <c r="M33" s="49"/>
    </row>
    <row r="34" spans="2:13" ht="15.75" x14ac:dyDescent="0.25">
      <c r="B34" s="70" t="s">
        <v>44</v>
      </c>
      <c r="F34" s="71">
        <f>F30+F32</f>
        <v>0</v>
      </c>
    </row>
  </sheetData>
  <mergeCells count="2">
    <mergeCell ref="B2:E2"/>
    <mergeCell ref="B4:E4"/>
  </mergeCells>
  <pageMargins left="0.81" right="0.16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BUNJE-MEZANIN-fasaderski</vt:lpstr>
    </vt:vector>
  </TitlesOfParts>
  <Company>MarkING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berislav</dc:creator>
  <cp:lastModifiedBy>Ivan Cakaric</cp:lastModifiedBy>
  <cp:lastPrinted>2020-01-15T09:04:46Z</cp:lastPrinted>
  <dcterms:created xsi:type="dcterms:W3CDTF">2010-10-10T20:54:01Z</dcterms:created>
  <dcterms:modified xsi:type="dcterms:W3CDTF">2026-03-10T11:34:18Z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D5F295DF0FE7447580A8015E39A005B5_12</vt:lpwstr>
  </property>
  <property fmtid="{D5CDD505-2E9C-101B-9397-08002B2CF9AE}" pid="3" name="KSOProductBuildVer">
    <vt:lpwstr>1033-12.2.0.22549</vt:lpwstr>
  </property>
</Properties>
</file>