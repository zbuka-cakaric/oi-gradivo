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24226"/>
  <mc:AlternateContent xmlns:mc="http://schemas.openxmlformats.org/markup-compatibility/2006">
    <mc:Choice Requires="x15">
      <x15ac:absPath xmlns:x15ac="http://schemas.microsoft.com/office/spreadsheetml/2010/11/ac" url="Z:\EnO_provedba\EnO_VSZ_2025\10 EnO_Tijardovićeva\02 Nabave\04 Nabava radova\V2\01 Poziv na dostavu ponuda\"/>
    </mc:Choice>
  </mc:AlternateContent>
  <xr:revisionPtr revIDLastSave="0" documentId="13_ncr:1_{805A607A-C624-478F-AF7B-CD939930F8B1}" xr6:coauthVersionLast="47" xr6:coauthVersionMax="47" xr10:uidLastSave="{00000000-0000-0000-0000-000000000000}"/>
  <bookViews>
    <workbookView xWindow="28680" yWindow="-120" windowWidth="29040" windowHeight="15720" tabRatio="890" xr2:uid="{00000000-000D-0000-FFFF-FFFF00000000}"/>
  </bookViews>
  <sheets>
    <sheet name="nas" sheetId="21" r:id="rId1"/>
    <sheet name="uk rek" sheetId="147" r:id="rId2"/>
    <sheet name="sve rek" sheetId="133" r:id="rId3"/>
    <sheet name="sve rek + stolarija" sheetId="95" r:id="rId4"/>
    <sheet name="rekap" sheetId="94" r:id="rId5"/>
    <sheet name="rekap+stolarija" sheetId="132" r:id="rId6"/>
    <sheet name="opći" sheetId="39" r:id="rId7"/>
    <sheet name="A.I.1" sheetId="1" r:id="rId8"/>
    <sheet name="A.I.2" sheetId="129" r:id="rId9"/>
    <sheet name="A.II.1" sheetId="40" r:id="rId10"/>
    <sheet name="A.II.2" sheetId="130" r:id="rId11"/>
    <sheet name="A. III. zemlj." sheetId="140" r:id="rId12"/>
    <sheet name="A.IV.1.zid" sheetId="127" r:id="rId13"/>
    <sheet name="A.IV.2.zid" sheetId="136" r:id="rId14"/>
    <sheet name="A.V.izo" sheetId="44" r:id="rId15"/>
    <sheet name="B.I.lim" sheetId="46" r:id="rId16"/>
    <sheet name="B.III.brav" sheetId="103" state="hidden" r:id="rId17"/>
    <sheet name="B.II.1. brav" sheetId="107" r:id="rId18"/>
    <sheet name="B.II.2. sto" sheetId="128" r:id="rId19"/>
    <sheet name="B.III.zz" sheetId="52" r:id="rId20"/>
    <sheet name="B.IV.brav " sheetId="146" r:id="rId21"/>
    <sheet name="B.V.1.lič" sheetId="80" r:id="rId22"/>
    <sheet name="B.V.2.lič" sheetId="137" r:id="rId23"/>
    <sheet name="C.I.1 " sheetId="148" r:id="rId24"/>
    <sheet name="C.I.2." sheetId="149" r:id="rId25"/>
  </sheets>
  <definedNames>
    <definedName name="_xlnm.Print_Titles" localSheetId="11">'A. III. zemlj.'!$A:$F,'A. III. zemlj.'!$2:$6</definedName>
    <definedName name="_xlnm.Print_Titles" localSheetId="7">A.I.1!$A:$F,A.I.1!$2:$5</definedName>
    <definedName name="_xlnm.Print_Titles" localSheetId="8">A.I.2!$A:$F,A.I.2!$2:$5</definedName>
    <definedName name="_xlnm.Print_Titles" localSheetId="9">A.II.1!$A:$F,A.II.1!$2:$6</definedName>
    <definedName name="_xlnm.Print_Titles" localSheetId="10">A.II.2!$A:$F,A.II.2!$2:$6</definedName>
    <definedName name="_xlnm.Print_Titles" localSheetId="12">A.IV.1.zid!$A:$F,A.IV.1.zid!$2:$6</definedName>
    <definedName name="_xlnm.Print_Titles" localSheetId="13">A.IV.2.zid!$A:$F,A.IV.2.zid!$2:$6</definedName>
    <definedName name="_xlnm.Print_Titles" localSheetId="14">A.V.izo!$A:$F,A.V.izo!$2:$6</definedName>
    <definedName name="_xlnm.Print_Titles" localSheetId="15">B.I.lim!$A:$F,B.I.lim!$2:$6</definedName>
    <definedName name="_xlnm.Print_Titles" localSheetId="17">'B.II.1. brav'!$A:$F,'B.II.1. brav'!$2:$6</definedName>
    <definedName name="_xlnm.Print_Titles" localSheetId="18">'B.II.2. sto'!$A:$F,'B.II.2. sto'!$2:$6</definedName>
    <definedName name="_xlnm.Print_Titles" localSheetId="16">B.III.brav!$A:$F,B.III.brav!$2:$6</definedName>
    <definedName name="_xlnm.Print_Titles" localSheetId="19">B.III.zz!$A:$F,B.III.zz!$2:$6</definedName>
    <definedName name="_xlnm.Print_Titles" localSheetId="20">'B.IV.brav '!$A:$F,'B.IV.brav '!$2:$6</definedName>
    <definedName name="_xlnm.Print_Titles" localSheetId="21">B.V.1.lič!$A:$F,B.V.1.lič!$2:$6</definedName>
    <definedName name="_xlnm.Print_Titles" localSheetId="22">B.V.2.lič!$A:$F,B.V.2.lič!$2:$6</definedName>
    <definedName name="_xlnm.Print_Titles" localSheetId="23">'C.I.1 '!$A:$F,'C.I.1 '!$2:$6</definedName>
    <definedName name="_xlnm.Print_Titles" localSheetId="24">'C.I.2.'!$A:$F,'C.I.2.'!$2:$6</definedName>
    <definedName name="_xlnm.Print_Area" localSheetId="11">'A. III. zemlj.'!$A$1:$F$29</definedName>
    <definedName name="_xlnm.Print_Area" localSheetId="7">A.I.1!$A$1:$F$71</definedName>
    <definedName name="_xlnm.Print_Area" localSheetId="8">A.I.2!$A$1:$F$34</definedName>
    <definedName name="_xlnm.Print_Area" localSheetId="9">A.II.1!$A$1:$F$81</definedName>
    <definedName name="_xlnm.Print_Area" localSheetId="10">A.II.2!$A$1:$F$33</definedName>
    <definedName name="_xlnm.Print_Area" localSheetId="13">A.IV.2.zid!$A$1:$F$37</definedName>
    <definedName name="_xlnm.Print_Area" localSheetId="14">A.V.izo!$A$1:$F$82</definedName>
    <definedName name="_xlnm.Print_Area" localSheetId="15">B.I.lim!$A$1:$F$62</definedName>
    <definedName name="_xlnm.Print_Area" localSheetId="17">'B.II.1. brav'!$A$1:$F$180</definedName>
    <definedName name="_xlnm.Print_Area" localSheetId="18">'B.II.2. sto'!$A$1:$F$230</definedName>
    <definedName name="_xlnm.Print_Area" localSheetId="16">B.III.brav!$A$1:$F$48</definedName>
    <definedName name="_xlnm.Print_Area" localSheetId="19">B.III.zz!$A$1:$F$110</definedName>
    <definedName name="_xlnm.Print_Area" localSheetId="20">'B.IV.brav '!$A$1:$F$52</definedName>
    <definedName name="_xlnm.Print_Area" localSheetId="21">B.V.1.lič!$A$1:$F$96</definedName>
    <definedName name="_xlnm.Print_Area" localSheetId="22">B.V.2.lič!$A$1:$F$32</definedName>
    <definedName name="_xlnm.Print_Area" localSheetId="23">'C.I.1 '!$A$1:$F$134</definedName>
    <definedName name="_xlnm.Print_Area" localSheetId="24">'C.I.2.'!$A$1:$F$22</definedName>
    <definedName name="_xlnm.Print_Area" localSheetId="0">nas!$A$1:$B$68</definedName>
    <definedName name="_xlnm.Print_Area" localSheetId="6">opći!$A$1:$F$56</definedName>
    <definedName name="_xlnm.Print_Area" localSheetId="4">rekap!$A$1:$F$36</definedName>
    <definedName name="_xlnm.Print_Area" localSheetId="5">'rekap+stolarija'!$A$1:$F$41</definedName>
    <definedName name="_xlnm.Print_Area" localSheetId="1">'uk rek'!$A$1:$F$32</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149" l="1"/>
  <c r="F62" i="44" l="1"/>
  <c r="F34" i="136"/>
  <c r="F15" i="136"/>
  <c r="F16" i="136"/>
  <c r="F17" i="136"/>
  <c r="F18" i="136"/>
  <c r="F19" i="136"/>
  <c r="F20" i="136"/>
  <c r="F21" i="136"/>
  <c r="F22" i="136"/>
  <c r="F23" i="136"/>
  <c r="F24" i="136"/>
  <c r="F25" i="136"/>
  <c r="F26" i="136"/>
  <c r="F27" i="136"/>
  <c r="F28" i="136"/>
  <c r="F29" i="136"/>
  <c r="F30" i="136"/>
  <c r="F31" i="136"/>
  <c r="F32" i="136"/>
  <c r="F14" i="136"/>
  <c r="F11" i="149" l="1"/>
  <c r="F13" i="149"/>
  <c r="F17" i="149"/>
  <c r="F19" i="149"/>
  <c r="F9" i="149"/>
  <c r="F40" i="148"/>
  <c r="F42" i="148"/>
  <c r="F44" i="148"/>
  <c r="F46" i="148"/>
  <c r="F50" i="148"/>
  <c r="F51" i="148"/>
  <c r="F52" i="148"/>
  <c r="F53" i="148"/>
  <c r="F54" i="148"/>
  <c r="F55" i="148"/>
  <c r="F56" i="148"/>
  <c r="F57" i="148"/>
  <c r="F58" i="148"/>
  <c r="F59" i="148"/>
  <c r="F60" i="148"/>
  <c r="F61" i="148"/>
  <c r="F62" i="148"/>
  <c r="F65" i="148"/>
  <c r="F66" i="148"/>
  <c r="F67" i="148"/>
  <c r="F68" i="148"/>
  <c r="F69" i="148"/>
  <c r="F70" i="148"/>
  <c r="F71" i="148"/>
  <c r="F72" i="148"/>
  <c r="F75" i="148"/>
  <c r="F76" i="148"/>
  <c r="F83" i="148"/>
  <c r="F84" i="148"/>
  <c r="F87" i="148"/>
  <c r="F88" i="148"/>
  <c r="F91" i="148"/>
  <c r="F94" i="148"/>
  <c r="F95" i="148"/>
  <c r="F98" i="148"/>
  <c r="F99" i="148"/>
  <c r="F101" i="148"/>
  <c r="F104" i="148"/>
  <c r="F106" i="148"/>
  <c r="F109" i="148"/>
  <c r="F111" i="148"/>
  <c r="F115" i="148"/>
  <c r="F116" i="148"/>
  <c r="F117" i="148"/>
  <c r="F120" i="148"/>
  <c r="F123" i="148"/>
  <c r="F127" i="148"/>
  <c r="F128" i="148"/>
  <c r="F131" i="148"/>
  <c r="F132" i="148"/>
  <c r="F37" i="148"/>
  <c r="F22" i="149" l="1"/>
  <c r="F33" i="94" s="1"/>
  <c r="F134" i="148"/>
  <c r="F32" i="94" s="1"/>
  <c r="F37" i="132" l="1"/>
  <c r="F38" i="132"/>
  <c r="F34" i="94"/>
  <c r="F25" i="133" s="1"/>
  <c r="F39" i="132"/>
  <c r="F23" i="147" s="1"/>
  <c r="F46" i="1"/>
  <c r="F50" i="1"/>
  <c r="F53" i="1"/>
  <c r="F57" i="1"/>
  <c r="F58" i="1"/>
  <c r="F59" i="1"/>
  <c r="F60" i="1"/>
  <c r="F61" i="1"/>
  <c r="F62" i="1"/>
  <c r="F63" i="1"/>
  <c r="F64" i="1"/>
  <c r="F65" i="1"/>
  <c r="F66" i="1"/>
  <c r="F67" i="1"/>
  <c r="F68" i="1"/>
  <c r="F41" i="1"/>
  <c r="F14" i="129"/>
  <c r="F15" i="129"/>
  <c r="F16" i="129"/>
  <c r="F17" i="129"/>
  <c r="F18" i="129"/>
  <c r="F19" i="129"/>
  <c r="F20" i="129"/>
  <c r="F21" i="129"/>
  <c r="F22" i="129"/>
  <c r="F23" i="129"/>
  <c r="F24" i="129"/>
  <c r="F25" i="129"/>
  <c r="F26" i="129"/>
  <c r="F27" i="129"/>
  <c r="F28" i="129"/>
  <c r="F29" i="129"/>
  <c r="F30" i="129"/>
  <c r="F31" i="129"/>
  <c r="F13" i="129"/>
  <c r="F30" i="40"/>
  <c r="F31" i="40"/>
  <c r="F32" i="40"/>
  <c r="F33" i="40"/>
  <c r="F34" i="40"/>
  <c r="F35" i="40"/>
  <c r="F39" i="40"/>
  <c r="F42" i="40"/>
  <c r="F45" i="40"/>
  <c r="F49" i="40"/>
  <c r="F50" i="40"/>
  <c r="F51" i="40"/>
  <c r="F52" i="40"/>
  <c r="F53" i="40"/>
  <c r="F54" i="40"/>
  <c r="F55" i="40"/>
  <c r="F56" i="40"/>
  <c r="F57" i="40"/>
  <c r="F58" i="40"/>
  <c r="F59" i="40"/>
  <c r="F60" i="40"/>
  <c r="F65" i="40"/>
  <c r="F66" i="40"/>
  <c r="F71" i="40"/>
  <c r="F72" i="40"/>
  <c r="F77" i="40"/>
  <c r="F29" i="40"/>
  <c r="F13" i="130"/>
  <c r="F14" i="130"/>
  <c r="F15" i="130"/>
  <c r="F16" i="130"/>
  <c r="F17" i="130"/>
  <c r="F18" i="130"/>
  <c r="F19" i="130"/>
  <c r="F20" i="130"/>
  <c r="F21" i="130"/>
  <c r="F22" i="130"/>
  <c r="F23" i="130"/>
  <c r="F24" i="130"/>
  <c r="F25" i="130"/>
  <c r="F26" i="130"/>
  <c r="F27" i="130"/>
  <c r="F28" i="130"/>
  <c r="F29" i="130"/>
  <c r="F30" i="130"/>
  <c r="F12" i="130"/>
  <c r="F27" i="140"/>
  <c r="F24" i="140"/>
  <c r="F29" i="140" s="1"/>
  <c r="F62" i="127"/>
  <c r="F45" i="127"/>
  <c r="F46" i="127"/>
  <c r="F47" i="127"/>
  <c r="F48" i="127"/>
  <c r="F49" i="127"/>
  <c r="F50" i="127"/>
  <c r="F51" i="127"/>
  <c r="F52" i="127"/>
  <c r="F53" i="127"/>
  <c r="F54" i="127"/>
  <c r="F55" i="127"/>
  <c r="F44" i="127"/>
  <c r="F63" i="44"/>
  <c r="F64" i="44"/>
  <c r="F65" i="44"/>
  <c r="F66" i="44"/>
  <c r="F67" i="44"/>
  <c r="F72" i="44"/>
  <c r="F79" i="44"/>
  <c r="F61" i="44"/>
  <c r="F43" i="46"/>
  <c r="F44" i="46"/>
  <c r="F45" i="46"/>
  <c r="F52" i="46"/>
  <c r="F53" i="46"/>
  <c r="F57" i="46"/>
  <c r="F60" i="46"/>
  <c r="F37" i="46"/>
  <c r="F53" i="107"/>
  <c r="F67" i="107"/>
  <c r="F81" i="107"/>
  <c r="F93" i="107"/>
  <c r="F106" i="107"/>
  <c r="F118" i="107"/>
  <c r="F130" i="107"/>
  <c r="F143" i="107"/>
  <c r="F155" i="107"/>
  <c r="F166" i="107"/>
  <c r="F177" i="107"/>
  <c r="F40" i="107"/>
  <c r="F31" i="128"/>
  <c r="F43" i="128"/>
  <c r="F55" i="128"/>
  <c r="F65" i="128"/>
  <c r="F79" i="128"/>
  <c r="F93" i="128"/>
  <c r="F107" i="128"/>
  <c r="F121" i="128"/>
  <c r="F135" i="128"/>
  <c r="F149" i="128"/>
  <c r="F163" i="128"/>
  <c r="F177" i="128"/>
  <c r="F191" i="128"/>
  <c r="F204" i="128"/>
  <c r="F218" i="128"/>
  <c r="F227" i="128"/>
  <c r="F19" i="128"/>
  <c r="F75" i="52"/>
  <c r="F76" i="52"/>
  <c r="F77" i="52"/>
  <c r="F78" i="52"/>
  <c r="F82" i="52"/>
  <c r="F83" i="52"/>
  <c r="F84" i="52"/>
  <c r="F85" i="52"/>
  <c r="F93" i="52"/>
  <c r="F94" i="52"/>
  <c r="F95" i="52"/>
  <c r="F102" i="52"/>
  <c r="F108" i="52"/>
  <c r="F74" i="52"/>
  <c r="F41" i="146"/>
  <c r="F49" i="146"/>
  <c r="F37" i="146"/>
  <c r="F90" i="80"/>
  <c r="F94" i="80"/>
  <c r="F86" i="80"/>
  <c r="F71" i="80"/>
  <c r="F72" i="80"/>
  <c r="F73" i="80"/>
  <c r="F74" i="80"/>
  <c r="F75" i="80"/>
  <c r="F76" i="80"/>
  <c r="F77" i="80"/>
  <c r="F78" i="80"/>
  <c r="F79" i="80"/>
  <c r="F80" i="80"/>
  <c r="F81" i="80"/>
  <c r="F70" i="80"/>
  <c r="F12" i="137"/>
  <c r="F13" i="137"/>
  <c r="F14" i="137"/>
  <c r="F15" i="137"/>
  <c r="F16" i="137"/>
  <c r="F17" i="137"/>
  <c r="F18" i="137"/>
  <c r="F19" i="137"/>
  <c r="F20" i="137"/>
  <c r="F21" i="137"/>
  <c r="F22" i="137"/>
  <c r="F23" i="137"/>
  <c r="F24" i="137"/>
  <c r="F25" i="137"/>
  <c r="F26" i="137"/>
  <c r="F27" i="137"/>
  <c r="F28" i="137"/>
  <c r="F29" i="137"/>
  <c r="F11" i="137"/>
  <c r="F56" i="127" l="1"/>
  <c r="D96" i="52"/>
  <c r="F96" i="52" s="1"/>
  <c r="D38" i="46" l="1"/>
  <c r="F38" i="46" s="1"/>
  <c r="D58" i="127" l="1"/>
  <c r="F58" i="127" s="1"/>
  <c r="D44" i="146"/>
  <c r="F44" i="146" s="1"/>
  <c r="F52" i="146" l="1"/>
  <c r="F26" i="94" s="1"/>
  <c r="F30" i="132" l="1"/>
  <c r="F32" i="129"/>
  <c r="F32" i="137" l="1"/>
  <c r="F82" i="80"/>
  <c r="F96" i="80" s="1"/>
  <c r="F180" i="107"/>
  <c r="F230" i="128"/>
  <c r="D39" i="46" l="1"/>
  <c r="F39" i="46" s="1"/>
  <c r="F34" i="129" l="1"/>
  <c r="F82" i="44" l="1"/>
  <c r="F37" i="136"/>
  <c r="F45" i="103"/>
  <c r="F48" i="103" s="1"/>
  <c r="F64" i="127" l="1"/>
  <c r="F81" i="40"/>
  <c r="F110" i="52"/>
  <c r="F25" i="94" s="1"/>
  <c r="F20" i="132"/>
  <c r="F69" i="1"/>
  <c r="F71" i="1" s="1"/>
  <c r="F32" i="132"/>
  <c r="F28" i="132"/>
  <c r="F62" i="46"/>
  <c r="F15" i="132"/>
  <c r="F15" i="94" l="1"/>
  <c r="F26" i="132"/>
  <c r="F29" i="132"/>
  <c r="F14" i="132"/>
  <c r="F16" i="94"/>
  <c r="F18" i="132"/>
  <c r="F31" i="132"/>
  <c r="F27" i="94"/>
  <c r="F17" i="94"/>
  <c r="F19" i="132"/>
  <c r="F18" i="94"/>
  <c r="F21" i="132"/>
  <c r="F27" i="132"/>
  <c r="F24" i="94"/>
  <c r="F33" i="132" l="1"/>
  <c r="F22" i="147" s="1"/>
  <c r="F23" i="94"/>
  <c r="F28" i="94" s="1"/>
  <c r="F24" i="133" s="1"/>
  <c r="F16" i="132"/>
  <c r="F14" i="94"/>
  <c r="F19" i="94" s="1"/>
  <c r="F23" i="133" l="1"/>
  <c r="F36" i="94"/>
  <c r="F31" i="130"/>
  <c r="F33" i="130" s="1"/>
  <c r="F17" i="132" s="1"/>
  <c r="F22" i="132" s="1"/>
  <c r="F27" i="133" l="1"/>
  <c r="F28" i="133"/>
  <c r="F41" i="132"/>
  <c r="F24" i="95" s="1"/>
  <c r="F28" i="95" s="1"/>
  <c r="F21" i="147"/>
  <c r="F27" i="147" s="1"/>
  <c r="F29" i="95" s="1"/>
  <c r="F30" i="133" l="1"/>
  <c r="F24" i="147"/>
  <c r="F26" i="147" s="1"/>
  <c r="F29" i="147" s="1"/>
  <c r="F31" i="95"/>
</calcChain>
</file>

<file path=xl/sharedStrings.xml><?xml version="1.0" encoding="utf-8"?>
<sst xmlns="http://schemas.openxmlformats.org/spreadsheetml/2006/main" count="1974" uniqueCount="816">
  <si>
    <t>Investitor:</t>
  </si>
  <si>
    <t>Građevina:</t>
  </si>
  <si>
    <t>Lokacija:</t>
  </si>
  <si>
    <t>Tehnički dnevnik:</t>
  </si>
  <si>
    <t>Zajednička oznaka projekta:</t>
  </si>
  <si>
    <t>Razina razrade projekta:</t>
  </si>
  <si>
    <t>Glavni projekt</t>
  </si>
  <si>
    <t xml:space="preserve">Vrsta projekta: </t>
  </si>
  <si>
    <t>ARHITEKTONSKI PROJEKT REKONSTRUKCIJE U SVRHU ENERGETSKE OBNOVE</t>
  </si>
  <si>
    <t>TROŠKOVNIK GRAĐEVINSKO - OBRTNIČKIH RADOVA</t>
  </si>
  <si>
    <t>Projektant:</t>
  </si>
  <si>
    <t>Suradnik:</t>
  </si>
  <si>
    <t>Glavni projektant:</t>
  </si>
  <si>
    <t>Izradio:</t>
  </si>
  <si>
    <t>Direktorica:</t>
  </si>
  <si>
    <t xml:space="preserve">Željka Hrs Borković, d.i.a., direktor   
</t>
  </si>
  <si>
    <t>Mjesto i datum:</t>
  </si>
  <si>
    <t xml:space="preserve"> </t>
  </si>
  <si>
    <t>SADRŽAJ :</t>
  </si>
  <si>
    <t xml:space="preserve">1. TROŠKOVNIK  GRAĐEVINSKO - OBRTNIČKIH  RADOVA </t>
  </si>
  <si>
    <t>Napomena:</t>
  </si>
  <si>
    <t>1. Troškovnik obuhvaća cjelovitu obnovu.</t>
  </si>
  <si>
    <t>2. U slučaju drugačijeg zahtjeva investitor je dužan naručiti izmjene i dopune predmetne dokumentacije, a projektanti se obvezuju istu i napraviti ukoliko je u skladu sa pravilima dobrog zanata i stručne etike.</t>
  </si>
  <si>
    <t>U tom slučaju, djelomična obnova i njeni detalji utvrđuju se pisanim zahtjevom u vidu projektnog zadatka koji potpisuje investitor.</t>
  </si>
  <si>
    <t>3. U troškovniku su navedene projektantske cijene.</t>
  </si>
  <si>
    <t>SVEUKUPNA REKAPITULACIJA</t>
  </si>
  <si>
    <t>1.2.</t>
  </si>
  <si>
    <t>kn</t>
  </si>
  <si>
    <t>SVEUKUPNO:</t>
  </si>
  <si>
    <t>PDV 25%</t>
  </si>
  <si>
    <t>SVEUKUPNO S PDV-OM:</t>
  </si>
  <si>
    <t>PONUDITELJ</t>
  </si>
  <si>
    <t>(naziv i adresa)</t>
  </si>
  <si>
    <t>A.</t>
  </si>
  <si>
    <t>GRAĐEVINSKI RADOVI</t>
  </si>
  <si>
    <t>A.I.1.</t>
  </si>
  <si>
    <t>PRIPREMNI RADOVI I SKELA (zajednički prostori) ukupno</t>
  </si>
  <si>
    <t>A.II.1.</t>
  </si>
  <si>
    <t>RUŠENJA I DEMONTAŽE (zajednički prostori)  ukupno</t>
  </si>
  <si>
    <t>A.III.</t>
  </si>
  <si>
    <t xml:space="preserve">ZEMLJANI RADOVI ukupno </t>
  </si>
  <si>
    <t>A.IV.1.</t>
  </si>
  <si>
    <t xml:space="preserve">ZIDARSKI RADOVI (zajednički prostori) ukupno </t>
  </si>
  <si>
    <t>A.V.</t>
  </si>
  <si>
    <t xml:space="preserve">IZOLATERSKI RADOVI ukupno </t>
  </si>
  <si>
    <t>GRAĐEVINSKI RADOVI UKUPNO:</t>
  </si>
  <si>
    <t>B.</t>
  </si>
  <si>
    <t xml:space="preserve">OBRTNIČKI RADOVI </t>
  </si>
  <si>
    <t>B.I.</t>
  </si>
  <si>
    <t>LIMARSKI RADOVI ukupno</t>
  </si>
  <si>
    <t>B.II.1</t>
  </si>
  <si>
    <t>B.III.</t>
  </si>
  <si>
    <t>ZAVRŠNI ZIDARSKO-FASADERSKI RADOVI ukupno</t>
  </si>
  <si>
    <t>B.IV.</t>
  </si>
  <si>
    <t>BRAVARSKI RADOVI</t>
  </si>
  <si>
    <t>B.V.1.</t>
  </si>
  <si>
    <t>SOBOSLIKARSKO LIČILAČKI RADOVI (zajednički prostori) ukupno</t>
  </si>
  <si>
    <t>OBRTNIČKI RADOVI UKUPNO:</t>
  </si>
  <si>
    <t>(stambenih i zajedničkih prostorija)</t>
  </si>
  <si>
    <t>PRIPREMNI RADOVI I SKELA ukupno (zajednički prostori)</t>
  </si>
  <si>
    <t>A.I.2.</t>
  </si>
  <si>
    <t>PRIPREMNI RADOVI ukupno (stanovi)</t>
  </si>
  <si>
    <t>RUŠENJA I DEMONTAŽE ukupno (zajednički prostori)</t>
  </si>
  <si>
    <t>A.II.2.</t>
  </si>
  <si>
    <t>RUŠENJA I DEMONTAŽE ukupno (stanovi)</t>
  </si>
  <si>
    <t>ZEMLJANI RADOVI</t>
  </si>
  <si>
    <t>ZIDARSKI RADOVI ukupno (zajednički prostori)</t>
  </si>
  <si>
    <t>A.IV.2.</t>
  </si>
  <si>
    <t>ZIDARSKI RADOVI ukupno (stanovi)</t>
  </si>
  <si>
    <t>B.II.1.</t>
  </si>
  <si>
    <t>B.II.2.</t>
  </si>
  <si>
    <t>VANJSKA STOLARIJA ukupno (stanovi)</t>
  </si>
  <si>
    <t>BRAVARSKI RADOVI ukupno</t>
  </si>
  <si>
    <t>B.V.2.</t>
  </si>
  <si>
    <t>SOBOSLIKARSKO LIČILAČKI RADOVI (stanovi) ukupno</t>
  </si>
  <si>
    <t xml:space="preserve">OPĆI UVJETI </t>
  </si>
  <si>
    <t>OPĆI  OPIS  UZ  TROŠKOVNIK</t>
  </si>
  <si>
    <t>1. Glavni projekt energetske obnove i pripadni troškovnik temelje se na obavljenom uvidu na postojećoj zgradi. Slojevi konstrukcija definirani u postojećoj projektnoj tehničkoj dokumentaciji preuzeti su kao stvarno izvedeni. Nevidljivi slojevi konstrukcija, koji nisu definirani postojećom dokumentacijom, pretpostavljeni su temeljem dosadašnjeg iskustva prema vremenu gradnje zgrade. Prije izvedbe potrebno je izvršiti detaljni uvid na licu mjesta te utvrditi slojeve konstrukcije vizualnim ispitivanjem i otvaranjem konstrukcija koje se rekonstruiraju.</t>
  </si>
  <si>
    <t xml:space="preserve">2. Projekt je napravljen na temelju zakonske regulative RH, pravila dobrog zanata i preporuke o cjelovitoj obnovi koju podupiru EU fondovi, u skladu sa svim hrvatskim i europskim tehničkim propisima i normama i priznatim tehničkim pravilima, ili jednakovrijedno __________________. Projekt je definiran potpisanim projektnim zadatkom.  Svi materijali navedeni u projektu i troškovniku, moraju odgovarati važećim hrvatskim propisima i normama, ili jednakovrijedno __________________.                       </t>
  </si>
  <si>
    <t xml:space="preserve">3. Grafički dio (nacrti), tekstualni dio (opći i tehnički), Projekt racionalne uporabe energije i toplinske zaštite zgrade, kao i Program kontrole i osiguranja kvalitete dijelovi su arhitektonskog glavnog projekta, koji zajedno s pripadajućim troškovnikom čine cjelinu projekta energetske obnove zgrade. Projektom energetske obnove dani su osnovni detalji izvedbe. </t>
  </si>
  <si>
    <t>4. U fazi izvedbe, zbog činjenice da se radi o obnovi (rekonstrukciji), a ne izgradnji nove zgrade, bit će potrebna dodatna razrada detalja izvedbe u suradnji s izvođačem radova, te ukoliko se nakon uklanjanja pojedinih slojeva i uvida u postojeće slojeve i stanje konstrukcije utvrdi odstupanje odnosno različitost u odnosu na postojeće stanje prikazano projektom obnove, potrebno je napraviti reviziju glavnog projekta. Također, u slučaju nužnosti odstupanja od glavnog projekta iz drugih opravdanih razloga prilikom izvođenja radova potrebno je izraditi izmjene i dopune glavnog projekta.</t>
  </si>
  <si>
    <t>5.Odgovarajućim upisom u građevinski dnevnik potrebno je verificirati projektno rješenje ili po potrebi izvršiti korekciju, te ukoliko je potrebno, a ovisno o postojećem stanju konstrukcije, prije izvedbe ETICS sustava, napraviti statičku provjeru vanjskih zidova koja mora biti odobrena od strane inženjera konstrukcije i nadzornog inženjera.</t>
  </si>
  <si>
    <t xml:space="preserve">7. Preporuka projektanta je izvođenje cjelovitog rješenja energetske obnove zgrade iz sljedećih razloga: 
1. tehnički ispravno izvođenje detalja,
2. tehnički ispravan redoslijed izvođenja radova,
3. suzbijanje selektivnih intervencija na pročeljima zgrade,
4. zaštita arhitektonskog djela u smislu estetske i tehničke cjelovitosti oblikovanja, 
5. očuvanje i unapređenje bitnih zahtjeva građevine,
6. ušteda sredstava i vremena (u slučaju fazne gradnje pojedini radovi se umnožavaju, kao što su postava skele, limarski radovi i sl.),
7. ostvarivanje tržišnih popusta (cijena pojedinačnog proizvoda manja je što je količina veća),
8. integralna rješenja podupiru se bespovratnim sredstvima iz EU fondova.
U slučaju nužnosti odstupanja od glavnog projekta prilikom izvođenja radova potrebno je izraditi izmjene i dopune glavnog projekta te ih uskladiti zahtjevima suvlasnika sukladno pravilima dobrog zanata i inženjerske etike. </t>
  </si>
  <si>
    <t>9. Izvođač će prilikom uvođenja u posao preuzeti nekretninu i obavijestiti nadležne službe o otvaranju gradilišta i početku radova. Od tog trenutka pa do primopredaje zgrade, izvođač je odgovoran za stvari i osobe koje se nalaze unutar gradilišta. Od ulaska na gradilište izvođač je obavezan voditi građevinski dnevnik u kojem bilježi opis radnih procesa i građevinsku knjigu u kojoj bilježi i dokumentira mjerenja, sve faze izvršenog posla prema stavkama troškovnika i projektu. Izvođač će na gradilištu čuvati građevnu dozvolu ukoliko je to zakonom određeno, kao i projektnu dokumentaciju i dati ih na uvid ovlaštenim inspekcijskim službama.</t>
  </si>
  <si>
    <t>12. Izvođač će prema projektom određenom planu ispitivanja materijala, kontrolirati ugrađeni konstruktivni materijal.</t>
  </si>
  <si>
    <t>13. Za instalacijske sustave izvođač će, osim atesta o kvaliteti ugrađenih materijala, dati i ateste za instalacijske sustave. Izvođač će naročitu pažnju posvetiti usklađenju građevinskih i instalaterskih nacrta i radova. Ukoliko ustanovi razlike u mjerama, nedostatke ili neusklađenost dužan je o tome pravovremeno obavijestiti nadzornog inženjera.</t>
  </si>
  <si>
    <t>14. Izvođač je dužan prije narudžbe pojedinih materijala dostaviti projektantu uzorke radi odabira vrste, kvalitete i finalne obrade istih.</t>
  </si>
  <si>
    <t>15. Pojedine stavke ovog troškovnika investitor i projektant imaju pravo prije početka radova izmijeniti ili dopuniti kroz troškovnik, sheme i detalje koji čine jednu cjelinu, a međusobno se nadopunjuju. Promjene pojedinih stavki ili detalja moguće je samo uz prethodno odobrenje projektanta i/ili nadzornog inženjera.</t>
  </si>
  <si>
    <t>17. Ukoliko je tekst pojedinih stavki nepotpun ili nejasan, kod nuđenja, izvedbe i obračuna je mjerodavno uputstvo proizvođača.</t>
  </si>
  <si>
    <t>18. Glavni izvođač je u okviru ugovorene cijene dužan izvršiti koordinaciju radova svih kooperanata tako da omogući kontinuirano odvijanje posla i zaštitu već izvedenih radova. Opći uvjeti se odnose i na radove kooperanata, te je zbog toga potrebno da izvođač ugovara radove s kooperantima u smislu ovih općih uvjeta.</t>
  </si>
  <si>
    <t>19. Sva oštećenja nastala tijekom građenja na vlastitim ili tuđim radovima otkloniti će izvođač o svom trošku.</t>
  </si>
  <si>
    <t>20. Izvođač će, u okviru ugovorene cijene, osigurati gradilište od djelovanja više sile i krađe.</t>
  </si>
  <si>
    <t xml:space="preserve">21. Sav rad i materijal vezan uz organizaciju građevinske proizvodnje: ograde, vrata gradilišta, putevi na gradilištu, uredi, blagovaonice, svlačionice, sanitarije gradilišta, spremišta materijala i alata, telefonski, električni, vodovodni i sl. priključci gradilišta kao i cijena korištenja priključaka uključeni su u ugovorenu cijenu. 
</t>
  </si>
  <si>
    <t>22. Jedinične cijene trebaju uključivati: materijalne troškove, tj. nabavnu cijenu materijala uvećanu za visinu cijene transporta (utovar, prijevoz, istovar i skladištenje na gradilištu). Skladištenje treba provesti na način da materijal bude osiguran od vlaženja i lomova, jer samo neoštećen i kvalitetan materijal smije biti ugrađen. Rad obuhvaća, osim onog opisanog u troškovniku, još i prijenose, prijevoze, dizanje, utovar i istovar materijala, zaštićivanje od štetnih atmosferskih utjecaja, sve pomoćne radove kao: sakupljanje rasutog materijala, održavanje čistoće gradilišta, čišćenje zgrade za vrijeme i nakon gradnje i sl. Skele, podupore, razupore također treba predvidjeti u cijeni. Skele moraju biti izvedene u skladu sa propisima. U cijenu treba uključiti i ispitivanja materijala i sve troškove u vezi sa dobavljanjem potrebnih atesta.</t>
  </si>
  <si>
    <t>23. Izvođač će čistiti gradilište barem tri puta tokom građenja, a na kraju će izvesti sva fina čišćenja zidova, podova, vrata, prozora, stijena, stakala i dr. što se neće posebno opisivati niti naplaćivati.</t>
  </si>
  <si>
    <t>24. Izvođač će zajedno sa nadzornim inženjerom izraditi vremenski plan (terminski plan, gantogram) aktivnosti na gradilištu i njime odrediti dinamiku financiranja, dobave materijala i opreme i sl.</t>
  </si>
  <si>
    <t xml:space="preserve">TROŠKOVNIK GRAĐEVINSKO OBRTNIČKIH RADOVA </t>
  </si>
  <si>
    <t>A. GRAĐEVINSKI RADOVI / A.I.1 PRIPREMNI RADOVI I SKELA</t>
  </si>
  <si>
    <t>r.b.</t>
  </si>
  <si>
    <t>opis stavke</t>
  </si>
  <si>
    <t>jed.</t>
  </si>
  <si>
    <t>kol.</t>
  </si>
  <si>
    <t>jed.cijena</t>
  </si>
  <si>
    <t>ukupno</t>
  </si>
  <si>
    <t>A.I.1</t>
  </si>
  <si>
    <t>PRIPREMNI RADOVI I SKELA (ZAJEDNIČKI PROSTORI)</t>
  </si>
  <si>
    <t>OPĆI UVJETI</t>
  </si>
  <si>
    <t>PRIPREMNI RADOVI</t>
  </si>
  <si>
    <t>Pri kalkulaciji ponuda ponuđač treba voditi računa o uvjetima investitora, da zgrada za vrijeme radova mora biti u funkciji te da se radovi moraju planirati tako da se omogući boravak u svim dijelovima zgrade uz što manje i kraće poremećaje.</t>
  </si>
  <si>
    <t>Pripremni radovi koje je izvođač dužan izvesti bez posebnog iskaza troškova ulaze u cijenu zgrade kroz faktor i nisu prikazani u posebnim stavkama troškovnika: 
- izrada plana organizacije gradilišta, 
- organizacija i uređenje prilaznih i privremenih prometnica na gradilištu
- izgradnja gradilišnih nastambi za radnike, upravu, skladišta, nadstrešnice, 
- privremeni priključci i razvod vodovoda, električne energije, telefona i ostalih instalacija na gradilištu za potrebe funkcioniranja gradilišta, 
- organizacija čuvarske i nadzorne službe, radovi na osiguranju gradilišta i radnika, osiguranje za obeštećenja na gradilištu i naknade štete prema trećim osobama
- geodetsko snimanje visina i vanjskog terena,
- ostali radovi koji po pravilu terete režiju uprave izvođača i koji se ne naplaćuju posebno 
- troškovi potrebnih ispitivanja materijala i konstrukcija, te ishođenje atesta.
 Utrošak vode i električne energije za jedinicu proizvoda uključuje se u analizu cijena proizvoda prema normativima utroška, a utrošak za potrebe ureda, gradilišta, pranje vozila i strojeva, rasvjetu gradilišta i ostalo uključuje se u faktor gradilišta.</t>
  </si>
  <si>
    <t xml:space="preserve">Dozvolu za korištenje javnih prometnih površina izvođač je dužan zatražiti od nadležnih službi, prema potrebama za organizaciju gradilišta i platiti eventualne takse za ishođenje odobrenja za korištenje površina što je uključeno u faktoru. Izvođač je dužan pridržavati se pravila prometa na javnim prometnicama i unutar gradilišta. </t>
  </si>
  <si>
    <t>SKELA</t>
  </si>
  <si>
    <t>Izvođač je dužan prije postavljanja skele predočiti nacrt skele sa statičkim računom na odobrenje. Dužan je ishoditi i suglasnosnost za postavljanje skele - zauzimanje javnoprometne površine te riješiti zaštitu prolaznika i ulaza u građevinu. 
Ukoliko za pričvršćenje skele bude potrebno koristiti tuđi prostor, izvoditelj je dužan ishoditi suglasnost.</t>
  </si>
  <si>
    <t>Skelu udaljiti od ravnine gotovog pročelja za 15-20 cm. Visina zaštitne ograde iznosi 100 cm, a elemente ograde postaviti na max. razmak od 35 cm. U razini radne platforme uz zaštitinu ogradu potrebno je postaviti dasku minimalne visine 20 cm. Radnu platformu izvesti od mosnica od zdrave piljene crnogorične građe II. klase, minimalne širine 25 cm i minimalne debljine 4,8 cm. Visinski razmak između radnih platformi treba prilagoditi horizontalnim elementima pročelja.</t>
  </si>
  <si>
    <r>
      <t>Skela mora biti opremljena penjalicama max. dužine 4 m u jednom komadu, postavljenim naizmjenično. Fasadnu skelu potrebno je sa vanjske strane prekriti jutenim zastorom, koji se učvršćuje za konstrukciju skele. Skelu treba od podnožja do vrha, kao i na krajevima, dijagonalno ukrutiti kosnicima pod 45</t>
    </r>
    <r>
      <rPr>
        <sz val="9"/>
        <rFont val="Consolas"/>
        <family val="3"/>
        <charset val="238"/>
      </rPr>
      <t xml:space="preserve">°. </t>
    </r>
    <r>
      <rPr>
        <sz val="9"/>
        <rFont val="Calibri"/>
        <family val="2"/>
        <charset val="238"/>
      </rPr>
      <t>Skelu je potrebno osigurati od prevrtanja sidrenjem u samu građevinu. Razmak između točki sidrenja mora biti manji od 6,0 m u horizontalnom i vetikalnom smjeru. Izvedena skela ne smije imati visinu stupova veću od 4 m. Skelu je potrebno uzemljiti i osigurati od udara groma.</t>
    </r>
  </si>
  <si>
    <t>Sva eventualna oštećenja nastala uslijed vezivanja skele na građevinu izvođač je dužan otkloniti o svom trošku.</t>
  </si>
  <si>
    <r>
      <t>Pješački prolaz ispod skele treba izvesti u skladu s potrebama korisnika, odnosno u skladu s dozvolom za zauzeće javne prometne površine. Sa bočnih strana prolaza se postavlja puna zaštitna ograda  minimalne visine od 150cm. Iznad prolaza treba izvesti oblogu od mosnica, a na vanjskom rubu još i kosu zaštitu pod kutem od 60</t>
    </r>
    <r>
      <rPr>
        <sz val="9"/>
        <rFont val="Consolas"/>
        <family val="3"/>
        <charset val="238"/>
      </rPr>
      <t>°</t>
    </r>
    <r>
      <rPr>
        <sz val="9"/>
        <rFont val="Calibri"/>
        <family val="2"/>
        <charset val="238"/>
      </rPr>
      <t xml:space="preserve"> visine 60cm. Pješački prolaz treba biti obilježen propisanom signalizacijom (putokazi, rasvjeta).</t>
    </r>
  </si>
  <si>
    <t>U jediničnu cijenu treba uključiti :
- sav rad oko postave i skidanja skele,
- izradu statičkog računa i nacrta montaže skele,
- dostavu svog potrebnog materijala za postavu skele te čišćenje i odvoz istog nakon skidanja,
- postavu svjetlosne signalizacije i njeno održavanje,
- amortizaciju materijala za vrijeme izvođenja svih radova na pročelju,
- sve društvene obveze vezane za radnu snagu i materijal,
- održavanje skele za vrijeme trajanja radova,
- pripremno-završne radove,
- naknada za zauzimanje javno-prometne površine.
Amortizacija skele obračunava se za vrijeme gradnje, a skelu mogu koristiti svi izvođači bez posebne nadoplate. Potrebno je terminskim planom uskladiti sve aktivnosti da se izbjegne međusobno ometanje pojedinih izvođača. 
Svi materijali za izradu skele moraju odgovarati važećim hrvatskim propisima i normama, ili jednakovrijedno __________________.</t>
  </si>
  <si>
    <t>Prilikom izrade fasadnih skela potrebno se pridržavati propisa zaštite na radu po pitanjima radnih ploha, zaštitnih ograda i prilaza. Materijal za izradu skela mora biti potpuno ispravan. Odgovorna osoba dužna je izvršiti pregled materijala prije ugradnje. Skele moraju biti izvedene po mjerama i na način označen u statičkom računu i nacrtima za skele. Izvedene skele moraju biti sposobne podnijeti predviđeno opterećenje i moraju biti stabilne. Fasadne skele obračunavaju se po m² projekcije skele u ravnini pročelja, mjereno po vanjskom rubu i 1 m nad najvišom površinom.</t>
  </si>
  <si>
    <t>1.</t>
  </si>
  <si>
    <t>Raščišćavanje terena</t>
  </si>
  <si>
    <t>m²</t>
  </si>
  <si>
    <t>2.</t>
  </si>
  <si>
    <t>Priprema gradilišta</t>
  </si>
  <si>
    <t xml:space="preserve">Priprema gradilišta obuhvaća pregled, kontrolu mjera i veličina postojećeg stanja građevinske konstrukcije zgrade, pregled postojećeg stanja opreme, instalacija, te utvrđivanje točnih koridora instalacija u objektu i izvan objekta. Pipremne radove je obavezan izvršavati izvođač radova prije nego pristupi izvođenju i za vrijeme izvođenja radova. U pripremne radove uključiti i pregled projektne dokumentacije s pripadajućim troškovnicima, a o svim nejasnoćama ili neusklađenostima pravovremeno izvjestiti investitora i projektanta. 
Stavka uključuje zaštitu zgrade izvana i iznutra od oštećenja tijekom radova, osiguranje koridora za prolaz korisnika zgrade s pripadajućom zaštitom od šute i prašine, te osiguranje radnog prostora od prilaza neovlaštenih osoba tijekom radova. 
Sav prostor za vrijeme i nakon rušenja i demontaža, te prilikom izvođenja novih konstrukcija, zaštititi od vremenskih nepogoda  (vlaženja, prokišnjavanja, rashlađivanja), te osigurati i zaštititi od ostalih uvjeta koji bi mogli ometati izvođenje radova vezanih za postojeće instalacije (vodovod, odvodnja, grijanje, ventilacija, elektrika, plin i drugo). Sve radove treba izvoditi u skladu s obaveznim higijensko tehničkim mjerama zaštite na radu. </t>
  </si>
  <si>
    <t>Obračun za izvođenje kompletnih pripremnih radove iz opisa stavke, po paušalnoj procjeni.</t>
  </si>
  <si>
    <t>komplet</t>
  </si>
  <si>
    <t>3.</t>
  </si>
  <si>
    <t xml:space="preserve">Fasadna skela </t>
  </si>
  <si>
    <t xml:space="preserve">Doprema, montaža, demontaža i otprema cijevne fasadne skele, visine 1,0 m iznad gornjeg ruba ravnog krova.
Skelu izraditi prema važećim propisima i općim uvjetima. 
Skela mora biti izvedena prema pravilima struke; u stavku su uključene radne platforme i zaštitne ograde, sva potrebna ukrućenja i sidrenja, penjalice,  te uzemljenje.  Cijenom je obuhvaćena dobava i postava  jutenih ili plastificiranih traka na vanjski dio skele, kao zaštita od pada predmeta, prašenja i sl., sve fiksirano za konstrukciju skele. Prije izvedbe skele izvođač je dužan izraditi projekt skele, što je u cijeni stavke. Sve u skladu sa važećim propisima ZNR. Obračun po m² ortogonalne projekcije skele. </t>
  </si>
  <si>
    <t xml:space="preserve">fasadna skela </t>
  </si>
  <si>
    <t>4.</t>
  </si>
  <si>
    <t>Priprema pročelja za izvedbu klasificiranog ETICS sustava</t>
  </si>
  <si>
    <t>5.</t>
  </si>
  <si>
    <t>Priprema špaleta za RAL ugradnju vanjskih vrata i prozora stubišta</t>
  </si>
  <si>
    <t>kom</t>
  </si>
  <si>
    <t>PRIPREMNI RADOVI I SKELA UKUPNO (ZAJEDNIČKI PROSTORI):</t>
  </si>
  <si>
    <t>A. GRAĐEVINSKI RADOVI / A.I.2. PRIPREMNI RADOVI (STAMBENIH PROSTORIJA)</t>
  </si>
  <si>
    <t>PRIPREMNI RADOVI  (STANOVI)</t>
  </si>
  <si>
    <t>Priprema špaleta za RAL ugradnju prozora i vanjskih vrata</t>
  </si>
  <si>
    <t>PRIPREMNI RADOVI (STANOVI) UKUPNO:</t>
  </si>
  <si>
    <t>A. GRAĐEVINSKI RADOVI / A.II.1. RUŠENJA I DEMONTAŽE</t>
  </si>
  <si>
    <t>RUŠENJA I DEMONTAŽE (ZAJEDNIČKI PROSTORI)</t>
  </si>
  <si>
    <t xml:space="preserve">Projekt energetske obnove zgrade izrađen je temeljem mogućih izmjera i pretpostavljenih zidnih, stropnih i krovnih slojeva. Dužnost je izvođača da sondiranjem utvrdi stvarni sastav konstrukcija i u slučaju odstupanja sastava upozori nadzornog inženjera i investitora na odstupanje. </t>
  </si>
  <si>
    <t>Prije početka radova potrebno je konstrukcije u koje ne zadiru radovi zaštititi od mogućeg oštećenja. Sve otvore na pročeljima zgrade treba odmah nakon postave skele zaštititi PVC folijom debljine 0,20 mm kako ne bi došlo do njihovog oštećenja.</t>
  </si>
  <si>
    <t>Nakon provedenih pripremnih radova, svih potrebnih rasterećenja i potrebnih osiguranja, rušenja na građevini vrše se prema unaprijed utvrđenom redoslijedu dogovorenim s nadzornim inženjerom na način kojim se ne ugrožava stabilnost zgrade, sigurnost radnika i ljudi koji borave u zgradi. Demontaže i rušenja izvode se u pravilu od krova prema podrumu.</t>
  </si>
  <si>
    <t>Sva rušenja i demontaže konstruktivnih elemenata treba izvršiti pod nadzorom projektanta i statičara. Kod vršenja proboja ili vođenja instalacija u nosivim konstrukcijama zahvat vršiti maksimalno precizno bez narušavanja nosivih svojstava konstrukcije. Prilikom zahvata na nosivim konstrukcijama obavezno je podupiranje. Sva rušenja, probijanja, bušenja i dubljenja treba u pravilu izvoditi ručnim alatom bez upotrebe vibracionih uređaja, s osobitom pažnjom.</t>
  </si>
  <si>
    <r>
      <t xml:space="preserve">Demontažu i ponovnu montažu gromobrana, uz atestiranje, izvođač treba izvoditi prema </t>
    </r>
    <r>
      <rPr>
        <b/>
        <i/>
        <sz val="9"/>
        <rFont val="Calibri"/>
        <family val="2"/>
        <charset val="238"/>
      </rPr>
      <t>Tehničkom propisu za sustave zaštite od djelovanja munje na građevinama (NN 87/08, 33/10).</t>
    </r>
  </si>
  <si>
    <r>
      <t>U cijenu radova trebaju biti uključene sve podupore, skele i privremene (zamjenske) konstrukcije, koje osiguravaju stabilnost u toku radova, svi horizontalni i vertikalni prijenosi materijala od rušenja i demontaže, i odvoz na gradsku planirku. U cijenu radova je uključeno i sigurno zbrinjavanje opasnih materijala (</t>
    </r>
    <r>
      <rPr>
        <b/>
        <sz val="9"/>
        <rFont val="Calibri"/>
        <family val="2"/>
      </rPr>
      <t>azbest, freoni</t>
    </r>
    <r>
      <rPr>
        <sz val="9"/>
        <rFont val="Calibri"/>
        <family val="2"/>
        <charset val="238"/>
      </rPr>
      <t xml:space="preserve">). Ukoliko se uklanjaju elementi koji sadrže azbest to se mora učiniti u skladu s </t>
    </r>
    <r>
      <rPr>
        <b/>
        <i/>
        <sz val="9"/>
        <rFont val="Calibri"/>
        <family val="2"/>
        <charset val="238"/>
      </rPr>
      <t>Pravilnikom o načinu i postupcima i gospodarenjem otpadom koji sadrži azbest (NN 42/07).</t>
    </r>
  </si>
  <si>
    <t xml:space="preserve">Demontaža i privremeno deponiranje pločica sa kućnim brojem, natpisnih ploča, vanjskih jedinica rashladnih uređaja, gromobrana, strujnih ormarića i sl. uključuje njihovu sigurnu pohranu na gradilištu ili kod vlasnika. Izvođač snosi sve troškove ponovne dobave ili izrade pojedinih elemenata u slučaju oštećenja ili otuđenja sa gradilišta. Demontažu postojećih limenih elemenata, uključujući i prozorske klupčice na pročelju obavezno izvodi limar koji je dužan uzeti mjere i uzorke te snimiti detalje izvedbe, što je uključeno u cijenu stavke. Demontažu i ponovnu montažu postojećih vanjskih jedinica rashladnih uređaja na pročelju izvodi ovlašteni instalater. Demontažu i ponovnu montažu postojećeg gromobrana, strujnih ormarića i sl. na pročelju izvodi ovlaštena osoba. </t>
  </si>
  <si>
    <t>U slučaju  nastalih šteta, radi nepravodobno zaštićene lokacije na kojoj se vrše rušenja i demontaže, sve troškove nastalih šteta snosi izvođač. Izvođač je dužan striktno se držati mjera zaštite na radu.</t>
  </si>
  <si>
    <t>Demontaža i ponovna montaža montažnih elemenata na pročelju i krovu</t>
  </si>
  <si>
    <t>ploče sa oznakama objekta, kućni broj</t>
  </si>
  <si>
    <t>rukohvat</t>
  </si>
  <si>
    <t>m'</t>
  </si>
  <si>
    <t>antene</t>
  </si>
  <si>
    <t>kablovi i kanalice</t>
  </si>
  <si>
    <t>m1</t>
  </si>
  <si>
    <t>portafon, vatrodojava</t>
  </si>
  <si>
    <t>rasvjetni elementi, prekidači, svjetleće reklame</t>
  </si>
  <si>
    <t>tende, sjenila, nosači, hidrantski ormarići</t>
  </si>
  <si>
    <t>Demontaža i zbrinjavanje postojećih slojeva ravnog krova</t>
  </si>
  <si>
    <t>Skidanje zaštitnog sloja šljunka debljine u sloju debljine cca 2 cm, te hidroizolacije ravnog krova od bitumenske hitroizolacijske trake ili polimerne izolacijske trake. Hidroizolaciju skidati mahaničkim, termičkim ili kemijskim postupcima, bez oštećivanja zdrave betonske podloge.
Stavkom je ubuhvaćeno i skidanje opšavnih limova, te vertikalno uzdignutih rubova izolacije na obodne zidove i konstrukcije. Stavka uključuje demontažu vodolovnih grla i rešetki, te odzračnih cijevi kanalizacije, te sve potrebne radove za kvalitetnu postavu novih slojeva ravnog krova.</t>
  </si>
  <si>
    <t>Demontaža i zbrinjavanje limenih opšava</t>
  </si>
  <si>
    <t>Demontaža i ponovna montaža gromobrana</t>
  </si>
  <si>
    <t xml:space="preserve">Demontaža i ponovna montaža gromobranske instalacije na krovu sa zamjenom oštećenih i dotrajalih djelova s plastičnim stopama. </t>
  </si>
  <si>
    <t>Demontaža vrata i prozora zajedničkih prostora</t>
  </si>
  <si>
    <t>Demontaža postojećih ulaznih vrata,  vrata toplinskih podstanica i prozora stubišta i zajedničkih prostorija.
Dimenzije su izražene u zidarskim (građevinskim mjerama). 
Obračun po komadu stolarske stavke.</t>
  </si>
  <si>
    <t>6.</t>
  </si>
  <si>
    <t>Demontaža i zbrinjavanje postojećih žlijebova i oborinskih vertikala zbog izvedbe novih slojeva ETICS fasade i ravnog krova</t>
  </si>
  <si>
    <t>Demontaža i zbrinjavanje postojećih žlijebova i oborinskih vertikala sa svom pripadnom opremom, spojnim i pričvrsnim sredstvima te podložnim slojem. 
Demontažu postojećih limenih elemenata, obavezno izvodi limar koji je dužan uzeti mjere i uzorke te snimiti detalje izvedbe u skladu s glavnim projektom, što je uključeno u cijenu stavke. 
Obračun svih limenih elemenata vrši se po m¹.</t>
  </si>
  <si>
    <t>žlijebovi</t>
  </si>
  <si>
    <t>m¹</t>
  </si>
  <si>
    <t>oborinske vertikale</t>
  </si>
  <si>
    <t>7.</t>
  </si>
  <si>
    <t>Demontaža i ponovna montaža split rashladnih uređaja</t>
  </si>
  <si>
    <t>Demontaža i ponovna montaža split rashladnih uređaja na pročelju zgrade. Stavkom je obuhvaćeno sigurno prikupljanje radne tvari, demontaža ovjesnih elemenata i izvedba nove instalacije te postavljanje vanjske jedinice na mjesto definirano rješenjem pročelja. Montažu vanjske jedinice izvršiti ovjesnim elementima s prekinutim toplinskim mostom. Izvesti fleksibilnu cijev za odvod kondenzata po cijeloj visini zgrade unutar fasade s priključcima za svaki stan s vanjske strane svake od loggia te u usjecima u blizini zajedničkih loggia. 
Demontažu, punjenje sistema odgovarajućom rashladnom tvari  i ponovnu montažu vrši ovlaštena osoba. Izmještanje i ponovna montaža izvršit će se u skladu s postojećom regulativom i shemom pozicija koju odobri projektant prije nove montaže, na način da se, tamo gdje uvjeti to dopuštaju, vanjske jedinice grupiraju na pročelju (udaljenost od unutarnje jedinice &lt;15m¹).</t>
  </si>
  <si>
    <t xml:space="preserve">  </t>
  </si>
  <si>
    <t>cijev za odvodnju kondenzata</t>
  </si>
  <si>
    <t>8.</t>
  </si>
  <si>
    <t>Ispitivanje instalacija</t>
  </si>
  <si>
    <t xml:space="preserve">Ispitivanje gromobranskih instalacija, električnih instalacija, instalacija 'SPLIT' sustava i drugih instalacija nakon izvedbe nove fasade i novog krova i ponovne montaže istih,  zajedno sa izdavanjem uvjerenja o sigurnom funkcioniranju kod upotrebe.
</t>
  </si>
  <si>
    <t>RUŠENJA I DEMONTAŽE UKUPNO (ZAJEDNIČKI PROSTORI):</t>
  </si>
  <si>
    <t>A. GRAĐEVINSKI RADOVI / A.II.2. RUŠENJA I DEMONTAŽE (STAMBENIH PROSTORIJA)</t>
  </si>
  <si>
    <t>RUŠENJA I DEMONTAŽE (STANOVI)</t>
  </si>
  <si>
    <t>Demontaža i zbrinjavanje postojećih prozora grijanih prostorija</t>
  </si>
  <si>
    <t>RUŠENJA I DEMONTAŽE UKUPNO (STANOVI):</t>
  </si>
  <si>
    <t>A. GRAĐEVINSKI RADOVI / A.III. ZEMLJANI RADOVI</t>
  </si>
  <si>
    <t xml:space="preserve">Prije početka radova potrebno je provjeriti da li trase postojećih instalacijskih vodova na gradilištu i u blizini kolidiraju s iskopom ili radnim prostorom potrebne mehanizacije. Prije početka zemljanih radova, teren treba očistiti od šiblja i korova. Ovi radovi kao i radovi oko razmjeravanja terena i obilježavanja zgrade uračunati su u jedinične cijene.
</t>
  </si>
  <si>
    <t>Dužnost je izvođača da utvrdi pravi sastav tla. Ukoliko izvođač prilikom iskopa zemlje naiđe na bilo kakve predmete, objekte ili instalacije, dužan je na tom mjestu obustaviti radove i o tome obavijestiti projektanta i nadzornog inženjera.</t>
  </si>
  <si>
    <t xml:space="preserve">Iskopani materijal treba odlagati na dovoljnom odstojanju od ruba iskopa da ne dođe do urušavanja. Podupiranja, razupiranja i zaštita iskopa od oborinskih voda prekrivanjem PVC folijama i izvedbom površinske odvodnje kanalima i muljnim crpkama, obuhvaćena su jediničnim cijenama. Potrebna građa za podupiranje mora biti pripremljena na gradilištu prije početka iskopa. Ako se iskopane jame oštete, odrone ili zatrpaju nepažnjom ili uslijed nedovoljnog podupiranja, izvođač ih dovodi u ispravno stanje bez posebne naknade. Ukoliko je izvođač otkopao tlo ispod projektom predviđene temeljne ravnine obavezan je bez naknade popuniti tako nastale šupljine betonom C 8/10, do projektirane kote. Zabranjeno je popunjavanje prekopa nasipom šljunka.
</t>
  </si>
  <si>
    <t>Iskop zemlje uz rub vanjskih zidova u kontaktu s terenom</t>
  </si>
  <si>
    <t>NAPOMENA: Sve mjere izvedbe, kao i postojeću dubinu temeljenja provjeriti na licu mjesta prije planiranja i organizacije radova. Postojeća dubina temeljenja je pretpostavljena (na osnovu arhivskih nacrta) i može odstupati od ovdje navedene.</t>
  </si>
  <si>
    <t xml:space="preserve">Ručni iskop dubine cca 20 cm. Iskop zemlje širine 30-70 cm uz rub vanjskog zida pročelja vrši se sa pokosom 1:2. Izvesti pažljivo kako se ne bi oštetili dijelovi postojeće konstrukcije.
Izložene dijelove konstrukcije očistiti od zemlje i raslinja. </t>
  </si>
  <si>
    <r>
      <t>m</t>
    </r>
    <r>
      <rPr>
        <vertAlign val="superscript"/>
        <sz val="9"/>
        <rFont val="Calibri"/>
        <family val="2"/>
        <charset val="238"/>
      </rPr>
      <t>3</t>
    </r>
  </si>
  <si>
    <t>Nasipavanje materijala iz iskopa oko zgrade i fino poravnanje</t>
  </si>
  <si>
    <t xml:space="preserve">
Obračun po m³ materijala u sraslom stanju.</t>
  </si>
  <si>
    <t>ZEMLJANI RADOVI UKUPNO:</t>
  </si>
  <si>
    <t>A. GRAĐEVINSKI RADOVI / A.IV.1. ZIDARSKI RADOVI (ZAJEDNIČKIH PROSTORIJA)</t>
  </si>
  <si>
    <t>A.IV.1</t>
  </si>
  <si>
    <t>ZIDARSKI RADOVI (ZAJEDNIČKI PROSTORI)</t>
  </si>
  <si>
    <t>Opći uvjeti su sastavni dio svake pojedine stavke. Sve što je navedeno u njima, a nije u pojedinačnom opisu stavke smatra se uključenim u jediničnu cijenu.</t>
  </si>
  <si>
    <t>Svi upotrebljeni materijali za izvedbu zidarskih radova moraju odgovarati navedenim propisima i normama. Izvođač mora prije izvedbe izvršiti pregled podloge te prodora u zidu prema nacrtu u prisutnosti nadzornog inženjera te upisati napomenu u građevinski dnevnik. Navedene radnje uključene su u jediničnu cijenu.</t>
  </si>
  <si>
    <t xml:space="preserve">Izvođač je dužan osigurati i zaštititi sve dijelove građevine na kojima se izvode radovi, radi sprečavanja oštećenja tijekom izvedbe. Sva oštećenja na dijelovima na kojima se ne izvode radovi ili koja su nastala nepažnjom izvođača isti je dužan otkloniti o vlastitom trošku. </t>
  </si>
  <si>
    <t xml:space="preserve">Sav rad i transport vrši se isključivo sa vanjske strane građevine, tj. preko skele. Zidarsko-fasaderski radovi se izvode na dobro očišćenoj i otprašenoj površini zida te ih treba izvoditi samo u povoljnim vremenskim uvjetima, uz odgovarajuće osiguranje i zaštitu svježe ožbukanih površina od štetnog utjecaja djelovanja sunca i oborina. Sve detalje izvedbe na pročelju potrebno je dogovoriti i na njih ishoditi suglasnost nadzornog inženjera, a prije pristupanja izvedbi radova. Obračun svih radova vršiti kako je to naznačeno u opisu stavke.
</t>
  </si>
  <si>
    <t>Prilikom izvođenja zidova zgrada izvođač se mora pridržavati slijedećih mjera:
- zidanje se mora izvoditi sa pravilnim zidarskim vezovima, a preklop mora iznositi najmanje jednu četvrtinu dužine zidnog elementa,
- debljina ležajnica ne smije biti veća od 15 mm, a širina sudarnica ne smije biti manja od 10 mm niti veća od 15 mm,
- ako se zida za vrijeme zime treba zidove zaštiti od mraza,
- zidovi čije izvođenje nije završeno prije nastupanja zimskih mrazova moraju se zaštiti na odgovarajući način,
- svako naknadno bušenje ili izrada užljebina u zidovima zgrade koje nije bilo predviđeno projektom, može se izvoditi samo ako je prethodnim statičkim proračunom utvrđeno da nosivost zida poslije tog bušenja odnosno izrade žlijeba nije manja od propisane nosivosti.
- poprečni i uzdužni zidovi moraju na spoju biti međusobno povezani zidarskim vezom, tj. za  pregradne zidove treba ispustiti zupce u masivnom zidu na svaki drugi red za ½ opeke.
- zidove uz vertikalni serklaž također zupčasto izvesti.
- vanjske fuge ostaviti prazne od 1,5 do 2 cm za vezu žbuke prigodom žbukanja zidova.
- za vrijeme zidanja opeku kvasiti vodom, a pri zidanju cementnim mortom opeka mora ležati u vodi neposredno prije zidanja
- reške dimnjaka i ventilacionih kanala zagladiti.
- prilikom zidanja pravovremeno ostaviti otvore prema zidarskim mjerama, voditi računa o uzidavanju pojedinih građevinskih elemenata, o ostavljanju žljebova za kanalizaciju, za centralno grijanje ako su ucrtani (ne plaća se posebno, ulazi u jediničnu cijenu)</t>
  </si>
  <si>
    <t>Posebno se ne naplaćuje ni zatvaranje (žbukanje šliceva, žljebova i sl.) iza položene instalacije.
Zazidavanje (zatvaranje) žljebova u zidovima ostavljenih za instalacije kanalizacije i grijanja nakon izvođenja tih instalacija, opekom, rabicom ili na drugi način, ne plaća se posebno, ukoliko troškovnikom nije posebno propisano. Obračun nosivih zidova, stupova i dimnjaka je zapreminski (m3), pregradnih zidova i žbuka površinski (m2).</t>
  </si>
  <si>
    <r>
      <t>Žbukati tek kada se zidovi osuše i slegne zgrada</t>
    </r>
    <r>
      <rPr>
        <b/>
        <sz val="9"/>
        <rFont val="Calibri"/>
        <family val="2"/>
        <charset val="238"/>
      </rPr>
      <t xml:space="preserve">. Ne smije se žbukati kad postoji opasnost od smrzavanja ili ekstremno visokih temperatura 30° </t>
    </r>
    <r>
      <rPr>
        <sz val="9"/>
        <rFont val="Calibri"/>
        <family val="2"/>
        <charset val="238"/>
      </rPr>
      <t xml:space="preserve">ili više. Zidovi moraju biti prije žbukanja čisti, a fuge udubljene, da se žbuka može dobro primiti. </t>
    </r>
  </si>
  <si>
    <t>Završene površine moraju biti ravne i glatke, a uglovi i bridovi, te spojevi zida i stropa izvedeni oštro ukoliko u troškovniku nije drugačije označeno. Rabiciranje žbuke izvodi se pomoću alkalno otporne staklene mrežice ili sitno pletene mreže od nehrđajućeg čelika. Točno izvedena žbuka je ona koja po horizontali i vertikali nema odstupanja veća od 1‰  u bilo kojem smjeru, za jednu etažu. Troškovi sanacije dijelova izvedenih van ovih kriterija padaju na teret izvođača radova.</t>
  </si>
  <si>
    <t>Kod obrade fasade plemenitom žbukom bila to šerana (grebana) ili prskana (hirofa), žbuka mora biti kvalitetna, tvorničke izvedbe u izabranoj boji i kvaliteti. Kod izrade fasadnih žbuka raditi prema uputstvu proizvođača.</t>
  </si>
  <si>
    <t>Zidarska pripomoć obrtnicima, instalaterima, nošenje izuzetno teških predmeta i pripomoć kod raznih ugradnji obračunava se u radnim satima, a u cijenu je uključen i potreban materijal za pripomoć (za krpanja, ugradnju i sl.).</t>
  </si>
  <si>
    <t>Izvođač će pristupiti izvedbi završnih zidarskih radova tek nakon što projektant potpisom potvrdi tehnološku razradu svih detalja.</t>
  </si>
  <si>
    <t>Popravci žbuke nakon ugradnje nove stolarije</t>
  </si>
  <si>
    <t>Stavka obuhvaća sve popravke oštećene unutarnje žbuke zidova,  stropova i špaleta oko otvora koji su oštećeni prilikom izvođenja radova rušenja i demontaže fasadnih stavki, instalacija i sl, nakon ugradnje novih stolarskih stavki. Postojeću podlogu potrebno je prethodno impregnirati i obraditi reparaturnim mortom.</t>
  </si>
  <si>
    <t xml:space="preserve">Sve kuteve i bridove učvrstiti kutnim profilima. Sve betonske površine prethodno premazati sredstvom za povećanje prionjivosti. Sve spojeve različitih materijala potrebno je rabicirati. Kod popravaka  postojeće žbuke, za zapunjavanje otvora, reški i šliceva upotrijebiti prikladan materijal (polistiren, gips ploče, opeka, porobeton ili sl.) što je uključeno u stavku. </t>
  </si>
  <si>
    <t>Stavkom je obuhvaćeno žbukanje površina od opeke,  porobetona i od armiranog betona. Žbukanje se vrši grubom produžnom podložnom žbukom i finom  žbukom.  Žbuka mora biti potpuno ravna, ukupna debljina žbuke mora biti u istoj ravnini sa postojećom žbukom, a završni sloj fino zaglađen.</t>
  </si>
  <si>
    <t xml:space="preserve">Razna zidarska pripomoć, krpanja i popravci žbuke i prodora prilikom izvođenja radova. Obračun po m2 obrađene plohe. </t>
  </si>
  <si>
    <r>
      <t>m</t>
    </r>
    <r>
      <rPr>
        <sz val="9"/>
        <rFont val="Calibri"/>
        <family val="2"/>
        <charset val="238"/>
      </rPr>
      <t>²</t>
    </r>
  </si>
  <si>
    <t>Zidanje nadvišenja nadozida ravnog krova stubišta</t>
  </si>
  <si>
    <r>
      <t xml:space="preserve">Zidanje nadvišenja nadozida od porobetonskih blokova (ρ 400 kg/m³) debljine 16 cm, visine 25 cm. </t>
    </r>
    <r>
      <rPr>
        <sz val="9"/>
        <rFont val="Calibri"/>
        <family val="2"/>
        <charset val="238"/>
      </rPr>
      <t>P</t>
    </r>
    <r>
      <rPr>
        <sz val="9"/>
        <color indexed="8"/>
        <rFont val="Calibri"/>
        <family val="2"/>
        <charset val="238"/>
      </rPr>
      <t xml:space="preserve">orobetonski zid izvesti od bloka, marke 2,50/0,40 kvalitete proizvoda I. razreda zidnih elemenata s tankoslojnim mortom minimalne marke M10 kvalitete morta tipa B. Prvi red blokova potrebno je postaviti na sloj cementnog morta 1:2 debljine 2-5 cm ovisno o točnosti izvedene  podloge, idealno ravan u oba smjera . Sve ostale horizontalne i vertikalne sljubnice (fuge) potrebno je ispuniti po cijeloj površini  tankoslojnim mortom max. debljine 3 mm. Prilikom zidanja nije dozvoljeno preklapanje vertikalnih sljubnica. Min. razmak između vertikalnih sljubnica dva susjedna reda smije biti 10 cm. Prilikom ugradnje, prethodno pripremiti podlogu. U cijeni sav rad i materijal po uputi proizvođača do potpune gotovosti. </t>
    </r>
  </si>
  <si>
    <t xml:space="preserve"> d = 16 cm</t>
  </si>
  <si>
    <t>ZIDARSKI RADOVI UKUPNO (ZAJEDNIČKI PROSTORI):</t>
  </si>
  <si>
    <t>A. GRAĐEVINSKI RADOVI / A.IV.2. ZIDARSKI RADOVI (STAMBENIH PROSTORIJA)</t>
  </si>
  <si>
    <t>ZIDARSKI RADOVI (STANOVI)</t>
  </si>
  <si>
    <t>Stavkom je obuhvaćeno žbukanje površina od opeke i od armiranog betona. Žbukanje se vrši grubom produžnom podložnom žbukom i finom  žbukom.  Žbuka mora biti potpuno ravna, ukupna debljina žbuke mora biti u istoj ravnini sa postojećom žbukom, a završni sloj fino zaglađen.</t>
  </si>
  <si>
    <t>m2</t>
  </si>
  <si>
    <t>ZIDARSKI RADOVI UKUPNO (STANOVI):</t>
  </si>
  <si>
    <t xml:space="preserve">A. GRAĐEVINSKI RADOVI / A.V. IZOLATERSKI RADOVI </t>
  </si>
  <si>
    <t>IZOLATERSKI RADOVI</t>
  </si>
  <si>
    <t xml:space="preserve">Izvođač radova mora za sve materijale koje će upotrijebiti za izvedbu izolacije pribaviti odgovarajuće dokaze o sukladnosti. Hidroizolaciju, toplinsku ili zvučnu izolaciju treba izvoditi prema specifikaciji radova i tehničkim uvjetima izvođenja. </t>
  </si>
  <si>
    <t xml:space="preserve">Površine na koje se polaže izolacija trebaju biti ravne i očišćene od prašine ili drugih nečistoća. Toplinsku i zvučnu izolaciju potrebno je izvesti kontinuirano bez reški kako bi se spriječili toplinski ili zvučni mostovi. </t>
  </si>
  <si>
    <t xml:space="preserve"> Nakon izvedbe svakog sloja izolacije nadzorni organ treba izvršiti pregled, a tek nakon pozitivnog mišljenja i upisa u građevinski dnevnik može se nastaviti sa radom.</t>
  </si>
  <si>
    <t>Skladištenje materijala na gradilištu mora biti stručno kako bi se isključila bilo kakva mogućnost propadanja. Nepravilno i nekvalitetno izvedene radove izvođač mora na svoj trošak ukloniti i izvesti pravilno.</t>
  </si>
  <si>
    <r>
      <rPr>
        <b/>
        <sz val="9"/>
        <rFont val="Calibri"/>
        <family val="2"/>
        <charset val="238"/>
      </rPr>
      <t>HIDROIZOLACIJA</t>
    </r>
    <r>
      <rPr>
        <sz val="9"/>
        <rFont val="Calibri"/>
        <family val="2"/>
        <charset val="238"/>
      </rPr>
      <t xml:space="preserve">
Sve hidroizolaterske radove treba izvesti solidno i stručno držeći se projektne dokumentacije, propisa, opisa iz troškovnika, uputa proizvođača i pravila dobrog zanata. Prije početka radova izvođač mora ustanoviti kvalitetu podloge na kojoj se izvodi izolacija i ako nije pogodna za rad mora o tome izvijestiti naručitelja radova kako bi se podloga na vrijeme popravila i pripremila za izvođenje izolacije.
</t>
    </r>
  </si>
  <si>
    <t>Sav materijal za izolaciju treba  odgovarati propisima i normativima. Izolacijsku ljepenku i ostale vrste izolacijskih traka i ploča treba rezati ravno i pravokutno. Zaderani i krpani komadi ne smiju se ugrađivati. Svi preklopi moraju biti najmanje 10 cm široki i lijepljeni varenjem. Kod polaganja dvaju ili više slojeva izolacijskih traka ili ploča preklopi ne smiju ležati jedan na drugom, već moraju biti pomaknuti.</t>
  </si>
  <si>
    <t>Kod hidroizolacije zidova ljepenka treba na svaku stranu zida imati prihvat širine od 10 cm, koji treba spojiti s horizontalnom izolacijom podova. Površine na koje se polaže izolacija, trebaju biti posve ravne, suhe, očišćene od prašine i nečistoće i dovoljno glatke kako bi izolacija dobro prionula. Izolacija treba prilegnuti na površinu ravno, bez nabora i mjehura. U cijeni također treba uključiti obradu slojeva izolacije i  izvedbu holkera uz vertikalne zidove, oko raznih prodora kroz slojeve izolacije (instalacije), kao i ugradnje završnih profila i sl.</t>
  </si>
  <si>
    <t xml:space="preserve">Posebnu pažnju obratiti na zaštitu od požara kod rada s vrućim bitumenskim premazima i varenim ljepenkama zbog velike zapaljivosti bitumena. U slučaju požara gasiti pijeskom ili pjenom. Gašenje vodom je opasno zbog prskanja vrelog bitumena. </t>
  </si>
  <si>
    <t xml:space="preserve">Svi materijali za izvedbu hidroizolaterskih radova moraju u pogledu kvalitete odgovarati priznatim tehničkim pravilima, ili jednakovrijedno __________________, a osobito:
</t>
  </si>
  <si>
    <t xml:space="preserve">Prilikom ugradnje ploča mineralne (kamene) vune potrebno je pridržavati se sljedećeg:
Ugrađivati se smije samo suh i neoštećen proizvod. Proizvod se polaže na pripremljenu suhu podlogu. Prilikom polaganja proizvoda na otvorenom potrebno je spriječiti moguće oštećenje uslijed djelovanja atmosferilija (kiša, snijeg). 
</t>
  </si>
  <si>
    <t>Prilikom ugradnje proizvoda, potrebno je pridržavati se redoslijeda ugradnje pojedinih slojeva konstrukcije danih u projektnoj dokumentaciji, odnosno projektu u odnosu na toplinsku zaštitu i uštedu energije, te prospektnoj dokumentaciji i preporukama od strane proizvođača.</t>
  </si>
  <si>
    <t>Tijekom dostave proizvoda (uglavnom na paletama), isti se NIKAKO ne smiju položiti direktno na ploče toplinske izolacije (i hidroizolaciju), već ISKLJUČIVO na prethodno položenu podlogu (daske, ploče od iverice i sl.) preko sloja izolacije.</t>
  </si>
  <si>
    <t xml:space="preserve">Ukoliko se vrši transport materijala i opreme direktno preko sloja toplinsko-izolacijskih ploča, obavezna je postava hodnih staza od dasaka ili ploča od iverica ili sl., preko spomenutog sloja.
Potrebno je poduzeti mjere za sprečavanje oštećenja izolacijskog materijala (izrada privremenih transportnih putova).
</t>
  </si>
  <si>
    <t>Izvedba toplinske i hidroizolacije ravnog neprohodnog krova</t>
  </si>
  <si>
    <t>NAPOMENA: Sve mjere izvedbe, kao i postojeće konstukcije provjeriti na licu mjesta prije planiranja i organizacije radova.</t>
  </si>
  <si>
    <t>Izvođenje slojeva ravnih krovova u skladu s projektom racionalne uporabe energije i toplinske zaštite i detaljima u projektu. Hidroizolacija je mehanički fiksirana te hermetizirana dvokomponentnim kitom. Jediničnom cijenom uključena priprema podloge i svi spojni elementi: otvoreni, zatvoreni i kutni prelazi i završni elementi. Osobitu pažnju posvetiti holkeru i završnom učvršćenju i brtvljenju hidroizolacije.</t>
  </si>
  <si>
    <t xml:space="preserve">Na očišćenu podlogu izvode sljedeći radovi: </t>
  </si>
  <si>
    <t>a)</t>
  </si>
  <si>
    <t xml:space="preserve">Dobava i polaganje toplinske izolacije - dvoslojne tvrde ploče mineralne (kamene) vune za ravne neprohodne krovove (na prethodno postavljenu parnu branu), ploča od dva sloja (12 + 8 cm) različite gustoće (sloj veće gustoće postavljen na gornjoj strani), koeficijent toplinske provodljivosti λ≤0,04 W/mK,  ukupne debljine 20 cm, gustoće 190 kg/m³ gornji sloj, 90 kg/m³ donji sloj. Sve detalje izvesti na način koji propisuje proizvođač toplinske izolacije. </t>
  </si>
  <si>
    <r>
      <t>m</t>
    </r>
    <r>
      <rPr>
        <vertAlign val="superscript"/>
        <sz val="9"/>
        <rFont val="Calibri"/>
        <family val="2"/>
        <charset val="238"/>
      </rPr>
      <t>2</t>
    </r>
  </si>
  <si>
    <t>b)</t>
  </si>
  <si>
    <t>Dobava i polaganje jednoslojne hidroizolacijske TPO membrane (deb. min.1,5 mm, armirane poliesterskom mrežicom), bijele boje, UV stabilne, mehanički učvršćena za podlogu. Hidroizolacijske membrane se polažu na geotekstil ili toplinsku izolaciju (sve prema uputama proizvođača) i ugrađuju u sustavu mehanički pričvršćenih membrana. Rubovi membrana se međusobno preklapaju i zavaruju vrućim zrakom kako bi se postigao potpuno homogen spoj (min preklapanje prema uputama proizvođača). Na svojim završetcima membrana se vari na TPO limove. Sve spojeve izvesti na način da se osigura vodotijesnost membrane.</t>
  </si>
  <si>
    <t>c)</t>
  </si>
  <si>
    <t>Obrada prodora (npr. nosači ograde, gromobran) kroz hidroizolaciju nearmiranom TPO membranom ili tipskom TPO prirubnicom. Završetak se kita PU kitom i priteže obujmicom. Izvesti prema projektu i detalju proizvođača.</t>
  </si>
  <si>
    <t>d)</t>
  </si>
  <si>
    <t>Izvedba detalja na mjestu sudara horizontalnih i vertikalnih površina koje se hidroizoliraju. Detalj se izvodi na način da se ugrađuje prefabricirani perforirani Fe/Zn profil povećane krutosti koji se mehanički učvršćuje za podlogu sa min. 4,0 kom/m¹ pričvršćivača. Izvesti prema projektu i detalju proizvođača.</t>
  </si>
  <si>
    <t>e)</t>
  </si>
  <si>
    <t>dobava i ugradnja novih TPO slivnika - vodolovna grla u postojeće vertikale</t>
  </si>
  <si>
    <t>f)</t>
  </si>
  <si>
    <t>Dobava i ugradnja čepaste folije od HDPE  kao zaštitnog razdjelno drenažnog sloja, s čepićima okrenutima prema toplinskoizolacijskom sloju. Folija se ugrađuje na već postavljenu TPO foliju i služi kao zaštitni sloj na kojem se postavlja zaštitni sloj šljunka debljini od 5 - 6cm.</t>
  </si>
  <si>
    <t>g)</t>
  </si>
  <si>
    <t>izvedba nasipa krupnog šljunka debljine 6 cm</t>
  </si>
  <si>
    <t>Izvedba dodatne toplinske izolacije instalacijskog kanala</t>
  </si>
  <si>
    <t xml:space="preserve">Izvedba dodatne toplinske izolacije instalacijskog kanala polaganjem rola mineralne vune debljine 8 cm, toplinske vodljivosti λ≤0,036 W/mK ispod i oko cijevi razvoda grijanja. </t>
  </si>
  <si>
    <t>Izvedba toplinske izolacije od kaširane mineralne vune na podgledima međukatnih konstrukcija ispod grijanih prostora   MV deb. 12 cm</t>
  </si>
  <si>
    <t>NAPOMENA: Sve mjere izvedbe, kao i postojeće konstukcije provjeriti na licu mjesta prije planiranja  i organizacije radova.</t>
  </si>
  <si>
    <t>Izvedba toplinske izolacije podgleda negrijanih prostora prema grijanim dijelovima stanova, sa svim potrebnim predradnjama i pripremom podloge. Toplinska izolacija na bazi mineralne (kamene) vune (λ=0,36 W/mK, A1-d1), debljine 12 cm, s jedne strane obložene specijalnim staklenim voalom pogodnim za direktno nanošenje boje, klasa gorivosti A1-d1. Ploče mineralne (kamene) vune su mehanički učvršćene metalnim držačima s metalnim diskom (min. ø80 mm), sve prema preporuci proizvođača. Montaža bez dodatne podkonstrukcije.</t>
  </si>
  <si>
    <t>Sve radove treba izvesti isključivo po uputama, koristeći materijale, alate i način izvođenja po tehnologiji proizvođača i prema projektu i detaljima. Obračun po m² izvedene površine.</t>
  </si>
  <si>
    <t>Postava ploča samo na dijelove podgleda stropa ispod grijanih prostorija.</t>
  </si>
  <si>
    <t>strop ispod grijanih prostora kaš. MV = 12 cm</t>
  </si>
  <si>
    <t>IZOLATERSKI RADOVI UKUPNO:</t>
  </si>
  <si>
    <t xml:space="preserve">B. OBRTNIČKI RADOVI / B.I. LIMARSKI RADOVI </t>
  </si>
  <si>
    <t>OBRTNIČKI RADOVI</t>
  </si>
  <si>
    <t>LIMARSKI RADOVI</t>
  </si>
  <si>
    <t xml:space="preserve">   </t>
  </si>
  <si>
    <t>Ukoliko ne postoje adekvatni standardi za materijale koji se ugrađuju, obavezno je pribaviti odgovarajući atest kao dokaz kvalitete.</t>
  </si>
  <si>
    <r>
      <t xml:space="preserve">Izvođač je dužan prije početka radova predočiti projektantu detalje izvedbe i savijanja limova. Tek po odobrenju i nakon ovjere istih od strane projektanta izvođač može pristupiti izvedbi radova. Izvođač je dužan prije početka radova provjeriti sve građevinske elemente na koje, ili za koje se pričvršćuje limarija i pismeno dostaviti naručitelju svoje primjedbe u vezi eventualnih nedostataka posebno u slučaju: </t>
    </r>
    <r>
      <rPr>
        <b/>
        <sz val="9"/>
        <rFont val="Calibri"/>
        <family val="2"/>
        <charset val="238"/>
      </rPr>
      <t>neodgovarajućeg izbora projektiranog materijala i loše riješenog načina vezivanja limarije za građevinske radove.</t>
    </r>
    <r>
      <rPr>
        <sz val="9"/>
        <rFont val="Calibri"/>
        <family val="2"/>
        <charset val="238"/>
      </rPr>
      <t xml:space="preserve"> Izrada rješenja neće se posebno platiti već predstavlja trošak i obvezu izvođača. Prilikom izvođenja limarije izvođač se mora striktno pridržavati usvojenih i od strane projektanta ovjerenih detalja. Izvođač će pristupiti izvedbi tek nakon što projektant potpisom potvrdi radioničke nacrte i tehnološku razradu svih detalja.</t>
    </r>
  </si>
  <si>
    <t xml:space="preserve">Dijelovi različitog materijala ne smiju se dodirivati jer bi uslijed toga moglo doći do korozije. Elementi od čelika za pričvršćivanje cinčanog ili pocinčanog lima moraju se pocinčati, ako u opisu radova nije predviđena neka druga zaštita (postavljanje podmetača od olova ili plastike otpornih na kiseline ili lužine). Za bakreni lim treba primijeniti učvršćivanje od bakra ili bakrenog čelika.
</t>
  </si>
  <si>
    <t xml:space="preserve">Sastav i učvršćenja moraju biti tako izvedeni da elementi pri toplotnim promjenama mogu nesmetano dilatirati, a da pri tom ostanu nepropusni. Moraju se osigurati od oštećenja koje može izazvati vjetar i sl. Ispod lima koji se postavlja na beton, drvo ili žbuku treba postaviti sloj bitumenske ljepenke, čija su dobava i postava uključene u jediničnu cijenu ako u stavci nije opisano drugačije. Nakon obrade, može se ugraditi samo neoštećeni lim. </t>
  </si>
  <si>
    <t xml:space="preserve">Za elemente za učvršćivanje (kuke, zakovice, jahači, čavli, vijci i sl.) treba primijeniti:
za čelični lim - čelična spojna sredstva,
za pocinčani i olovni lim - dobro pocinčana spojna sredstva,
za bakreni lim - bakrena spojna sredstva,
za alu lim - alu ili galvanizirana Čn spojna sredstva.
</t>
  </si>
  <si>
    <t>Sve vidljive spojeve lima i betonskih ili ožbukanih ploha pročelja treba brtviti po cijeloj dužini spoja trajno elastičnim (plastičnim) bezbojnim kitom. Sve spojeve lima treba obvezno izvesti nepropusno. Plohe izvedene limom moraju biti izvedene pravilno i u ravnini, po nagibima odvodnje i kosinama definiranim u projektu.</t>
  </si>
  <si>
    <t>Jedinična cijena uključuje, uzimanje mjera na gradilištu i definiranje ugradbenih dimenzija, tehnološku razradu svih detalja, pripremu podloga, izradu radioničkih nacrta, sav spojni materijal, sve posredne i neposredne troškove za rad, materijal, sva manja potrebna usijecanja utora nužna za ugradnju i savijanje lima i izvedbu detalja, kao i sva sitnija usijecanja ploha te potrebne popravke i zapunjavanja nastalih međuprostora i pukotina cem. mortom.</t>
  </si>
  <si>
    <t xml:space="preserve">Obračun se vrši po m2 pokrova po kosini krova. Izvođač pokrova mora imati licencu zastupnika proizvođača pokrova. U cijenu m2 krovnog pokrova uračunato je postavljanje prefabriciranih pokrovnih elemenata kao snjegobrana i sljemenjaka, uvala, odzračnika i proboja ventilacije.
</t>
  </si>
  <si>
    <t>Izvedba vanjskih prozorskih klupčica postojećih i novih prozora na pročeljima</t>
  </si>
  <si>
    <t xml:space="preserve"> - klupčice za otvore - lim r. š. &lt; 33 cm</t>
  </si>
  <si>
    <t>HI š = 25 cm</t>
  </si>
  <si>
    <t>XPS u nagibu D=2cm</t>
  </si>
  <si>
    <t>Limeni opšavi, okapi i kape</t>
  </si>
  <si>
    <t>opšav nadozida ravnog krova r.š. 50 cm</t>
  </si>
  <si>
    <t>opšav ravnog krova r.š. 33 cm</t>
  </si>
  <si>
    <t>opšav ograda loggia r.š. 40 cm</t>
  </si>
  <si>
    <t>Vertikalna odvodnja</t>
  </si>
  <si>
    <t>Dobava, izvedba i montaža oborinskih vertikala za odvodnju vode s krova Ø 100 mm, od plastificiranog aluminijskog lima deb. 0,70 mm.  Stavka također uključuje dobavu i montažu novih koljena Ø 100 mm i vodokotlića 33/100 te povezivanje istih sa vertikalnim segmentima oluka i priključak na postojeće odvodne cijevi u podnožju zgrade. Stavka također uključuje dobavu i postavu limenih cijevi za produljenje odvodnje s ravnih krovova i lođa,  limenih ogrlica na ulazu u prihvatnu cijev u podnožju te brtvljenje ulaza u  prihvatnu cijev bitumenskim brtvilom te posebnog elementa za jednosmjerno račvanje za priključenja s vodolovnim grlima na krovu.</t>
  </si>
  <si>
    <t xml:space="preserve">Jedinična cijena uključuje sav potreban pribor za pričvršćenje, dodatak sredstva za brtvljenje i ljepljenje, kuke, okap, mušnu mrežicu i pripadajući opšav, te sav ostali pribor  i pomoćni, spojni i pričvrsni materijal, te sva potrebna podešavanja i prilagođavanja potrebanih za potpunu funkcionalnost stavke. Sve točne mjere uzimati na licu mjesta. </t>
  </si>
  <si>
    <t>Obračun po komadima vertikala u m¹.</t>
  </si>
  <si>
    <r>
      <t>m</t>
    </r>
    <r>
      <rPr>
        <vertAlign val="superscript"/>
        <sz val="9"/>
        <rFont val="Calibri"/>
        <family val="2"/>
        <charset val="238"/>
      </rPr>
      <t>1</t>
    </r>
  </si>
  <si>
    <t>vodokotlić 33/100, ugraditi vodonepropusno.</t>
  </si>
  <si>
    <t xml:space="preserve">Horizontalna odvodnja </t>
  </si>
  <si>
    <t>Dobava, izvedba i montaža visećih krovnih žljebova polukružne izvedbe, debljina 0,70 mm, boja standardna, s potrebnim kukama iz alu legure otporne na savijanje i zaokretanje, pričvrstiti na svakoj roženici ili pogodnoj strešnoj dasci, dodatak sredstva za brtvljenje i lijepljenje, te odgovarajućih  alu patentnih zakovica (poštivati propise proizvođača!), stručno montirati u padu, uklj. upuštanje žljebnih kuka. RŠ 33.</t>
  </si>
  <si>
    <t>viseći žljebovi</t>
  </si>
  <si>
    <t xml:space="preserve">Razni opšavi </t>
  </si>
  <si>
    <t>LIMARSKI RADOVI UKUPNO:</t>
  </si>
  <si>
    <t xml:space="preserve">
</t>
  </si>
  <si>
    <t>B. OBRTNIČKI RADOVI / B.II.1. VANJSKA ALU STOLARIJA (ZAJEDNIČKIH PROSTORIJA)</t>
  </si>
  <si>
    <r>
      <t xml:space="preserve">Sve radove izvođač mora izvoditi prema troškovniku i izvedbenoj projektnoj dokumentaciji, solidno i stručno, prema pravilima dobrog zanata i mjerama uzetima na licu mjesta, </t>
    </r>
    <r>
      <rPr>
        <i/>
        <sz val="9"/>
        <rFont val="Calibri"/>
        <family val="2"/>
        <charset val="238"/>
      </rPr>
      <t>Pravilniku o ocjenjivanju sukladnosti, ispravama o sukladnosti i označavanju građevinskih proizvoda (NN 103/08, 147/09, 87/10, 129/11), Pravilniku o tehničkim mjerama i uvjetima za završne radove u zgradarstvu (Sl.list br. 21/90),</t>
    </r>
    <r>
      <rPr>
        <sz val="9"/>
        <rFont val="Calibri"/>
        <family val="2"/>
        <charset val="238"/>
      </rPr>
      <t xml:space="preserve"> </t>
    </r>
    <r>
      <rPr>
        <i/>
        <sz val="9"/>
        <rFont val="Calibri"/>
        <family val="2"/>
        <charset val="238"/>
      </rPr>
      <t>Tehničkom propisu o racionalnoj upotrebi energije i toplinskoj zaštiti u zgradama (NN 125/18, 70/18,73/18)</t>
    </r>
    <r>
      <rPr>
        <sz val="9"/>
        <rFont val="Calibri"/>
        <family val="2"/>
        <charset val="238"/>
      </rPr>
      <t xml:space="preserve"> sa pripadajućim normama, </t>
    </r>
    <r>
      <rPr>
        <i/>
        <sz val="9"/>
        <rFont val="Calibri"/>
        <family val="2"/>
        <charset val="238"/>
      </rPr>
      <t>Tehničkom propis o građevnim proizvodima (NN 35/18),</t>
    </r>
    <r>
      <rPr>
        <sz val="9"/>
        <rFont val="Calibri"/>
        <family val="2"/>
        <charset val="238"/>
      </rPr>
      <t xml:space="preserve"> prema </t>
    </r>
    <r>
      <rPr>
        <i/>
        <sz val="9"/>
        <rFont val="Calibri"/>
        <family val="2"/>
        <charset val="238"/>
      </rPr>
      <t>Tehničkim propisima za prozore i vrata (NN 69/06)</t>
    </r>
    <r>
      <rPr>
        <sz val="9"/>
        <rFont val="Calibri"/>
        <family val="2"/>
        <charset val="238"/>
      </rPr>
      <t xml:space="preserve"> sa pripadajućim normama i ostalim normama prema Odluci o popisu normi bitnih za primjenu Tehničkog propisa za prozore i vrata, te svim ostalim tehničkim propisima, priznatim tehničkim pravilima i HR normama, ili jednakovrijedno __________________, a osobito:</t>
    </r>
  </si>
  <si>
    <t xml:space="preserve">Ukoliko ne postoje adekvatni standardi za materijale koji se ugrađuju, obavezno je pribaviti odgovarajući atest kao dokaz kvalitete.
</t>
  </si>
  <si>
    <t xml:space="preserve">Prije pristupanju izvođenju radova izvoditelj je dužan izvršiti detaljan pregled svih stolarskih elemenata, prozora i vrata koji se mijenjaju. Stolarski elementi ili njihovi dijelovi, kao i pripadajući okov, koji su oštećeni, moraju se zamijeniti novima. Pri izradi novog elementa, u jediničnu cijenu uračunat je gotov stolarski element sa pripadajućim okovom i ugradnjom na građevinu. </t>
  </si>
  <si>
    <t>Radovi uključuju izradu, dobavu i montažu do potpune gotovosti ugrađenih prozora ili vrata. Brtvljenje i spajanje prema sistemskim rješenjima propisanim od proizvođača sistema. Sav potreban okov za otvaranje mora biti izrađen izrađen od INOX-a satinirane završne obrade. Odabrani okov prilagoditi težini i geometriji krila, tako da nesmetano zadovoljava funkciju otvaranja (otklopni, zaokretni ili zaokretno otklopni). U cijenu stavaka uključeno je i staklo.</t>
  </si>
  <si>
    <t>Sve mjere i količine obavezno provjeriti na licu mjesta prije izrade stolarije.</t>
  </si>
  <si>
    <t>Prozori i vrata ugrađuju se u građevinski pripremljen i obrađen otvor u AB zidu, zidu od blok opeke ili krovne konstrukcije pomoću vijaka primjerenih za ovakvu vrstu montaže. U cijenu je uključen sav potreban rubni opšav, RAL ugradnja (vanjski i unutarnji), vanjska hidroizolacija – paropropusna folija (obuhvaćena u limarskim radovima - prozorske klupčice), unutarnja - paronepropusna folija (parna brana), toplinska izolacija te sav pričvrsni pribor. Kod ugradnje stolarije potrebno je obraditi i toplinski izolirati špalete otvora sa slojem toplinske izolacije minimalno 2 cm, ako u opisu stavke nije naznačena veća debljina TI. Obaveza je izvođača prilikom montaže onemogućiti bilo kakvu pojavu toplinskog mosta, radove izvoditi prema priloženim detaljima, pričvršćenja u otvor osnovne konstrukcije kao i prethodno opisani način zaštite od prodora vodene pare iz unutrašnjosti u konstrukciju te atmosferskih utjecaja izvana - sve to prema smjernicama i uputama za RAL-ugradnju.</t>
  </si>
  <si>
    <t xml:space="preserve">Sve stavke opisane su zidarskom mjerom. Prije izvedbe sve mjere kontrolirati u naravi. </t>
  </si>
  <si>
    <t xml:space="preserve">Na spoju raznih kvaliteta lima izvesti potrebno galvansko razdvajanje. Izvedba razdvajanja mora biti otporna i postojana na atmosferilije i smrzavanje.
</t>
  </si>
  <si>
    <t>Jedinična cijena uključuje uzimanje mjera na gradilištu i definiranje ugradbenih dimenzija, tehnološku razradu svih detalja, izradu radioničkih nacrta, sav spojni materijal, sidrene ploče, mort za podlijevanje ležaja, zaštitu od korozije, postavu i skidanje radne skele, striktnu primjenu mjera zaštite od požara, sve posredne i neposredne troškove za rad, materijal, alat i građevinske strojeve, sve transporte, čišćenje tokom rada, odvoz i zbrinjavanje smeća, završno čišćenje prije primopredaje radova, nadoknadu eventualne štete nastale iz nepažnje na svojim ili tuđim radovima.</t>
  </si>
  <si>
    <t>Prozor ZP1</t>
  </si>
  <si>
    <t xml:space="preserve">Izrada, doprema i ugradnja trodijelnog aluminijskog prozora koji se sastoji od dva otklopno zaokretna krila i jednog fiksnog krila u građevinskom otvoru 360x96 cm: </t>
  </si>
  <si>
    <t xml:space="preserve"> donji horizontalni slijepi proﬁl 5x3 cm za ispravan spoj vanjske klupčice,</t>
  </si>
  <si>
    <t>unutarnja klupčica, vanjska opisana u limarskim radovima,</t>
  </si>
  <si>
    <t xml:space="preserve">ukupni koeﬁcijent prolaska topline cijelog prozora UW ≤ 1,22 W/m2K, </t>
  </si>
  <si>
    <t xml:space="preserve">ostakljenje: dvostruko IZO staklo 4/16Ar/c4, ispuna argonom, s jednim staklom niske emisije, s proračunskim dokazom koef. prolaska topline Ug ≤ 1,10 W/m2K, faktor gꞱ= 0,64,   </t>
  </si>
  <si>
    <t>rubni opšav (vanjski i unutarnji) - RAL ugradnja: vanjska hidroizolacija -paropropusna folija i unutarnja - paronepropusna (parna brana); ili brtvena ekspandirajuća traka.</t>
  </si>
  <si>
    <t>U cijenu stavke uračunato je uzimanje mjera na licu mjesta, dobava i ugradnja. Obračun po komadu.</t>
  </si>
  <si>
    <t>Izvesti prema shemi stolarije</t>
  </si>
  <si>
    <t>Prozor ZP2</t>
  </si>
  <si>
    <t xml:space="preserve">Izrada, doprema i ugradnja trodijelnog aluminijskog prozora koji se sastoji od dva otklopno zaokretna krila i jednog finsknog krila u građevinskom otvoru 300x96 cm: </t>
  </si>
  <si>
    <t>Prozor ZP3</t>
  </si>
  <si>
    <t xml:space="preserve">Izrada, doprema i ugradnja dvodijelnog dvokrilnog alu prozora koji se sastoji od dva otklopno zaokretna krila u građevinskom otvoru 275x168 cm: </t>
  </si>
  <si>
    <t>vanjska aluminijska eslinger roleta  s izoliranom kutijom za rolete i komarnikom U &lt; 0,6 W/m²K</t>
  </si>
  <si>
    <t>Prozor ZP4</t>
  </si>
  <si>
    <t xml:space="preserve">Izrada, doprema i ugradnja jednoodijelnog aluminijskog prozora koji se sastoji od jednog otklopno zaokretnog krila u građevinskom otvoru 170x168 cm: </t>
  </si>
  <si>
    <t>Prozor ZP5</t>
  </si>
  <si>
    <t xml:space="preserve">Izrada, doprema i ugradnja trodijelnog aluminijskog prozora koji se sastoji od dva polja s fiksnom rešetkom i jednog polja s fiksnim ostaljenjem u građevinskom otvoru 300 x 60 cm: </t>
  </si>
  <si>
    <t>rubni opšav (vanjski i unutarnji) - RAL ugradnja: vanjska hidroizolacija-paropropusna folija i unutarnja-paronepropusna (parna brana); ili brtvena ekspandirajuća traka.</t>
  </si>
  <si>
    <t>Prozor ZP6</t>
  </si>
  <si>
    <t xml:space="preserve">Izrada, doprema i ugradnja jednoodijelnog aluminijskog prozora koji se sastoji od jednog otklopno zaokretnog krila u građevinskom otvoru 100x110 cm: </t>
  </si>
  <si>
    <t>Ostakljena ulazna stijena ZV1</t>
  </si>
  <si>
    <t xml:space="preserve">Izrada, doprema i ugradnja četverodijelne ostakljene aluminijske stijene koja se sastoji od ostakljenih dvokrilnih zaokretnih vrata i tri fiksna ostakljena polja u građevinskom otvoru 335x250 cm: </t>
  </si>
  <si>
    <t>komplet okov za dvokrilna vrata, cilindrična brava, gornji hidraulični zatvarač s polugom, graničnik fikser</t>
  </si>
  <si>
    <t xml:space="preserve">ostakljenje: dvostruko laminirano IZO staklo 3+3/16Ar/c4, ispuna argonom, s jednim staklom niske emisije, s proračunskim dokazom koef. prolaska topline Ug ≤ 1,10 W/m2K, faktor gꞱ= 0,65,   </t>
  </si>
  <si>
    <t>Sporedna ulazna vrata  ZV2</t>
  </si>
  <si>
    <t xml:space="preserve">Izrada, doprema i ugradnja dvodijelne ostakljene aluminijske stijene koja se sastoji od ostakljenih dvokrilnih zaokretnih vrata i jednog fiksnog ostakljenog polja u građevinskom otvoru 154x260 cm: </t>
  </si>
  <si>
    <t>9.</t>
  </si>
  <si>
    <t>Sporedna ulazna vrata ZV3</t>
  </si>
  <si>
    <t xml:space="preserve">Izrada, doprema i ugradnja peterodijelne aluminijske stijene koja se sastoji od dva otklopna prozora u gornjem dijelu i fiksnog ostakljenog polja, te dvokrilnih vrata i fiksnog polja s ispunom alu panelom s PU izolacijom u donjem dijelu u građevinskom otvoru 271x310 cm: </t>
  </si>
  <si>
    <t xml:space="preserve">ukupni koeﬁcijent prolaska topline cijele stijene UW ≤ 1,22 W/m2K, </t>
  </si>
  <si>
    <t>puni panel ispune od alu lima s PU izolacijom, koeficijent prolaska topline panela Up ≤ 0,30 W/m2K</t>
  </si>
  <si>
    <t>10.</t>
  </si>
  <si>
    <t>Ostakljena vrata ZV4</t>
  </si>
  <si>
    <t xml:space="preserve">Izrada, doprema i ugradnja dvodijelne ostakljene aluminijske stijene koja se sastoji od ostakljenih jednokrilnih zaokretnih vrata i jednog fiksnog ostakljenog polja u građevinskom otvoru 135,5x260 cm: </t>
  </si>
  <si>
    <t>11.</t>
  </si>
  <si>
    <t>Vrata ZV5</t>
  </si>
  <si>
    <t xml:space="preserve">Izrada, doprema i ugradnja punih vanjskih aluminijskih vrata koja se sastoje od jednokrilnih zaokretnih vrata i fiksne ventilacijske rešetke iznad vrata, u građevinskom otvoru 100x260 cm: </t>
  </si>
  <si>
    <t>komplet okov za jednokrilna vrata,  cilindrična brava</t>
  </si>
  <si>
    <t>12.</t>
  </si>
  <si>
    <t>Vrata  ZV6</t>
  </si>
  <si>
    <t xml:space="preserve">Izrada, doprema i ugradnja punih vanjskih aluminijskih vrata koja se sastoje od jednokrilnih zaokretnih vrata, u građevinskom otvoru 100x140 cm: </t>
  </si>
  <si>
    <t>VANJSKA ALU STOLARIJA (ZAJEDNIČKIH PROSTORIJA) UKUPNO:</t>
  </si>
  <si>
    <t xml:space="preserve">B. OBRTNIČKI RADOVI / B.III. VANJSKA BRAVARIJA </t>
  </si>
  <si>
    <t>VANJSKA BRAVARIJA</t>
  </si>
  <si>
    <r>
      <t xml:space="preserve">Sve radove izvođač mora izvoditi prema troškovniku i izvedbenoj projektnoj dokumentaciji, solidno i stručno, prema pravilima dobrog zanata i mjerama uzetima na licu mjesta, </t>
    </r>
    <r>
      <rPr>
        <i/>
        <sz val="9"/>
        <rFont val="Calibri"/>
        <family val="2"/>
        <charset val="238"/>
      </rPr>
      <t>Pravilniku o ocjenjivanju sukladnosti, ispravama o sukladnosti i označavanju građevinskih proizvoda (NN 103/08, 147/09, 87/10, 129/11)</t>
    </r>
    <r>
      <rPr>
        <sz val="9"/>
        <rFont val="Calibri"/>
        <family val="2"/>
        <charset val="238"/>
      </rPr>
      <t xml:space="preserve">, </t>
    </r>
    <r>
      <rPr>
        <i/>
        <sz val="9"/>
        <rFont val="Calibri"/>
        <family val="2"/>
        <charset val="238"/>
      </rPr>
      <t>Pravilniku o tehničkim mjerama i uvjetima za završne radove u zgradarstvu (Sl.list br. 21/90)</t>
    </r>
    <r>
      <rPr>
        <sz val="9"/>
        <rFont val="Calibri"/>
        <family val="2"/>
        <charset val="238"/>
      </rPr>
      <t xml:space="preserve">, </t>
    </r>
    <r>
      <rPr>
        <i/>
        <sz val="9"/>
        <rFont val="Calibri"/>
        <family val="2"/>
        <charset val="238"/>
      </rPr>
      <t>Tehničkom propisu o racionalnoj upotrebi energije i toplinskoj zaštiti u zgradama (NN 97/14, 130/14)</t>
    </r>
    <r>
      <rPr>
        <sz val="9"/>
        <rFont val="Calibri"/>
        <family val="2"/>
        <charset val="238"/>
      </rPr>
      <t xml:space="preserve"> s pripadajućim normama, </t>
    </r>
    <r>
      <rPr>
        <i/>
        <sz val="9"/>
        <rFont val="Calibri"/>
        <family val="2"/>
        <charset val="238"/>
      </rPr>
      <t>Tehničkom propis o građevnim proizvodima (NN 33/10, 87/10, 146/10, 81/11, 100/11, 130/12, 81/13),</t>
    </r>
    <r>
      <rPr>
        <sz val="9"/>
        <rFont val="Calibri"/>
        <family val="2"/>
        <charset val="238"/>
      </rPr>
      <t xml:space="preserve"> prema </t>
    </r>
    <r>
      <rPr>
        <i/>
        <sz val="9"/>
        <rFont val="Calibri"/>
        <family val="2"/>
        <charset val="238"/>
      </rPr>
      <t>Tehničkim propisima za prozore i vrata (NN 69/06)</t>
    </r>
    <r>
      <rPr>
        <sz val="9"/>
        <rFont val="Calibri"/>
        <family val="2"/>
        <charset val="238"/>
      </rPr>
      <t xml:space="preserve"> sa pripadajućim noramama i ostalim normama prema Odluci o popisu normi bitnih za primjenu Tehničkog propisa za prozore i vrata, te svim ostalim tehničkim propisima, priznatim tehničkim pravilima i HR normama, a osobito:</t>
    </r>
  </si>
  <si>
    <t xml:space="preserve">HRN EN 14351-1:2006, prozori i vrata - norma za proizvod, izvedbene značajke
HRN EN 12207:2001, prozori i vrata - propusnost zraka
HRN EN 12208:2001, prozori i vrata - vodonepropusnost 
HRN EN 12210:2001+AC:2005, prozori i vrata - otpornost na opterećenje vjetrom
HRN EN ISO 140-3, akustika - mjerenje razine zvuka u zgradama i elementima zgrada
HRN EN ISO 717-1, akustika - određivanje razine zvuka u zgradama
HRN EN 410:1998, staklo u graditeljstvu - određivanje svjetlosnih i sunčanih značajka ostakljenja
HRN EN 572-9:2005, staklo u graditeljstvu - proizvodi od osnovnog natrij-kalcij-silikatnog stakla
HRN D.E1.012, vanjska stolarija
HRN D.E8.193. i 235., vodonepropusnost i hermetičnost
</t>
  </si>
  <si>
    <t xml:space="preserve">Prije pristupanju izvođenju radova izvoditelj je dužan izvršiti detaljan pregled svih bravarskih elemenata, prozora i vrata koji se mijenjaju. Bravarski elementi ili njihovi dijelovi, kao i pripadajući okov, koji su oštećeni, moraju se zamijeniti novima. Pri izradi novog elementa, u jediničnu cijenu uračunat je gotov bravarski element sa pripadajućim okovom i ugradnjom na građevinu. </t>
  </si>
  <si>
    <t>Radovi uključuju izradu, dobavu i montažu do potpune gotovosti al. prozora ili vrata od profila sa ili bez prekinutog termičkog mosta, eloksirani ili termolakirani prema RAL ton karti u boji po odabiru projektanta. Brtvljenje i spajanje prema sistemskim rješenjima propisanim od proizvođača sistema. Sav potreban okov za otvaranje potrebno je da je izrađen od INOX-a ili plastificiran u boji profila (prema rješenju projektanata). Odabrani okov prilagoditi težini i geometriji krila, tako da nesmetano zadovoljava funkciju otvaranja (otklopni, zaokretni ili zaokretno otklopni). U cijenu stavaka uključeno je i staklo.</t>
  </si>
  <si>
    <t>Sve mjere obavezno je provjeriti na licu mjesta prije izrade bravarije.</t>
  </si>
  <si>
    <t>Prozori i vrata ugrađuju se u građevinski pripremljeni i obrađeni otvor u AB zidu ili zidu od blok opeka pomoću vijaka primjerenih za ovakvu vrstu montaže. U cijenu je uključen sav potreban rubni opšav (vanjski i unutarnji), vanjska vodonepropusna – paropropusna folija, kamena vuna te sav pričvrsni pribor.</t>
  </si>
  <si>
    <r>
      <t>U cijenu također treba biti uključena i izrada vanjske al. klupčice od al. lima deb. 1mm, na potkonstrukciji, završno obrađene eloksažom ili plastifikacijom, prema izboru projektanta, sav ostali pomoćni i spojni materijal i sva potrebna podešavanja i prilagođavanja,</t>
    </r>
    <r>
      <rPr>
        <b/>
        <sz val="9"/>
        <rFont val="Calibri"/>
        <family val="2"/>
        <charset val="238"/>
      </rPr>
      <t xml:space="preserve"> </t>
    </r>
    <r>
      <rPr>
        <sz val="9"/>
        <rFont val="Calibri"/>
        <family val="2"/>
        <charset val="238"/>
      </rPr>
      <t>osim ako stavkom nije opisano drugačije odnosno ako to nije zasebno opisano u limarskim radovima. U cijenu također treba biti uključena i izrada unutarnje al. klupčice od eloksiranog ili plastificiranog al. lima deb. 1 mm, na potkonstrukciji, završna obrada: u natur boji alu. ili termolakiranje prema RAL ton karti-prema odabiru projektanta, osim ako stavkom nije opisano drugačije odnosno ako to nije zasebno opisano u limarskim radovima. U cijenu također treba biti uključena i izrada unutrašnjih gipskartonskih špaleta, osim ako to nije opisano zasebno.</t>
    </r>
  </si>
  <si>
    <t>Zidarska mjera je razmak konstruktivnih elemenata. Modularna mjera je razmak modularnih ravnina koji je manji od zidarske mjere. Stolarska mjera je stvarna vanjska mjera stolarskog elementa koja treba biti manja od modularne mjere. Svjetla stolarska mjera koristi se kod vrata i označava čisti razmak između dovratnika, odnosno poda i nadvratnika. Razlika između zidarske i modularne mjere kod mokre gradnje treba biti 1 – 2 cm, a kod montažne može biti i 0,5. Razlika između modularne i stolarske mjere treba biti od 0,3 do 1 cm. Stvake su opisane zidarskim (građevinskim) mjerama.</t>
  </si>
  <si>
    <t xml:space="preserve">Zaokretna vrata ili prozorsko krilo je lijevo ako je okovano s lijeve strane, odnosno ako se otvara u smjeru negativne rotacije (kazaljke na satu). Bravarski elementi se izrađuju prema shemama i detaljima, te u dogovoru s projektantom i nadzornim inženjerom, a označavaju brojem troškovničke stavke.
</t>
  </si>
  <si>
    <t xml:space="preserve">Svi dijelovi konstrukcije i elementi pojedinih pozicija moraju biti proračunati i dimenzionirani tako da sigurno prihvaćaju opterećenja posebice vjetra (tlak, usis) i drugih atmosferskih utjecaja. Sile koje se javljaju u elementima i fasadi u cjelini moraju se prenijeti na monolitni dio zgrade, dok se deformacije i opterećenja (sile) sa zgrade ne smiju nikako prenositi na fasadu i/ili njene elemente.
</t>
  </si>
  <si>
    <t>Izrada čelične balkonske ograde</t>
  </si>
  <si>
    <t>Izrada nove ograde se vrši zbog nezadovoljavajuće, premale visine postojeće ograde i usklađivanja jednoobraznosti pročelja. Ograda se montira nakon izvedbe ETICS sustava na pročelju zgrade.</t>
  </si>
  <si>
    <r>
      <t xml:space="preserve">Dobava i ugradnja ograde U tlocrtnog oblika koja se sastoji od gornje i donje pojasnice od šupljih čeličnih kvadratnih profila dim. 50/50/5 mm i šest vertikalnih nosača od punih čeličnih šipki </t>
    </r>
    <r>
      <rPr>
        <sz val="9"/>
        <rFont val="GreekC"/>
        <charset val="238"/>
      </rPr>
      <t>∅</t>
    </r>
    <r>
      <rPr>
        <sz val="9"/>
        <rFont val="Calibri"/>
        <family val="2"/>
        <charset val="238"/>
      </rPr>
      <t>25 mm. Ukupna duljina ograde iznosi 650 cm, a visina 100 cm iznad kote gotovog poda balkona. Vertikalni nosači (čelične šipke) preko sidrenih ploča usidreni su u betonsku ogradu balkona s unutrašnje strane. Pojasnice i vertikalni nosači međusobno su spojeni varenjem. Gornja pojasnica sidrena je u nosivi dio zida.
Stavka se isporučuje obrađena vrućim cinčanjem, te temeljnom i završnom zaštitnom bojom za metal koje se nanose nakon ugradnje. Sve u crnoj boji, prema shemi bravarske stavke.</t>
    </r>
  </si>
  <si>
    <t>U stavku uključeno brtvljenje prodora kroz ETICS sustav trajnoelastičnim PU kitom.
Uključen sav transport i zbrinjavanje otpada. 
Obračun po komadu ugrađene nove bravarske stavke.</t>
  </si>
  <si>
    <t>Bilokakva ugradnja prije odobrenja uzorka, boje i radioničke dokumentacije, nije dozvoljena.</t>
  </si>
  <si>
    <t>Prije izrade sve mjere i količine kontolirati u naravi!</t>
  </si>
  <si>
    <t>Izvesti prema shemi bravarije (st. BR 1)!</t>
  </si>
  <si>
    <t>BR 1</t>
  </si>
  <si>
    <t>VANJSKA BRAVARIJA UKUPNO:</t>
  </si>
  <si>
    <t>B. OBRTNIČKI RADOVI / B.II.2. VANJSKA STOLARIJA (STAMBENIH PROSTORIJA)</t>
  </si>
  <si>
    <t>VANJSKA  STOLARIJA (STAMBENIH PROSTORIJA)</t>
  </si>
  <si>
    <t>Ostakljena stijena - S1</t>
  </si>
  <si>
    <t xml:space="preserve">Izrada, doprema i ugradnja peterodijelne ostakljene PVC stijene koja se sastoji od balkonskih vrata s jednim otklopno zaokretnim krilom, jednokrilnog prozora s otklopno zaokretnim krilom i tri fiksna polja u građevinskom otvoru 335x265 cm: </t>
  </si>
  <si>
    <t xml:space="preserve">ukupni koeﬁcijent prolaska topline cijele stijene UW ≤ 1,20 W/m2K, </t>
  </si>
  <si>
    <r>
      <t>eslinger roleta s izoliranom kutijom za rolete i komarnikom U &lt; 0,6 W/m</t>
    </r>
    <r>
      <rPr>
        <sz val="9"/>
        <rFont val="Calibri"/>
        <family val="2"/>
        <charset val="238"/>
      </rPr>
      <t>²</t>
    </r>
    <r>
      <rPr>
        <sz val="11.25"/>
        <rFont val="Calibri"/>
        <family val="2"/>
      </rPr>
      <t>K</t>
    </r>
  </si>
  <si>
    <t xml:space="preserve">Izvesti prema shemi stolarije </t>
  </si>
  <si>
    <t>Ostakljena stijena - S2</t>
  </si>
  <si>
    <t>Ostakljena stijena - S3</t>
  </si>
  <si>
    <t xml:space="preserve">Izrada, doprema i ugradnja troodijelne ostakljene PVC stijene koja se sastoji od balkonskih vrata s jednim otklopno zaokretnim krilom, jednokrilnog prozora s otklopno zaokretnim krilom i jednog fiksnog polja u građevinskom otvoru 87,5x265 + 260x168 cm: </t>
  </si>
  <si>
    <t>Ostakljena stijena - S4</t>
  </si>
  <si>
    <t xml:space="preserve">Izrada, doprema i ugradnja dvodijelne ostakljene PVC stijene koja se sastoji od balkonskih vrata s jednim otklopno zaokretnim krilom  i fiksnog ostakljenja u građevinskom otvoru 150x265 cm:  </t>
  </si>
  <si>
    <t>Ostakljena stijena - S5</t>
  </si>
  <si>
    <t xml:space="preserve">Izrada, doprema i ugradnja dvodijelne ostakljene PVC stijene koja se sastoji od balkonskih vrata s jednim otklopno zaokretnim krilom  i fiksnog ostakljenja u građevinskom otvoru 140x265 cm:  </t>
  </si>
  <si>
    <t>Prozor P1</t>
  </si>
  <si>
    <t xml:space="preserve">Izrada, doprema i ugradnja trodijelnog PVC prozora koji se sastoje od dva otklopno zaokretna prozora i dvokrilnog zaokretnog u građevinskom otvoru 360 x 168 cm: </t>
  </si>
  <si>
    <t xml:space="preserve">ukupni koeﬁcijent prolaska topline cijelog prozora UW ≤ 1,20 W/m2K, </t>
  </si>
  <si>
    <t>Prozor P2</t>
  </si>
  <si>
    <t xml:space="preserve">Izrada, doprema i ugradnja trodijelnog PVC prozora koji se sastoje od dva otklopno zaokretna prozora i dvokrilnog zaokretnog u građevinskom otvoru 347,5 x 168 cm: </t>
  </si>
  <si>
    <t>Prozor P3</t>
  </si>
  <si>
    <t xml:space="preserve">Izrada, doprema i ugradnja trodijelnog PVC prozora koji se sastoji od tri otklopno zaokretna prozora  u građevinskom otvoru 287,5x168 cm: </t>
  </si>
  <si>
    <t>Prozor P3a</t>
  </si>
  <si>
    <t xml:space="preserve">Izrada, doprema i ugradnja jednodijelnog dvokrilnog zaokretno otklopnog PVC prozora u građevinskom otvoru 200x168 cm: </t>
  </si>
  <si>
    <t>Prozor P3b</t>
  </si>
  <si>
    <t xml:space="preserve">Izrada, doprema i ugradnja trodijelnog PVC prozora koji se sastoji od tri otklopno zaokretna prozora  u građevinskom otvoru 275x168 cm: </t>
  </si>
  <si>
    <t>Prozor P4</t>
  </si>
  <si>
    <t xml:space="preserve">Izrada, doprema i ugradnja dvodijelnog PVC prozora koji se sastoji od dva otklopno zaokretnog krila u građevinskom otvoru 275x168 cm: </t>
  </si>
  <si>
    <t>Prozor P5</t>
  </si>
  <si>
    <t xml:space="preserve">Izrada, doprema i ugradnja jednodijelnog PVC prozora koji se sastoji od otklopno zaokretnog krila u građevinskom otvoru 120x168 cm: </t>
  </si>
  <si>
    <t>13.</t>
  </si>
  <si>
    <t>Prozor P5a</t>
  </si>
  <si>
    <t xml:space="preserve">Izrada, doprema i ugradnja jednodijelnog PVC prozora koji se sastoji od otklopno zaokretnog krila u građevinskom otvoru 145x168 cm: </t>
  </si>
  <si>
    <t>14.</t>
  </si>
  <si>
    <t>Prozor P6</t>
  </si>
  <si>
    <t xml:space="preserve">Izrada, doprema i ugradnja jednodijelnog PVC prozora koji se sastoji od otklopno zaokretnog krila u građevinskom otvoru 60x168 cm: </t>
  </si>
  <si>
    <t>15.</t>
  </si>
  <si>
    <t>Prozor P7</t>
  </si>
  <si>
    <t>16.</t>
  </si>
  <si>
    <t>Prozor P8</t>
  </si>
  <si>
    <t xml:space="preserve">Izrada, doprema i ugradnja jednodijelnog PVC prozora koji se sastoji od otklopno zaokretnog krila u građevinskom otvoru 50x168 cm: </t>
  </si>
  <si>
    <t>17.</t>
  </si>
  <si>
    <t>Garažna vrata V1</t>
  </si>
  <si>
    <t xml:space="preserve">Izrada, doprema i ugradnja četverodjelne ALU stijene koja se sastoji od podiznih garažnih vrata, dva otklopna prozorska krila i jednog fiksnog dijela u građevinskom otvoru 260x320 cm: </t>
  </si>
  <si>
    <t xml:space="preserve">ukupni koeﬁcijent prolaska topline UW ≤ 2,00 W/m2K, </t>
  </si>
  <si>
    <t>VANJSKA STOLARIJA UKUPNO (STAMBENIH PROSTORIJA) :</t>
  </si>
  <si>
    <t xml:space="preserve">B. OBRTNIČKI RADOVI / B.III. ZAVRŠNI ZIDARSKO - FASADERSKI RADOVI </t>
  </si>
  <si>
    <t xml:space="preserve">ZAVRŠNI ZIDARSKO - FASADERSKI RADOVI 
</t>
  </si>
  <si>
    <r>
      <t xml:space="preserve">Sve radove izvođač mora izvoditi prema troškovniku i izvedbenoj projektnoj dokumentaciji, solidno i stručno, prema pravilima dobrog zanata, </t>
    </r>
    <r>
      <rPr>
        <i/>
        <sz val="9"/>
        <rFont val="Calibri"/>
        <family val="2"/>
        <charset val="238"/>
      </rPr>
      <t>Zakonu o građevni proizvodima (NN 76/13,30/14, 130/17)</t>
    </r>
    <r>
      <rPr>
        <sz val="9"/>
        <rFont val="Calibri"/>
        <family val="2"/>
        <charset val="238"/>
      </rPr>
      <t xml:space="preserve">, </t>
    </r>
    <r>
      <rPr>
        <i/>
        <sz val="9"/>
        <rFont val="Calibri"/>
        <family val="2"/>
        <charset val="238"/>
      </rPr>
      <t>Tehničkim propisima za građevinske konstrukcije (NN 17/17)</t>
    </r>
    <r>
      <rPr>
        <sz val="9"/>
        <rFont val="Calibri"/>
        <family val="2"/>
        <charset val="238"/>
      </rPr>
      <t xml:space="preserve">, </t>
    </r>
    <r>
      <rPr>
        <i/>
        <sz val="9"/>
        <rFont val="Calibri"/>
        <family val="2"/>
        <charset val="238"/>
      </rPr>
      <t>Pravilniku o ocjenjivanju sukladnosti, ispravama o sukladnosti i označavanju građevinskih proizvoda (NN 103/08, 147/09, 87/10, 129/11), Pravilniku o tehničkim mjerama i uvjetima za završne radove u zgradarstvu (Sl.list br. 21/90)</t>
    </r>
    <r>
      <rPr>
        <sz val="9"/>
        <rFont val="Calibri"/>
        <family val="2"/>
        <charset val="238"/>
      </rPr>
      <t xml:space="preserve">, </t>
    </r>
    <r>
      <rPr>
        <i/>
        <sz val="9"/>
        <rFont val="Calibri"/>
        <family val="2"/>
        <charset val="238"/>
      </rPr>
      <t>Tehničkom propisu o racionalnoj upotrebi energije i toplinskoj zaštiti u zgradama (NN 128/15, 70/18, 73/18-ispravak, 86/18-ispravak)</t>
    </r>
    <r>
      <rPr>
        <sz val="9"/>
        <rFont val="Calibri"/>
        <family val="2"/>
        <charset val="238"/>
      </rPr>
      <t xml:space="preserve"> s pripadajućim normama, </t>
    </r>
    <r>
      <rPr>
        <i/>
        <sz val="9"/>
        <rFont val="Calibri"/>
        <family val="2"/>
        <charset val="238"/>
      </rPr>
      <t>Tehničkom propis o građevnim proizvodima (NN 35/18),</t>
    </r>
    <r>
      <rPr>
        <sz val="9"/>
        <rFont val="Calibri"/>
        <family val="2"/>
        <charset val="238"/>
      </rPr>
      <t xml:space="preserve"> te svim ostalim hrvatskim i europskim tehničkim propisima i normama i priznatim tehničkim pravilima, ili jednakovrijedno __________________, a osobito :</t>
    </r>
  </si>
  <si>
    <t>Izvoditelj je dužan osigurati i zaštititi sve dijelove građevine na kojima se izvode radovi, radi sprečavanja oštećenja tijekom izvedbe. Pojava svih oštećenja na dijelovima na kojima se ne izvode radovi ili koji su nastupili nepažnjom izvoditelja isti je dužan otkloniti o vlastitom trošku. Naročitu pažnju treba posvetiti zaštiti stolarije koju treba zaštititi PVC građevinskom folijom. Ta zaštita ulazi u jediničnu cijenu izvedbe pročelja zgrade.</t>
  </si>
  <si>
    <t>Sav rad, sve komunikacije i sav transport vrši se isključivo s vanjske strane građevine, tj. preko skele. Zidarsko-fasaderski radovi se izvode na dobro očišćenoj i otprašenoj površini zida te ih treba izvoditi samo u povoljnim vremenskim uvjetima, uz odgovarajuće osiguranje i zaštitu svježe ožbukanih površina od štetnog utjecaja djelovanja sunca i oborina. Sve detalje izvedbe na pročelju potrebno je dogovoriti i na njih ishoditi suglasnost nadzornog inženjera, a prije pristupanja izvedbi radova. Obračun svih radova vršit će se kako je to naznačeno u opisu stavke.</t>
  </si>
  <si>
    <t>Žbukati tek kada se zidovi osuše. Ne smije se žbukati kad postoji opasnost od smrzavanja ili ekstremno visokih temperatura 30° ili više. Zidovi moraju biti prije žbukanja čisti, a fuge udubljene da se žbuka može dobro primiti. Prije žbukanja zidove navlažiti, a osobito kod cementne žbuke/ morta. Ukoliko na zidovima izbija salitra – treba ih četkom očistiti i oprati rastvorom solne kiseline u vodi (omjer 1:10) o trošku izvođača i dodavati sredstvo protiv izbijanja salitre u mort. Prva faza žbukanja je bacanje grubog šprica (oštri pijesak, cement, voda) i to zidarskom žlicom, a ne tavom. Na grubi špric bacati grubu žbuku kojom se definira ravnina žbukane plohe. Fina žbuka služi samo za zaglađivanje površina. Treba je izraditi tako da površine budu posve ravne i glatke, a uglovi i bridovi, te spojevi zida i stropa izvedeni oštro ukoliko u troškovniku nije drugačije označeno. Rabiciranje žbuke izvodi se pomoću tekstilno staklene mrežice otporne na alkalije ili sitno pletene mreže od nehrđajućeg čelika. Točno izvedena žbuka je ona koja po horizontali i vertikali nema odstupanja veća od 1‰ u bilo kojem smjeru, za jednu etažu. Troškovi sanacije dijelova izvedenih van ovih kriterija padaju na teret izvođača radova.</t>
  </si>
  <si>
    <t>Mort za žbukanja mora odgovarati HRN U.M2.012 ili jednakovrijedno _____________________. Prije žbukanja sve zidne površine potrebno je očistiti i pošpricati rijetkim cementnim mortom u omjeru 1:1. Završne plohe zida moraju biti ravne, fine i jednolično zaglađene. Mort treba biti miješan u omjerima materijala kako je određeno projektom morta, a koji je dužan dostaviti izvođač. Navedenim projektom se mora postići projektirana marka morta. Sav pribor koji se koristi pri mješanju i transportu se treba održavati čistim. Nakon što se mort izvadi iz mješalice ne smije mu se dodavati nikakav materijal. Mort mora biti upotrebljen prije nego počne vezivanje. Mort mora imati plastičnu konzistenciju određenu normama za mort. Unaprijed pripremljeni mort treba rabiti u skladu s uputama proizvođača i prije kraja roka uporabe deklariranog od proizvođača.</t>
  </si>
  <si>
    <t>Ukoliko se izvodi ventilirano pročelje, radove treba uskladiti s radovima na izvedbi ventiliranog pročelja i ugradnjom prozora i vrata u sklopu istog ventiliranog pročelja (vidi odgovarajuće grupe radova). To se odnosi kako na izvedbu detalja spojeva i potkonstrukcije te brtvljenja i kitanja (odnosno obrada spojeva), tako i na vremensko usklađenje izvođenja radova (koordinacija izvođenja). Potrebno je koordinirati svoje aktivnosti sa ostalim sudionicima u projektu a prema terminskom planu.</t>
  </si>
  <si>
    <t>Zidarska pripomoć obrtnicima, instalaterima, nošenje izuzetno teških predmeta i pripomoć kod raznih ugradnji obračunava se u radnim satima, a u cijenu je uključen i sav potreban materijal za pripomoć (za krpanja, ugradnju i sl.).</t>
  </si>
  <si>
    <t>Prilikom izrade fasadnih skela potrebno se je pridržavati propisa zaštite na radu po pitanjima radnih ploha, zaštitnih ograda i prilaza. Materijal za izradu skela mora biti potpuno ispravan. Odgovorna osoba dužna je izvršiti pregled materijala prije ugradnje. Skele moraju biti izvedene po mjerama i na način označen u statičkom računu i nacrtima za skele. Izvedene skele moraju biti sposobne podnijeti predviđeno opterećenje i moraju biti stabilne. Fasadne skele obračunavaju se po m² projekcije skele u ravnini pročelja, mjereno po vanjskom rubu i 1 m′ nad najvišom površinom.</t>
  </si>
  <si>
    <t>Vanjski zidovi i stropovi, MV d =  18, 14, 8, 4 i 2 cm 
(vanjski zidovi nadzemnih etaža, zidovi kod terasa uključujući parapeti, zidovi, stupovi, greda i podgledi terasa, vanjski zid stubišta).</t>
  </si>
  <si>
    <t>U cijenu su uključeni svi potrebni profili za žbukanje i profili za pročelje, alu i/ili PVC kutnici (sa mrežicom), sokl profili, okapni profili na nadvojima otvora, ojačanja za rubove, otvore, uglove i dr., te brtvljenje spojeva pročelja i vanjske stolarije i bravarije brtvom Sd=0,50.</t>
  </si>
  <si>
    <t xml:space="preserve">Sve radove treba izvesti isključivo po uputama, koristeći materijale, alate i način izvođenja po tehnologiji proizvođača slojeva pročelja, prema gl. arhitektonskom projektu i detaljima, te projektu racionalne uporabe energije i toplinske zaštite.
</t>
  </si>
  <si>
    <t>Obračun toplinske izolacije i završne žbuke (armirana polimercementna žbuka, impregnacijski premaz i završna žbuka) je po m² izvedene površine, na sljedeći način:
Kod obračuna TI otvori se odbijaju u čitavoj površini. Toplinska izolacija špaleta debljine 4 cm obračunava se zasebno u m². Obračun završne žbuke (armirana polimercementna žbuka, impregnacijski premaz i završna žbuka) određen je prema građevinskoj normi i opisan je u općim uvjetima. 
U cijenu je uključeno isprobavanje uzorka boje žbuke prije odabira boje pročelja.</t>
  </si>
  <si>
    <t>1.1.</t>
  </si>
  <si>
    <t>Vanjski zidovi, parapeti i stropovi</t>
  </si>
  <si>
    <t>toplinska izolacija zidova i stropova pročelja (MV) d=18 cm</t>
  </si>
  <si>
    <t>toplinska izolacija zidova i stropova pročelja (MV) d=14 cm</t>
  </si>
  <si>
    <t>MV = 8 cm</t>
  </si>
  <si>
    <t>MV = 4 cm</t>
  </si>
  <si>
    <t>MV = 4 - 14 cm - čelo zida</t>
  </si>
  <si>
    <t>Završna žbuka</t>
  </si>
  <si>
    <t>završna žbuka</t>
  </si>
  <si>
    <t>završna žbuka dimnjaci</t>
  </si>
  <si>
    <t>špalete</t>
  </si>
  <si>
    <t>Polimer-cementna HI gornje plohe ETICS sustava na zidovima od porobetona - istake zidova</t>
  </si>
  <si>
    <t>Izvedba ETICS-a na vanjskim zidovima u podnožju zgrade, XPS 4, 8 i 14 cm.</t>
  </si>
  <si>
    <t>2.1</t>
  </si>
  <si>
    <t>U cijenu su uključeni svi potrebni profili i okapi, te brtvene fleksibilne polimerbitumenske trake na spoju dijela zida izoliranog XPS-om i dijela zida izoliranog mineralnom (kamenom) vunom. Izvesti prema projektu i detalju. 
U stavku je uključena izvedba probnih uzoraka boje na pročelju zgrade prije odabira završne nijanse boje. 
Ploče XPS-a su lijepljene na podlogu i mehanički učvršćene plastičnim pričvrsnicama sa širokim glavama, sve prema preporuci proizvođača. Minimalni broj pričvrsnica je 6, a maksimalni 12 kom/m². Izbor pričvrsnica i potrebni broj kom po m² je opisan u općim uvjetima.</t>
  </si>
  <si>
    <t>U cijenu su uključeni svi potrebni profili za žbukanje i profili za pročelje, alu i/ili PVC kutnici sa mrežicom, sokl profili, okapni profili na nadvojima otvora, ojačanja za rubove, otvore, uglove i dr., te priključni profil sa samoljepljivom brtvenom trakom i mrežicom na sudaru špaleta sa stolarskim stavkama. Sve izvesti prema priloženim detaljima.</t>
  </si>
  <si>
    <t>Sve radove treba izvesti isključivo po uputama, koristeći materijale, alate i način izvođenja po tehnologiji proizvođača slojeva pročelja, prema gl. arhitektonskom projektu i detaljima, te projektu racionalne uporabe energije i toplinske zaštite.</t>
  </si>
  <si>
    <t xml:space="preserve"> - XPS debljine 14 cm</t>
  </si>
  <si>
    <r>
      <t xml:space="preserve"> </t>
    </r>
    <r>
      <rPr>
        <b/>
        <sz val="9"/>
        <rFont val="Calibri"/>
        <family val="2"/>
        <charset val="238"/>
      </rPr>
      <t>- XPS debljine 4 cm</t>
    </r>
  </si>
  <si>
    <r>
      <t xml:space="preserve"> </t>
    </r>
    <r>
      <rPr>
        <b/>
        <sz val="9"/>
        <rFont val="Calibri"/>
        <family val="2"/>
        <charset val="238"/>
      </rPr>
      <t>- XPS debljine 8 cm</t>
    </r>
  </si>
  <si>
    <t>Završno čišćenje</t>
  </si>
  <si>
    <t>Završno fino čišćenje zgrade nakon dovršetka svih građevinsko-obrtničkih radova. Prilikom čišćenja paziti da se završna obrada ne ošteti.</t>
  </si>
  <si>
    <t>Napomena: višekratna čišćenja u tijeku gradnje ulaze u jedinične cijene svih sudionika na gradnji, ne ulaze u ovu stavku i ne obračunavaju se posebno.</t>
  </si>
  <si>
    <t>Odvoz smeća</t>
  </si>
  <si>
    <t>Uključivo svi troškovi prijevoza i komunalne naknade deponija. Izvodi se  po nalogu i odobrenju nadzornog inženjera.</t>
  </si>
  <si>
    <t>Napomena: višekratni odvozi smeća u tijeku gradnje ulaze u jedinične cijene svih sudionika na gradnji, ne ulaze u ovu stavku i ne obračunavaju se posebno.</t>
  </si>
  <si>
    <t>ZAVRŠNI ZIDARSKO - FASADERSKI RADOVI UKUPNO:</t>
  </si>
  <si>
    <t xml:space="preserve">B. OBRTNIČKI RADOVI / B.IV. VANJSKA BRAVARIJA </t>
  </si>
  <si>
    <t>Sve radove izvođač mora izvoditi prema troškovniku i izvedbenoj projektnoj dokumentaciji, solidno i stručno, prema pravilima dobrog zanata i mjerama uzetima na licu mjesta, Pravilniku o ocjenjivanju sukladnosti, ispravama o sukladnosti i označavanju građevinskih proizvoda (NN 103/08, 147/09, 87/10, 129/11), Pravilniku o tehničkim mjerama i uvjetima za završne radove u zgradarstvu (Sl.list br. 21/90), Tehničkom propisu o racionalnoj upotrebi energije i toplinskoj zaštiti u zgradama (NN 97/14, 130/14) s pripadajućim normama, Tehničkom propis o građevnim proizvodima (NN 33/10, 87/10, 146/10, 81/11, 100/11, 130/12, 81/13), prema Tehničkim propisima za prozore i vrata (NN 69/06) sa pripadajućim noramama i ostalim normama prema Odluci o popisu normi bitnih za primjenu Tehničkog propisa za prozore i vrata, te svim ostalim tehničkim propisima, priznatim tehničkim pravilima i HR normama,  ili jednakovrijedno __________________,a osobito:</t>
  </si>
  <si>
    <t xml:space="preserve">Pripasivanje i dorada bravarskih ograda francuskih prozora </t>
  </si>
  <si>
    <t xml:space="preserve">Pripasivanje postojeće čelične ograde francuskih prozora dimenzije 150/100 cm koja se sastoji od pravokutnog okvira 40x40 mm, s vertikalnim šipkama d=12 mm na razmacima 130 mm, usidrenog u zid na četiri točke. Ograda se skraćuje za 100 mm, s izbacivanjem jedne vertikalne šipke, te s produžavanjem sidrenih oslonaca na potrebnu duljinu za fiksiranje na postojeće sidrene točke.  
Svi dijelovi ograde moraju po pripasivanju biti antikorozivno zaštićeni. Obračun po kom ograde. </t>
  </si>
  <si>
    <t>Pripasivanje i dorada bravarskih ograda loggia</t>
  </si>
  <si>
    <t>Pripasivanje postojeće čelične ograde loggia koja se sastoji od čeličnih stupova 40x40 mm na  razmaku cca 100 cm, rukohvata 40x60 mm i panela ispune od žičanog stakla u okviru od L 40x60 mm. Fiksiranje ograde na konstrukciju zgrade je sidrenim pločicama stupova i bočno sidrenjem okvira u a.b. koknstrukciju. Ograda se pripasuje skraćivanjem okvira ostakljenog panela s obje bočne strane za 100 mm, te bočnim fiksiranjem okvira i rukohvata u a.b. konstrukciju sidrenim pločicama i vijcima. Stup najbliži zidu se premješta na novu poziciju, 40 mm odmaknuto od vanjske linije TI fasade.
a) konstrukcija ograde se sastoji od čeličnih cijevi 40x40 mm, rukohvata 40x60 mm i okvira za ostakljenje od L 40x60 i cijevi za montažu 30x30 mm
b) ispuna ograde je žičano staklo, debljina stakla 4 mm, zamjena stakla obuhvaćena u cijeni
c) svi spojevi pregrade su vareni,
d) ograda je pričvrščena na bočni AB zid točkasto na 2 mjesta, te na AB konstrukciju loggie preko sidrenih pločica 80x80 mm. 
e) svi čelični dijelovi i spojni elementi moraju biti antikorozivno obrađeni.
Stavka uključuje sav potrebni rad, varove, rezanja, brušenja, sidrenje u zid te sav pomoćni i osnovni materijal, transport, brtve i mjestimična krpanja. Projektantu obavezno donijeti na uvid i ovjeru relevantne radioničke nacrte iz kojih je razvidno kako se vrši montaža. Obračun po komadu ograda.</t>
  </si>
  <si>
    <t>Montaža zaštitnih mreža protiv ptica</t>
  </si>
  <si>
    <t>Dobava i montaža mreže protiv ptica na loggiama stubišta. Montažu i spajanje mreže vrši stručna osoba. Stavka predviđa postavu spojnih elemenata od nehrđajućeg čelika ili aluminija. U stavci je uračunat sav potreban rad za montažu, svi spojni i pričvrsni materijali, kao i odvoz i zbrinavanje otpadnog materijala.  Obračun po ukupnoj površini mreže za zaštitu.</t>
  </si>
  <si>
    <t xml:space="preserve">B. OBRTNIČKI RADOVI / B.V.1. SOBOSLIKARSKO-LIČILAČKI RADOVI </t>
  </si>
  <si>
    <t>SOBOSLIKARSKO-LIČILAČKI RADOVI (ZAJEDNIČKIH PROSTORIJA) UKUPNO:</t>
  </si>
  <si>
    <t>Sva bojanja i ličenja treba izvesti samo na suhim, čistim, ravnim ili ravnomjerno zakrivljenim (po projektu) i odmašćenim plohama. Podlogu treba prije početka radova pregledati i kod većih oštećenja ili zaprljanja i zamašćenja na isto upozoriti nadzornog inženjera i radove prekinuti dok se podloga odgovarajuće ne pripremi. Kod manjih oštećenja treba izvoditelj podlogu dovesti u potrebno stanje za kvalitetan rad brušenjem manjih neravnina, kitanjem i zapunjavanjem pukotina i manjih udubina kitom za zapunjavanje i izravnanje. Nakon toga treba obavezno izvesti gletanje odgovarajućom glet masom za određeni tip podloge do potrebne glatkoće, ako nije u stavci troškovnik drugačije navedeno. Sve gore navedeno treba uračunati u jediničnu cijenu.</t>
  </si>
  <si>
    <t>Pri radu treba se strogo pridržavati pravila zaštite na radu, uz primjenu odgovarajućih zaštitnih sredstava. Sve prostorije po završetku radova treba dobro prozračiti ili ventilirati.
Prilikom izvođenja radova izvoditelj treba zaštititi sve susjedne plohe i dijelove konstrukcije na takav način da ne dođe do njihovog prljanja i oštećenja i isto uračunati u cijeni. Ukoliko do prljanja i oštećenja ipak dođe, isto će izvoditelj očistiti i popraviti na svoj trošak.</t>
  </si>
  <si>
    <t>Tijekom izvođenja radova treba obratiti pažnju na atmosferske prilike. Vanjski radovi se ne smiju izvoditi u slučaju oborina, magle, zraka prezasićenog vlagom, te jakog vjetra i temperature ispod +5°C.</t>
  </si>
  <si>
    <t>Premazi i boje moraju biti postojani na svjetlo i otporni na pranje vodom, a na vanjskim plohama otporni na atmosferilije. Svi soboslikarski radovi moraju se izvesti prema izabranim uzorcima.</t>
  </si>
  <si>
    <t>Izvođač može započeti radove tek kad su iz prostorije odstranjeni svi otpaci i drugo što bi moglo smetati izvedbi. Za sve vrste soboslikarsko-ličilačkih radova podloge moraju biti čiste od prašine i druge prljavštine kao što su: smole, ulja, masti, čađa, gar, bitumen, cement, mort i dr. Bojati ili ličiti dopušteno je samo na suhu i pripremljenu podlogu. Vanjski ličilački radovi ne smiju se izvoditi po lošem vremenu, koje bi moglo štetiti kvaliteti radova (npr. hladnoća, oborine, magla, jak vjetar i sl.).</t>
  </si>
  <si>
    <t>Zabranjeno je bacati u kanalizaciju i sanitarne uređaje ostatke boje, vapna, gipsa, kita i drugog materijala.</t>
  </si>
  <si>
    <t>ZIDOVI</t>
  </si>
  <si>
    <t xml:space="preserve">Unutrašnji zidovi prostorija prvo se izravnavaju, gletaju specijalnim postavama koje moraju dobro prilijegati na podlogu i nakon sušenja činiti vrlo čvrstu podlogu za bojanje disperzivnim bojama. 
U obračunu su posebno iskazane žbukane / betonske površine od gipskartonskih površina.
Grundiranje površine izvodi se i obračunava za cijelu površinu podloga od gipskartonskih ploča.
Kvaliteta kitanja i ličenja kontrolira se noću ili u zamračenoj prostoriji reflektorom prislonjenim uz plohu zida odnosno stropa. </t>
  </si>
  <si>
    <t>Vrste boja za unutarnje / vanjske prostora:
- vapno – zastarjela tehnologija koja se danas uglavnom više ne primjenjuje
- uljena boja – zastarjela tehnologija koja se danas uglavnom više ne primjenjuje
- disperzivne - disperzije bazirane na polimernim vezivima, kao npr. akrilna smola, silikatne, silikonske...
- disperzivne latex -disperzije na bazi vinilacetatnog polimera, izuzetno čvrste i otporne na pranje / ribanje
- dekorativne stucco boje - na bazi gašenog vapna i finih zrnaca mramornog praha sa specijalnim aditivima</t>
  </si>
  <si>
    <t>Sredstva za premazivanje, s obzirom na sastav i vrstu, moraju biti međusobno usklađena. Za podloge iz gips kartonskih ploča sredstva za premazivanje na osnovi vapna, vodenog stakla i silikata nisu primjerena. Kod disperzijskih silikatnih boja potrebno se pridržavati savjeta proizvođača sredstva. Kod gips kartonskih ploča koje su duže vrijeme bez zaštite izložene djelovanju svjetla može se pojaviti požutjelost i zato se prije nanošenja premaza preporučuje probni premaz preko više ploča, uključivo s fugiranim mjestima.</t>
  </si>
  <si>
    <t>Ličenje unutarnjih zidova izvodi se slijedećim redoslijedom:
0. namakanje i struganje starog naliča,
1. impregnacija (grundiranje) – penetrirajući premaz podloge radi konsolidacije,
2. kitanje i zatvaranje pojedinačnih rupa, uključivo bandažiranje većih pukotina
3. gletanje – prevlačenje cijele površine ličilačkim kitom u nekoliko slojeva ovisno o zahtijevanoj kvaliteti površine uključivo brušenje i otprašivanje između slojeva,
4. brušenje i otprašivanje,
5. ovisno o vrsti boje i uputi proizvođača – nanošenje primera kako bi se smanjila upojnost
6. dvokratno ili trokratno ličenje – nanošenje boje četkama, valjcima ili prskanjem.</t>
  </si>
  <si>
    <t>STOLARIJA</t>
  </si>
  <si>
    <t>LIČENJE
Ličenje stolarije radi se samo na unutarnjoj stolariji, a izuzetno na vanjskoj ako je već bila ličena. Vratna krila mogu se ličiti u radionici kompresorom. Ličiti se može stolarija koja ima francuske ili cilindar petlje, odnosno drugi okov predviđen za ličenje, ali ne i roto okov.
Stolariju je prije ličenja uvijek potrebno pripremiti prema uputama proizvođača boje!</t>
  </si>
  <si>
    <t>Ličenje unutarnje stolarije izvodi se u sljedećim fazama:
0. paljenje, kemijsko ili mehaničko skidanje postojeće boje (u slučajevima obnove postojećih vrata),
1. impregnacija (u radionici),
2. kitanje,
3. brušenje,
4. temeljni nalič,
5. dodatno kitanje i brušenje,
6. lakiranje (min. 2 sloja).</t>
  </si>
  <si>
    <t>Vrste lakova za unutarnje / vanjske prostore:
- nitro lakovi – za unutrašnje prostore (na bazi celuloznih nitrata, sintetskih smola i organskih otapala)
- poliuretanski lakovi (mat, polumat, sjajni) – za unutrašnje prostore (na bazi uljem modificirane poliuretanske smole u organskim otapalima)
- alkidni lakovi – za unutrašnje i vanjske prostore (na bazi modificirane alkidne smole u organskim otapalima uz
dodak punila i pigmenata)
- akrilni lakovi – za unutrašnje i vanjske prostore (na bazi akrilnih smola i organskih otapala / ili topivi u vodi)
- uljni premazi – za unutrašnje prostore (na bazi biljnih ulja i voskova)</t>
  </si>
  <si>
    <t>LAZURNI PREMAZ
Vanjska stolarija zaštićuje se lazurnim premazima kojima prethodi zaštita fungicidno-insekticidnom impregnacijom (uglavnom na bazi uljne alkidne smole u organskim otapalima uz dodatke aktivnih tvari). Impregnacija i prvi sloj lazurnog premaza nanose se u tvornici / radionici potapanjem, drugi sloj lazurnog premaza na gradilištu nakon ugradnje i treći na gradilištu po završetku svih ličilačkih radova. Impregnacija i prvi premaz (potapanje) obavlja se bez okova i ostakljenja, a drugi i treći sa brtvama i ostakljenjem pri čemu vidljivi okov i staklo treba zaštititi ljepljivom trakom.</t>
  </si>
  <si>
    <t>Ličenje stolarije lazurnim bojama
1. impregnacija i fungicidni premazi (u radionici)
2. kitanje,
3. brušenje,
4. lazurni premazi,
5. brušenje,
6. završni premaz lazurom / lak – lazurom.</t>
  </si>
  <si>
    <t>Vrste lazura za unutarnje / vanjske prostore:
- lazure – za unutrašnje prostore (na bazi dugouljne alkidne smole u organskim otapalima uz dodatak svjetlosnih pigmenata)
- lak lazure – za unutrašnje i vanjske prostore (na bazi alkidnih smola u organskim otapalima uz dodatak svjetlosnih pigmenata, UV absorbera i specijalnih voskova / ili na bazi specijalne akrilatne smole, aditiva i vode uz dodatak vodoodbojnog sredstva)</t>
  </si>
  <si>
    <t>BRAVARIJA
Bravarija se liči u slijedećim fazama:
1. čišćenje (mehaničko – pjeskarenje ili kiselinama),
2. temeljni nalič - minij-alkidni / epoxy / akril
3. završni nalič - emajl-alkidni / poliuretan / akril
(trajnost: do 10 g. / do 20 g. / do 20 g.)
Samo unutarnja bravarija može se kitati autokitom nakon postave temeljnog naliča.</t>
  </si>
  <si>
    <t>Obračun:
- zidovi se obračunavaju po površini izraženoj u m2 na način:
• otvori veličine do 3,0 m² ne odbijaju se, a njihove špalete se posebno ne obračunavaju
• kod otvora veličine 3,0 do 5,0 m²  odbija se površina preko 3,0 m², a špalete se posebno ne obračunavaju
• kod otvora preko 5,0 m² odbija se površina preko 3,0 m², a špalete oko otvora se obračunavaju posebno
• špalete širine veće od 20 cm obračunavanju se posebno
• normativi za zidove površine ispod 10 m² povećavaju se za 1,20
- stolarija / bravarija se obračunava po površini izraženoj u m2 na način:
• pune površine otvora i opšava bez odbijanja površine stakla) množeno koeficijentima:
o 2,90 = dvostruki prozor (bez prečki, sa kutijom za roletu i opšavom)
o 1,45 = kod jednostrukih prozora bez opšava
o 1,60 = kod jednostrukih prozora sa opšavom
o dodatno 5% kvadrature prozora za svaku prečku, kod dvostrukih prozora posebno
za vanjske, a posebno za unutrašnje prozore
• stakleni izlog - uzima se površina izloga umanjeno za:
o 45% za površine stakla do 3,00 m2
o 30% za površine stakla 3,00 do 5,00 m2
o 25% za površine stakla preko 5,00 m2
• puna vrata s dovratnikom - uzima se dvostruka površina, mjereno od vanjskog ruba opšavnih letvi
• puna vrata s opšavom špaleta obračunava se dvostruka površina
• tradicionalna stolarija - površina se uvećava za profilacije, zavisno od složenosti, s faktorom od 1,7 do 3,2.
• prozorske klupčice, parapeti, kutije za rolete, okviri, opšavi i sl. po površini izraženoj u m2</t>
  </si>
  <si>
    <t>Investitor ima pravo na kontrolu kvalitete materiijala kojim se radovi izvode. Ustanovi li da taj materijal ne odgovara propisanoj kvaliteti izvođač radova dužan je odstraniti lošu izvedbu i na vlastiti trošak izvesti radove sa kvalitetnim materijalom. O ispravnosti izvedenih površina mjerodavna je izjava nadzornog inženjera.</t>
  </si>
  <si>
    <t>U jediničnoj cijeni pojedinih stavaka obračunata je i  upotreba skele i drugih pomagala kod rada.</t>
  </si>
  <si>
    <t>Dok radovi traju, izvođač je dužan zaštititi od oštećenja ili prljanja sve ostale građevinske dijelove i opremu ( podove, stakla, vrata i sl.).</t>
  </si>
  <si>
    <t xml:space="preserve">Sve radove treba izvoditi po izvedbenim nacrtima, opisima radova u troškovniku, te uputama projektanta i nadzornog inženjera. </t>
  </si>
  <si>
    <t>Prije početka radova izvođač mora ustanoviti kvalitetu podloge za izvođenje soboslikarskih radova i ako ona nije pogodna za taj rad, mora o tome pismeno obavijestiti svog naručioca radova, kako bi se na vrijeme mogla popraviti i prirediti za soboslikanje i ličenje. Kasnije povezivanje i opravdanje da kvaliteta nije dobra radi loše podloge, neće se uzimati u obzir. Na neurednoj podlozi ne može se izvoditi rad dok se podloga ne uredi. Predviđa se da se svi monolitni armiranobetonski zidovi i stropovi, koji se ne oblažu drugim oblogama, prije bojenja obrade i pripreme za bojenje, te gletaju glet masom i potpuno zaglade, a zatim da ih se boji  bojom prema opisu stavke. Gipskartonski zidovi / obloge / stropovi trebaju biti gletani i obrađeni za ličenje, ti radovi su uključeni u stavke izrade zida / obloge / spuštenog stropa.</t>
  </si>
  <si>
    <t>Svi premazi izvode se najmanje s tri premazivanja i to: osnovnim ili podložnim slojem, zaštitnim premazom i završnim premazom, ako to u troškovniku nije drugačije označeno. Svako od tih premazivanja mora biti čvrsto povezano za podlogu na koju se nanosi.</t>
  </si>
  <si>
    <t xml:space="preserve">Popravak boje - ličenje unutarnjih ožbukanih zidova, stropova, špaleta, greda, parapeta nakon ugradnje stolarije </t>
  </si>
  <si>
    <t xml:space="preserve">Ličenje kaširane toplinske izolacije stropa podruma </t>
  </si>
  <si>
    <t xml:space="preserve">Ličenje unutarnjih novoizvedenih obloga stropova kaširanim pločama MV. Popravak boje i ličenje izvesti poludisperzivnom bojom u minimalno 2 sloja.
Priprema površina stropova za bojanje i ličenje. Pripremljena površina mora biti glatka i ravna, bez neravnina. </t>
  </si>
  <si>
    <t>Ličenje bravarskih ograda francuskih prozora</t>
  </si>
  <si>
    <t>Ličenje bravarskih ograda loggia</t>
  </si>
  <si>
    <t xml:space="preserve">B. OBRTNIČKI RADOVI / B.V.2. SOBOSLIKARSKO-LIČILAČKI RADOVI </t>
  </si>
  <si>
    <t>SOBOSLIKARSKO-LIČILAČKI RADOVI (STAMBENIH PROSTORIJA) UKUPNO:</t>
  </si>
  <si>
    <t>B.V.</t>
  </si>
  <si>
    <t>SAEPTUM d.o.o. za savjetovanje, arhitektonske i energetske usluge, Travnička 50/a, 40000 Čakovec, Kružna ulica 81, 10000 Zagreb</t>
  </si>
  <si>
    <t>EUR</t>
  </si>
  <si>
    <t>SAEPTUM d.o.o. Travnička 50/A, ČK, Kružna ulica 81, ZG, T+385 98 302785, +385 1 5602505, www.saeptum.hr, OIB 00721493603, P.RAČUN HR8623600001102580265 ZABA, Temeljni kapital 50.000,00 HRK/6.636,14 EUR, Uprava Željka Hrs Borković, Toni Borković</t>
  </si>
  <si>
    <t>Raščišćavanje terena oko zgrade (5m) kao radno-manipulativne površine, a prije početka radova na rušenjima i demontaži. Stavka uključuje sva čišćenja, obrezivanje grmlja i stabala koji svojom pozicijom i volumenom ometaju izvođenje radova, zajedno s utovarom, odvozom, istovarom i deponiranjem otpadnog materijala na odlagalištu udaljenom 20 km.
Obračun po m² obrađene površine.</t>
  </si>
  <si>
    <t xml:space="preserve">Obrada špaleta vanjskih vrata i prozora za RAL ugradnju nakon demontaže postojeće i prije ugradnje nove stolarije:
- sanacija pukotina špaleta konstrukcijskim reparaturnim polimercementnim mortom, 
- krpanje oštećenja na zidovima produžnim mortom, 
- izravnavanje većih neravnina grubom produžnom žbukom, uz adekvatnu pripremu. 
Špaletu pripremiti i otprašiti za pravilno ljepljenje traka za RAL ugradnju prema uputama proizvođača. 
Stavka uključuje horizontalni i vertikalni transport šute i materijala po gradilištu, prijenos i odvoz otpadnog materijala i šute na deponij udaljen 20 km. Obračun po komadu otvora. </t>
  </si>
  <si>
    <t>Sve radove izvođač mora izvoditi prema troškovniku i glavnom projektu, solidno i stručno, prema pravilima dobrog zanata, Pravilniku o ocjenjivanju sukladnosti, ispravama o sukladnosti i označavanju građevinskih proizvoda (NN 103/08, 147/09, 87/10, 129/11), Pravilniku o tehničkim mjerama i uvjetima za završne radove u zgradarstvu (Sl.list br. 21/90), Tehničkim propisom za građevinske konstrukcije (NN 17/17 - uz prikladne norme HRN EN 1990 ili jednakovrijedno __________________,HRN EN 1991 ili jednakovrijedno __________________, HRN EN 1996 ili jednakovrijedno __________________, HRN EN 1997 ili jednakovrijedno __________________ i HRN EN 1998 ili jednakovrijedno __________________), Tehničkim propisom o racionalnoj uporabi energije i toplinskoj zaštiti u zgradama („Narodne novine“ broj 128/15, 70/18., 73/18.) sa pripadajućim normama, Tehničkim propisom o građevnim proizvodima (NN 35/18), te svim ostalim hrvatskim i europskim tehničkim propisima i normama i priznatim tehničkim pravilima, ili jednakovrijedno __________________, a osobito :</t>
  </si>
  <si>
    <t>EN 1015-7 ili jednakovrijedno __________________, zapreminska masa i poroznost svježeg morta
EN 1015-3 ili jednakovrijedno __________________, konzistencija svježeg morta
EN 1015-11 ili jednakovrijedno __________________, tlačna i savojna vlačna čvrstoća morta
EN 771-1 ili jednakovrijedno __________________, EN 772-1 ili jednakovrijedno __________________, EN 7723 ili jednakovrijedno __________________, EN 772-13 ili jednakovrijedno __________________, EN 772-16 ili jednakovrijedno __________________, HRN EN 14063-1:2008 ili jednakovrijedno __________________,
tlačna čvrstoća opeke, na mjestu primjene oblikovani proizvodi od lakoagregatne eksp. gline</t>
  </si>
  <si>
    <t xml:space="preserve">HRN EN 13707:2013 ili jednakovrijedno __________________, bitumenske hidroizolacijske krovne trake sa uloškom 
HRN EN 13859-1:2014 ili jednakovrijedno __________________, podložne trake za prijeklopno pokrivanje krovova
HRN EN 13859-2:2014 ili jednakovrijedno __________________, podložne trake za zidove
HRN EN 13956:2012 ili jednakovrijedno __________________, plastične i elastomerne hidroizolacijske trake za krovove
HRN EN 13967:2017 ili jednakovrijedno __________________, plastične i elastomerne trake za zaštitu od vlage i vode iz tla
HRN EN 13969:2005+A1:2008 ili jednakovrijedno __________________, bitumenske trake za zaštitu od vlage i vode iz tla
HRN EN 13970:2005+A1:2008 ili jednakovrijedno __________________, bitumenske paronepropusne trake
HRN EN 13984:2013 ili jednakovrijedno __________________, plastične i elastomerne paronepropusne trake
HRN EN 14909:2012 ili jednakovrijedno __________________, plastične i elastomerne trake za sprečavanje kapilarnog podizanja vode
HRN EN 14967:2008 ili jednakovrijedno __________________, bitumenske trake za sprečavanje kapilarnog podizanja vode
</t>
  </si>
  <si>
    <t xml:space="preserve">HRN U.M3 210 ili jednakovrijedno __________________, bitumenska traka s uloškom jutene tkanine
HRN U.M3 220 ili jednakovrijedno __________________, neposuti, bitumenom impregnirani ravni krov
HRN U.M3 221 ili jednakovrijedno __________________, bitumenom obostrano obloženi papir
HRN U.M3.224 ili jednakovrijedno __________________, vrući premaz
HRN U.M3 226 ili jednakovrijedno __________________, bitumenska traka s uloškom krovnog kartona
HRN U.M3 227 ili jednakovrijedno __________________, bitumenizirani stakleni voal
HRN U.M3.229 ili jednakovrijedno __________________, bitumenom obložena al.folija
HRN U.M3.230 ili jednakovrijedno __________________, bit. traka s uloškom al.folije
HRN U.M3 231 ili jednakovrijedno __________________, bit. traka s uloškom staklenog voala
HRN U.M3 232 ili jednakovrijedno __________________, bitumenizirani krovni karton
HRN U.M3 234 ili jednakovrijedno __________________, bit. traka s uloškom staklene tkanine
HRN U.M3.240 ili jednakovrijedno __________________, bit. hidroizolac.materijal s organskom zatvaračem za hladni post.
HRN U.M3 242 ili jednakovrijedno __________________, hidroizolac. materijal na osnovi bit.emulzija za hladni postupak
HRN U.M3 244 ili jednakovrijedno __________________, hidroizolac. materijal za topli postupak
HRN U.M3 246 ili jednakovrijedno __________________, hidroizolac. materijal od mastiksa
HRN U.M3 248 ili jednakovrijedno __________________, bitumenizirani perforirani stakleni voal
HRN U.M3 300 ili jednakovrijedno __________________, bit.trake za varenje
</t>
  </si>
  <si>
    <t xml:space="preserve">HRN C.B4.081 ili jednakovrijedno __________________, pocinčani lim
HRN C.C4.020, 025, 030, 051, 060, 120, 150 ili jednakovrijedno __________________, aluminijski lim
HRN C.D4.020 ili jednakovrijedno __________________, bakreni lim
</t>
  </si>
  <si>
    <t>HRN EN 14063-1:2008 ili jednakovrijedno __________________, na mjestu primjene oblikovani proizvodi od lakoagregatne ekspandirane gline 
HRN EN 14064-1:2012 ili jednakovrijedno __________________, nevezani proizvodi od mineralne vune (MW) oblikovani na mjestu primjene
HRN EN 14064-2:2010 ili jednakovrijedno __________________, nevezani proizvodi od mineralne vune (MW) oblikovani na mjestu primjene
HRN EN 14316-1:2008 ili jednakovrijedno __________________, oblikovanje toplinske izolacije na mjestu primjene od proizvoda na bazi eksp. perlita (EP)</t>
  </si>
  <si>
    <t>Izvedba certificiranog ETICS  sustava toplinske izolacije vanjskih zidova (prema normi HRN EN 13500:2004 ili jednakovrijedno __________________), klasificiranje otpornosti na požar (prema normi HRN EN 13501-1),  ili jednakovrijedno __________________, sa svim potrebnim predradnjama i pripremom podloge opisana i obračunata u pripremnim radovima A.I. 
Toplinska izolacija se izvodi mineralnom (kamenom) vunom (λ≤0,036 W/mK, A2-d1), različitih debljina (od 2 do 18 cm), s tankoslojnim polimer cementnim mortom debljine min 0,5 cm nanesenim u dva sloja i armiranim staklenom alkalnootpornom mrežicom između slojeva.</t>
  </si>
  <si>
    <t xml:space="preserve">Utovar i odvoz otpadnog materijala, ambalaže i sl. na deponij udaljenoj 20 km. </t>
  </si>
  <si>
    <r>
      <t xml:space="preserve">Sve radove izvođač mora izvoditi prema projektu, pravilima dobrog zanata, </t>
    </r>
    <r>
      <rPr>
        <i/>
        <sz val="9"/>
        <rFont val="Calibri"/>
        <family val="2"/>
        <charset val="238"/>
      </rPr>
      <t>Pravilniku o ocjenjivanju sukladnosti, ispravama o sukladnosti i označavanju građevinskih proizvoda</t>
    </r>
    <r>
      <rPr>
        <sz val="9"/>
        <rFont val="Calibri"/>
        <family val="2"/>
        <charset val="238"/>
      </rPr>
      <t xml:space="preserve"> (NN 103/08, 147/09, 87/10, 129/11), </t>
    </r>
    <r>
      <rPr>
        <i/>
        <sz val="9"/>
        <rFont val="Calibri"/>
        <family val="2"/>
        <charset val="238"/>
      </rPr>
      <t>Pravilniku o tehničkim mjerama i uvjetima za završne radove u zgradarstvu</t>
    </r>
    <r>
      <rPr>
        <sz val="9"/>
        <rFont val="Calibri"/>
        <family val="2"/>
        <charset val="238"/>
      </rPr>
      <t xml:space="preserve"> (Sl.list br. 21/90), </t>
    </r>
    <r>
      <rPr>
        <i/>
        <sz val="9"/>
        <rFont val="Calibri"/>
        <family val="2"/>
        <charset val="238"/>
      </rPr>
      <t>Tehničkim propisom o racionalnoj uporabi energije i toplinskoj zaštiti u zgradama(</t>
    </r>
    <r>
      <rPr>
        <sz val="9"/>
        <rFont val="Calibri"/>
        <family val="2"/>
        <charset val="238"/>
      </rPr>
      <t xml:space="preserve">„Narodne novine“ broj 128/15, 70/18, 73/18, 86/18.) sa pripadajućim normama, </t>
    </r>
    <r>
      <rPr>
        <i/>
        <sz val="9"/>
        <rFont val="Calibri"/>
        <family val="2"/>
        <charset val="238"/>
      </rPr>
      <t>Tehničkim propisom o građevnim proizvodima</t>
    </r>
    <r>
      <rPr>
        <sz val="9"/>
        <rFont val="Calibri"/>
        <family val="2"/>
        <charset val="238"/>
      </rPr>
      <t xml:space="preserve"> (NN 35/18), </t>
    </r>
    <r>
      <rPr>
        <i/>
        <sz val="9"/>
        <rFont val="Calibri"/>
        <family val="2"/>
        <charset val="238"/>
      </rPr>
      <t xml:space="preserve">Tehničkim uvjetima za projektiranje i građenje zgrada - Akustika u građevinarstvu (HRN U.J6.201/89  ili jednakovrijedno __________________), </t>
    </r>
    <r>
      <rPr>
        <sz val="9"/>
        <rFont val="Calibri"/>
        <family val="2"/>
        <charset val="238"/>
      </rPr>
      <t xml:space="preserve">te svim ostalim tehničkim propisima, priznatim tehničkim pravilima i HR normama, ili jednakovrijedno __________________.
</t>
    </r>
  </si>
  <si>
    <t xml:space="preserve">Količine iskopa, transporta i nasipa zemlje obračunavaju se prema sraslom stanju tla. Iskopani materijal upotrijebiti za nasipavanje i zatrpavanje. Isti treba prevesti na gradilišni deponij, uskladištiti te poslije upotrijebiti. Višak iskopanog materijala odvesti na gradski deponij udaljen 20 km.
</t>
  </si>
  <si>
    <t>Jedinična cijena uključuje sav rad za iskop (ručni ili strojni), potrebne razupore, podupore (osiguranje od urušavanja), sva potrebna planiranja (do točnosti ±3 cm), niveliranje i nabijanja površina, crpljenje površinske i/ili procjedne vode, rasprostiranje i oblikovanje tla (ručno ili specijalnim strojevima), utovar u kamion, prijevoz na gradilišni deponij udaljen 20 km i istovar zemlje ukoliko je to potrebno.</t>
  </si>
  <si>
    <t>Jedinična cijena uključuje uzimanje mjera na gradilištu i definiranje ugradbenih dimenzija, tehnološku razradu svih detalja, izradu radioničkih nacrta, sav spojni materijal, sidrene ploče, mort za podlijevanje ležaja, zaštitu od korozije, postavu i skidanje radne skele, striktnu primjenu mjera zaštite od požara, sve posredne i neposredne troškove za rad, materijal, alat i građevinske strojeve, sve transporte, čišćenje tokom rada, odvoz i zbrinjavanje smeća na deponij udaljen 20 km, završno čišćenje prije primopredaje radova, nadoknadu eventualne štete nastale iz nepažnje na svojim ili tuđim radovima.</t>
  </si>
  <si>
    <t>Jedinična cijena uključuje sve pripremne i završne radove, tehnološku razradu svih detalja, postavu i skidanje radne skele, sve posredne i neposredne troškove za rad, materijal, alat i građevinske, ispiranje i otprašivanje površine zida, sav otežani rad na izvedbi, zaštitu izvedenog dijela pročelja, zaštitu stolarskih i bravarskih stavki PVC građ. folijom, sav potrebni horizontalni i vertikalni prijevoz kao i prijevoz do gradilišta, čišćenje tokom rada, odvoz i zbrinjavanje smeća na deponiju udaljenom 20 km, završno čišćenje prije primopredaje radova, nadoknadu eventualne štete nastale iz nepažnje na svojim ili tuđim radovima, usklađenje organizacije rada s operativnim planom, primjenu svih mjera zaštite na radu.</t>
  </si>
  <si>
    <t>Jedinična cijena uključuje uzimanje mjera na gradilištu i definiranje ugradbenih dimenzija, tehnološku razradu svih detalja, izradu radioničkih nacrta, sav spojni materijal, sidrene ploče, mort za podlijevanje ležaja, zaštitu od korozije, postavu i skidanje radne skele, striktnu primjenu mjera zaštite od požara, sve posredne i neposredne troškove za rad, materijal, alat i građevinske strojeve, sve transporte, čišćenje tokom rada, odvoz i zbrinjavanje smeća na deponiju udaljenom 20 km, završno čišćenje prije primopredaje radova, nadoknadu eventualne štete nastale iz nepažnje na svojim ili tuđim radovima.</t>
  </si>
  <si>
    <t>Priprema podloge za izradu ETICS sustava toplinske izolacije pročelja na bazi mineralne vune:  
- otucanje dijela postojeće žbuke koja se odvojila od podloge, 
- krpanje pukotina u zidovima i stropovima te po potrebi izravnavanje većih neravnina  reparaturnim polimercementnim mortom, 
- popravak oštećene armature odgovarajućim zaštitnim premazima (zaštita od korozije), 
- skraćivanje i vađenje čeličnih nosača koji nisu više u upotrebi, 
- saniranje nastalih oštećenja fasade  reparaturnim polimercementnim mortom te 
- pranje i paropropusnu impregnaciju žbuke pročelja.
Podloga na koju će se nanositi ETICS mora biti čista, čvrsta, nosiva, bez ostataka prljavštine, sipkih dijelova i sl. Prije nanošenja toplinske izolacije potrebno je provjeriti prionjivost morta za lijepljenje na postojeću podlogu.
Stavka uključuje zaštitu stolarije i drugih elemenata koji se ne uklanjaju te prostora u zgradi PVC folijom od šute i prašine, horizontalni i vertikalni transport šute i materijala po gradilištu, prijenos i odvoz otpadnog materijala i šute na deponij udaljen 20 km. Obračun za kompletan rad, materijal i sve transporte je po m² kompletno obrađene i pripremljene površine pročelja. Otvori se odbijaju u cijeloj površini.</t>
  </si>
  <si>
    <t>Demontaža postojećih prozora i vrata s pripadajućim okvirima, uključujući i prozorske klupčice i pragove.
Dimenzije su izražene u zidarskim (građevinskim mjerama). 
Uključen sav transport i zbrinjavanje otpada na deponiju udaljenom 20 km. 
Obračun po komadu stolarske stavke.</t>
  </si>
  <si>
    <t>Jedinična cijena uključuje sve pripremne i završne radove, posredne i neposredne troškove za rad, materijal, alat, otežani rad na izvedbi, potrebni horizontalni i vertikalni transport, čišćenje tokom rada, odvoz i zbrinjavanje smeća na deponiju udaljenom 20 km, završno čišćenje prije primopredaje radova, nadoknadu eventualne štete nastale iz nepažnje na svojim ili tuđim radovima, usklađenje organizacije rada s operativnim planom, primjenu svih mjera zaštite na radu.</t>
  </si>
  <si>
    <t xml:space="preserve">Cijenom izvedbe radova treba obvezno uključiti sve materijale koji se ugrađuju i koriste (osnovne i pomoćne materijale), sav potreban rad (osnovni i pomoćni) na izvedbi radova do potpune gotovosti i funkcionalnosti istih, sve transporte i prijenose do i na gradilištu sve do mjesta ugradnje, sva potrebna skladištenja i zaštite, sav alat i građevinske strojeve, čišćenje tokom rada, odvoz i zbrinjavanje smeća na deponij udaljen 20 km, završno čišćenje prije primopredaje radova, nadoknadu eventualne štete nastale iz nepažnje na svojim ili tuđim radovima, sve potrebne zaštitne konstrukcije i skele, kao i sve drugo predviđeno mjerama zaštite na radu i pravilima struke. U cijeni treba također uključiti izvedbu i obradu raznih detalja limarije kod spojeva, prijelaza, lomova i sudara ploha, završetaka limarije i drugo, sve obvezno usklađeno sa drugim različitim materijalima i radovima uz limariju, do potpune gotovosti i funkcionalnosti.
</t>
  </si>
  <si>
    <t xml:space="preserve">ukupni koeﬁcijent prolaska topline vrata UW ≤ 1,22 W/m2K, </t>
  </si>
  <si>
    <t>komplet okov za dvokrilna vrata, brava za vrata s panik funkcijom, gornji hidraulički zatvarač s polugom,
graničnik-fikser, pritisna šipka s unutarnje strane,</t>
  </si>
  <si>
    <t xml:space="preserve">ostakljenje: trostruko IZO staklo 4/14Ar/4/14Ar/4, ispuna argonom, s jednim staklom niske emisije, s proračunskim dokazom koef. prolaska topline Ug ≤ 0,70 W/m2K, faktor gꞱ= 0,50,   </t>
  </si>
  <si>
    <t>Rekonstrukcija u svrhu energetske obnove stambene zgrade,             Tijardovićeva ulica 28, 30, 32, 10000 Zagreb</t>
  </si>
  <si>
    <t>SAE - 171 - 2024</t>
  </si>
  <si>
    <t>171 - 2024</t>
  </si>
  <si>
    <t xml:space="preserve">Tijardovićeva ulica 28, 30, 32, 10000 Zagreb, </t>
  </si>
  <si>
    <t>Zagreb, travanj 2024.</t>
  </si>
  <si>
    <t>Tijardovićeva ulica 28, 30, 32, 10000 Zagreb</t>
  </si>
  <si>
    <t>Ana Miljan, mag. ing. arch.</t>
  </si>
  <si>
    <t>Martin Janković, mag.ing.arch.
Andrea Banić, mag.ing.aedif.</t>
  </si>
  <si>
    <t xml:space="preserve">VANJSKA  BRAVARIJA (ZAJEDNIČKIH PROSTORIJA) </t>
  </si>
  <si>
    <t>VANJSKA BRAVARIJA (zajedničkih prostorija) ukupno</t>
  </si>
  <si>
    <t>VANJSKA BRAVARIJA ukupno (zajedničkih prostorija)</t>
  </si>
  <si>
    <t>SAEPTUM d.o.o. za savjetovanje, arhitektonske i energetske usluge, Travnička 50/a, Čakovec, Kružna ulica 81, 10 000 Zagreb</t>
  </si>
  <si>
    <t>UKUPNA REKAPITULACIJA SVIH RADOVA</t>
  </si>
  <si>
    <t xml:space="preserve">PDV 25% </t>
  </si>
  <si>
    <t>k.č. 5616/2, k.o. Donje Vrapče</t>
  </si>
  <si>
    <t>Ugradnja stalaka za bicikle</t>
  </si>
  <si>
    <t>Dobava i ugradnja stakla za bicikle od pocinčanih čeličnih cijevi, dim 70x70 cm.</t>
  </si>
  <si>
    <t>Ugradnja u prostorije prizemlja zgrade naznačene u tlocrtu prizemlja novog stanja.</t>
  </si>
  <si>
    <r>
      <t>Suvlasnici stambene zgrade 
Tijardovićeva ulica 28, 30, 32, 10000 Zagreb, koje zastupaju:</t>
    </r>
    <r>
      <rPr>
        <b/>
        <sz val="9.5"/>
        <color theme="1"/>
        <rFont val="Calibri"/>
        <family val="2"/>
      </rPr>
      <t xml:space="preserve">
Ovlašteni predstavnici suvlasnika:
Lidija Drvodelić, Tijardovićeva ulica 28, 10000 Zagreb, OIB: 86734105079
Ljuba Maričić, Tijardovićeva ulica 30, 10000 Zagreb, OIB: 49358266967                                                                                       
Boro Brdovčak, Tijardovićeva ulica 32, 10000 Zagreb, OIB: 94821741936 
Upravitelj: Gradsko stambeno komunalno gospodarstvo d.o.o., Savska cesta 1, 10000 Zagreb, OIB: 03744272526</t>
    </r>
  </si>
  <si>
    <r>
      <rPr>
        <b/>
        <sz val="10"/>
        <color theme="1"/>
        <rFont val="Calibri"/>
        <family val="2"/>
        <scheme val="minor"/>
      </rPr>
      <t xml:space="preserve">Suvlasnici stambene zgrade 
Tijardovićeva ulica 28, 30, 32, 10000 Zagreb, koje zastupaju:
</t>
    </r>
    <r>
      <rPr>
        <b/>
        <sz val="9.5"/>
        <color theme="1"/>
        <rFont val="Calibri"/>
        <family val="2"/>
        <scheme val="minor"/>
      </rPr>
      <t>Ovlašteni predstavnici suvlasnika:
Lidija Drvodelić, Tijardovićeva ulica 28, 10000 Zagreb, OIB: 86734105079
Ljuba Maričić, Tijardovićeva ulica 30, 10000 Zagreb, OIB: 49358266967                                                                                       
Boro Brdovčak, Tijardovićeva ulica 32, 10000 Zagreb, OIB: 94821741936 
Upravitelj: Gradsko stambeno komunalno gospodarstvo d.o.o., Savska cesta 1, 10000 Zagreb, OIB: 03744272526</t>
    </r>
  </si>
  <si>
    <t>Rekonstrukcija u svrhu energetske obnove stambene zgrade Tijardovićeva ulica 28, 30, 32, 10000 Zagreb</t>
  </si>
  <si>
    <r>
      <t xml:space="preserve">Suvlasnici stambene zgrade 
Tijardovićeva ulica 28, 30, 32, 10000 Zagreb, koje zastupaju:
</t>
    </r>
    <r>
      <rPr>
        <b/>
        <sz val="9.5"/>
        <color theme="1"/>
        <rFont val="Calibri"/>
        <family val="2"/>
        <scheme val="minor"/>
      </rPr>
      <t>Ovlašteni predstavnici suvlasnika:
Lidija Drvodelić, Tijardovićeva ulica 28, 10000 Zagreb, OIB: 86734105079
Ljuba Maričić, Tijardovićeva ulica 30, 10000 Zagreb, OIB: 49358266967                                                                                       
Boro Brdovčak, Tijardovićeva ulica 32, 10000 Zagreb, OIB: 94821741936 
Upravitelj: Gradsko stambeno komunalno gospodarstvo d.o.o., Savska cesta 1, 10000 Zagreb, OIB: 03744272526</t>
    </r>
  </si>
  <si>
    <t>Rekonstrukcija u svrhu energetske obnove stambene zgrade             Tijardovićeva ulica 28, 30, 32, 10000 Zagreb</t>
  </si>
  <si>
    <t>Demontaža limenih opšava dimnjaka, ventilacijskih kanala, nosača antena, prozorskih klupčica i ostalih sudarnih i opšavnih limova te opšava krova prosječne razvijene širine 66 cm.  Obračun po m' opšava.</t>
  </si>
  <si>
    <t>Popravak boje i ličenje izvesti poludisperzivnom bojom za žbukane podloge u minimalno 2 sloja u širini do 50 cm.
Priprema postojećih i novo ožbukanih površina zidova, stropova, špaleta, greda i parapeta za bojanje i ličenje. Priprema se sastoji od impregnacije, kitanja i zatvaranja pojedinačnih rupa, gletanja u dva sloja s bandažiranjem svih pukotina i spojeva raznih materijala, brušenja i otprašivanja. Pripremljena površina mora biti glatka i ravna, bez neravnina. 
Obračun po komadu ugrađenog prozora i vrata.</t>
  </si>
  <si>
    <t>Popravak boje i ličenje izvesti poludisperzivnom bojom za žbukane podloge u minimalno 2 sloja u širini do 50cm.
Priprema postojećih i novo ožbukanih površina zidova, stropova, špaleta, greda i parapeta za bojanje i ličenje. Priprema se sastoji od impregnacije, kitanja i zatvaranja pojedinačnih rupa, gletanja u dva sloja s bandažiranjem svih pukotina i spojeva raznih materijala, brušenja i otprašivanja. Pripremljena površina mora biti glatka i ravna, bez neravnina. 
Obračun po komadu ugrađenog prozora i vrata.</t>
  </si>
  <si>
    <t>C.I.1.</t>
  </si>
  <si>
    <t>FOTONAPONSKA ELEKTRANA</t>
  </si>
  <si>
    <t>U jediničnim cijenama za sve stavke troškovnika, ponuda mora sadržavati ukupne troškove materijala i rada do potpunog dovršenja cjelokupnog posla, uključujući:</t>
  </si>
  <si>
    <t>* nabavu i transport na gradilište, utovare, istovare, skladištenje i čuvanje,</t>
  </si>
  <si>
    <t>* sav rad, glavni i pomoćni, uporabu lakih pokretnih skela, sva potrebna podupiranja, sav unutrašnji transport i potrebnu zaštitu izvedenih radova,</t>
  </si>
  <si>
    <t>* spajanje i montažu, uključujući sav potreban spojni, montažni, pričvrsni i ostali materijal potreban za potpuno funkcioniranje,</t>
  </si>
  <si>
    <t>* po potrebi uzemljenje,</t>
  </si>
  <si>
    <t>* izradu utora po zidovima i prodora kroz zidove i podove (stropove) kompletno sa zbinjavanjem istih,</t>
  </si>
  <si>
    <t>* sva prateća čišćenja tijekom izvođenja radova,</t>
  </si>
  <si>
    <t>* troškove zbrinjavanja otpada,</t>
  </si>
  <si>
    <t>* izradu prateće radioničke dokumentacije za sve razvodne ormare, izradu natpisnih pločica, oznaka kabela i rednih stezaljki,</t>
  </si>
  <si>
    <t>* nabavu i transport na radilište, utovare, istovare, skladištenje i čuvanje,</t>
  </si>
  <si>
    <t>* građevinsku pripomoć u vidu izrada niša, ugradbom i obzidavanjem razvodnih polja te sve ostale građevinske radove koji se odnose na elektroinstalaterske radove,</t>
  </si>
  <si>
    <t>* puštanje sustava u rad, izradu uputa za rukovanje i obuku korisnika,</t>
  </si>
  <si>
    <t>* za sve izvedene radove, ugrađene materijale i opremu, potrebno je ishoditi dokaze o kakvoći (atesta dokumentacije, garantni listovi) te ih bez posebne naknade dati na uvid nadzornom inženjeru, a prilikom promopredaje građevine, uručiti Investitoru odnosno kranjem korisniku,</t>
  </si>
  <si>
    <t>* ovjes na mjestu brtvljenja mora biti 20 cm od brtvljenja</t>
  </si>
  <si>
    <t>Sječenje kabela izvesti na licu mjesta nakon izmjerene stvarne dužine trase.</t>
  </si>
  <si>
    <t>Obveza je izvoditelja da sve prodore u zidovima zatvore, prema pravilima struke ovisno da li se radi o požarnim ili običnim zidovima</t>
  </si>
  <si>
    <t xml:space="preserve">Prije početka radova, Izvoditelj radova je dužan osigurati radilište i obavezno primjenjivati sve mjere zaštite na radu za sredstva rada (atestirana) i radnike (zaštitne kacige, zaštitna obuća i sl.). </t>
  </si>
  <si>
    <t>Za eventualne štete uzrokovane neodgovornim ili nestručnim radom, odgovara Izvoditelj radova te ih je obavezan nadoknaditi Investitoru.</t>
  </si>
  <si>
    <t>Gore navedene napomene su obvezatne i biti će sastavni dio ugovorne dokumentacije!</t>
  </si>
  <si>
    <t>C. ELEKTRO INSTALACIJE / C.I.1. FOTONAPONSKA ELEKTRANA</t>
  </si>
  <si>
    <t>Podkonstrukcija fotonaponskih panela</t>
  </si>
  <si>
    <t>Dobava, montaža i spajanje potkonstrukcije sa svim spojnim priborom za montažu 11 kom panela na ravni krov pokriven krovnom folijom. Stavkom obuhvatiti balaste (betonske blokove) na koje se montira podkonstrukcija, nosače panela (šine), spojnice, gumene podloge, vijke, matice, podloške i sav potrebni sitni i spojni materijal potreban do pune funkcionalnosti stavke.</t>
  </si>
  <si>
    <t>kpl.</t>
  </si>
  <si>
    <t>Električna oprema</t>
  </si>
  <si>
    <t>Dobava, montaža i spajanje fotonaponskog modula PERC Mono minimalno 415 Wp, broj ćelija 108 , dimenzije (VxŠxD) 1722x1134x28 mm (± 10%), težina 19 kg (± 10%), minimalna učinkovitost modula 21,25%</t>
  </si>
  <si>
    <t>2.1.</t>
  </si>
  <si>
    <t xml:space="preserve">Dobava, montaža i spajanje optimizatora snage sljedećih karakteristika: Najveća učinkovitost (minimalo 99,5%), Izlazni konektor: MC4 utikač, Ulaz (istosmjerno): maksimalno 440W, Najveći istosmjerni napon: maksimalno 60V, Max. raspon za pretvranje energije (MPPT): 8 - 60V, Najveća jakost struje kratkog spoja po MPPT uređaju: maksimalno 14.5A, Najveća izlazna snaga, izmjenično: maksimalno 60V, Najveća jakost izlazne struje: maksimalno 15A, Učinkovitost: minimalno 98.6%, Najveća učinkovitost: maksimalno 99.5%, Dimenzije(DxŠxV): 129 x 155 x 30 mm (± 10%), Masa: 655g (± 10%), Raspon radne temperature: od -40°C do +85˚C, Klasa zaštite IP: IP68 / NEMA6P
</t>
  </si>
  <si>
    <t>Dobava, montaža i spajanje invertera izlazne snage AC 4.000 W (± 10%), maksimalni ulazni napon 1.100 Vdc (± 10%), nazivni napon mreže 3 ~ N-PE 400 Vac (± 10%), maksimalna izlazna struja 6,8 Aac (± 10%), frekvencija 50 Hz, 60 Hz / - 5Hz … +5 Hz, faktor distirzije THD &lt; 3% (± 10%), efikasnosti 98,0% (± 10%), stupanj mehaničke zaštite IP65</t>
  </si>
  <si>
    <t>Dobava, montaža i spajanje konektora za solarne module, set muški + ženski, 4mm2 / 6mm2</t>
  </si>
  <si>
    <t>Razdjelnici</t>
  </si>
  <si>
    <t>5.1.</t>
  </si>
  <si>
    <t>Nadžbukni razdjelnik, 2x12 modula, sa bravicom, IP65</t>
  </si>
  <si>
    <t>5.2.</t>
  </si>
  <si>
    <t>Džep za dokumentaciju A5</t>
  </si>
  <si>
    <t>5.3.</t>
  </si>
  <si>
    <t>FID sklopka 25A, 4 polna, 300 mA, 6kA</t>
  </si>
  <si>
    <t>5.4.</t>
  </si>
  <si>
    <t>Naponski okidač za FID sklopku 230 VAC</t>
  </si>
  <si>
    <t>5.5.</t>
  </si>
  <si>
    <t>Tropolna rastavna osiguračka sklopka veličine 14x51 mm, nazivni napon 500VAC</t>
  </si>
  <si>
    <t>5.6.</t>
  </si>
  <si>
    <t>Izolirani rastalni ulošci veličine 14x51 mm gG sa indikatorom - udaračem, nazivna struja 20 A, nazivni naponi 500VAC</t>
  </si>
  <si>
    <t>5.7.</t>
  </si>
  <si>
    <t>Izolirani rastalni ulošci veličine 14x51 mm gG sa indikatorom - udaračem, nazivna struja 16 A, nazivni naponi 500VAC</t>
  </si>
  <si>
    <t>5.8.</t>
  </si>
  <si>
    <t>Odvodnik prenapona klasa B+C, 4P, 25kA</t>
  </si>
  <si>
    <t>5.9.</t>
  </si>
  <si>
    <t>Automatski osigurač B6, 1 polni, 6 kA</t>
  </si>
  <si>
    <t>5.10.</t>
  </si>
  <si>
    <t>Kontrolno brojilo 3F 1T 80A, za montažu na šinu</t>
  </si>
  <si>
    <t>5.11.</t>
  </si>
  <si>
    <t>5.12.</t>
  </si>
  <si>
    <t>5.13.</t>
  </si>
  <si>
    <t>Ostali sitni nespecificirani materijal (L, N i PE sabirnice, nosači, kanalice, stopice, vijci i sl.). Cjena komplet izvedenog ormara sa montažom i spajanjem na objektu, te isporukom sheme spajanja stvarno izvedenog stanja</t>
  </si>
  <si>
    <t>6.1.</t>
  </si>
  <si>
    <t>6.2.</t>
  </si>
  <si>
    <t>6.3.</t>
  </si>
  <si>
    <t>Dvopolna rastavna osiguračka sklopka veličine 10x38 mm, nazivni napon 1000VDC</t>
  </si>
  <si>
    <t>6.4.</t>
  </si>
  <si>
    <t>Izolirani rastalni ulošci veličine 10x38 mm gG sa indikatorom - udaračem, nazivna struja 16 A, nazivni naponi 1000VDC</t>
  </si>
  <si>
    <t>6.5.</t>
  </si>
  <si>
    <t>Odvodnik prenapona, fiksne izvedbe, 2P, klasa C, 30KA/1000VDC</t>
  </si>
  <si>
    <t>6.6.</t>
  </si>
  <si>
    <t>6.7.</t>
  </si>
  <si>
    <t>6.8.</t>
  </si>
  <si>
    <t>Ostali sitni nespecificirani materijal (PE sabirnica, nosači, kanalice, stopice, vijci i sl.). Cjena komplet izvedenog ormara sa montažom i spajanjem na objektu, te isporukom sheme spajanja stvarno izvedenog stanja</t>
  </si>
  <si>
    <t>7.1.</t>
  </si>
  <si>
    <t>Automatski osigurač C20, 4 polni, 6 kA</t>
  </si>
  <si>
    <t>7.2.</t>
  </si>
  <si>
    <t>Ostali sitni nespecificirani materijal dodati paušalno. Cjena komplet izvedene nadopune razdjelnika sa montažom i spajanjem na objektu, te isporukom sheme spajanja stvarno izvedenog stanja</t>
  </si>
  <si>
    <t>NAPOMENA:</t>
  </si>
  <si>
    <t>Izmjene u sklopu postojećeg etažnog mjernog ormara EMO izvdi HEP ODS.</t>
  </si>
  <si>
    <t>Električna instalacija (kabeli)</t>
  </si>
  <si>
    <t>8.1.</t>
  </si>
  <si>
    <t>Fotonaponski kabel PV1-F 1x6 mm2 - crni</t>
  </si>
  <si>
    <t>m</t>
  </si>
  <si>
    <t>8.2.</t>
  </si>
  <si>
    <t>Fotonaponski kabel PV1-F 1x6 mm2 - crveni</t>
  </si>
  <si>
    <t>9.1.</t>
  </si>
  <si>
    <t>9.2.</t>
  </si>
  <si>
    <t>Kabel NYY 5x4 mm2</t>
  </si>
  <si>
    <t>11.1.</t>
  </si>
  <si>
    <t>11.2.</t>
  </si>
  <si>
    <t>PVC kanalica 25x25 mm kompletno sa svim spojnim i montažnim priborom i materijalom</t>
  </si>
  <si>
    <t>12.1.</t>
  </si>
  <si>
    <t>NHXH E90 3x1,5mm2</t>
  </si>
  <si>
    <t>12.2.</t>
  </si>
  <si>
    <t>PVC kanalica 15x15 mm kompletno sa svim spojnim i montažnim priborom i materijalom</t>
  </si>
  <si>
    <t>Dobava i ugradnja 4G sticka za etherneth vezu invertera. Kompletno sa instalacijom i podešavanjem invertora za udaljeni nadzor i upravljanje.</t>
  </si>
  <si>
    <t>Instalacija sklopki i ostali materijal</t>
  </si>
  <si>
    <t>Dobava, montaža i spajanje protupožarnog tipkala žute boje za isključivanje napajanja fotonaponske elektrane, za vanjsku montažu IP55</t>
  </si>
  <si>
    <t>Dobava i montaža plastificirane table dimenzija 25x25 cm, oznaka objekta sa PV (solarnim) modulima</t>
  </si>
  <si>
    <t>Instalacija mrežnih polica</t>
  </si>
  <si>
    <t>Dobava i  montaža na krovu objekta kabelskih mrežnih polica dimenzija 50x55 mm s poklopcom</t>
  </si>
  <si>
    <t>Dobava i  montaža na krovu objekta nosača betonske kocke za kabelsku mrežnu policu dimenzija 50x55 mm</t>
  </si>
  <si>
    <t>Izjednačenje potencijala</t>
  </si>
  <si>
    <t>18.</t>
  </si>
  <si>
    <t>18.1.</t>
  </si>
  <si>
    <t>Vodič H07V-K 1G 16 mm2 (ž/z)</t>
  </si>
  <si>
    <t>18.2.</t>
  </si>
  <si>
    <t>18.3.</t>
  </si>
  <si>
    <t>Izrada spoja na metalnu masu kompletno sa svim spojnim i montažnim priborom i materijalom</t>
  </si>
  <si>
    <t>19.</t>
  </si>
  <si>
    <t>20.</t>
  </si>
  <si>
    <t>Proboji i brtvljenja</t>
  </si>
  <si>
    <t>21.</t>
  </si>
  <si>
    <t>Izrada proboja na prolaz kabela na sljedećim pozicijama:</t>
  </si>
  <si>
    <t>21.1.</t>
  </si>
  <si>
    <t>Izrada proboja krovne obloge</t>
  </si>
  <si>
    <t>21.2.</t>
  </si>
  <si>
    <t>Izrada proboja zida ili stropa</t>
  </si>
  <si>
    <t>22.</t>
  </si>
  <si>
    <t>Brtvljenje kabelskih prodora na sljedećim pozicijama:</t>
  </si>
  <si>
    <t>22.1.</t>
  </si>
  <si>
    <t>Vodonepropusno brtvljenje i obrada prodora krovne obloge kompletno sa svim potrebnim radovima i materijalom</t>
  </si>
  <si>
    <t>22.2.</t>
  </si>
  <si>
    <t>Protupožarno brtvljene prodora kroz zid ili strop protupožarnom smjesom vatrootpornosti EI90</t>
  </si>
  <si>
    <r>
      <t xml:space="preserve">Dobava, montaža i spajanje razvodnog ormara elektrane </t>
    </r>
    <r>
      <rPr>
        <b/>
        <sz val="9"/>
        <rFont val="Calibri"/>
        <family val="2"/>
        <charset val="238"/>
        <scheme val="minor"/>
      </rPr>
      <t>"RO-AC (AC BOX)"</t>
    </r>
    <r>
      <rPr>
        <sz val="9"/>
        <rFont val="Calibri"/>
        <family val="2"/>
        <charset val="238"/>
        <scheme val="minor"/>
      </rPr>
      <t xml:space="preserve"> koji se sastoji od slijedeće ugrađene opreme:</t>
    </r>
  </si>
  <si>
    <r>
      <t xml:space="preserve">Ispitni list razvodnog ormara elektrane </t>
    </r>
    <r>
      <rPr>
        <b/>
        <sz val="9"/>
        <rFont val="Calibri"/>
        <family val="2"/>
        <charset val="238"/>
        <scheme val="minor"/>
      </rPr>
      <t>"RO-AC"</t>
    </r>
  </si>
  <si>
    <r>
      <t xml:space="preserve">Izjava o sukladnosti i oznaka o sukladnosti u ormaru za razvodni ormar elektrane </t>
    </r>
    <r>
      <rPr>
        <b/>
        <sz val="9"/>
        <rFont val="Calibri"/>
        <family val="2"/>
        <charset val="238"/>
        <scheme val="minor"/>
      </rPr>
      <t>"RO-AC"</t>
    </r>
  </si>
  <si>
    <r>
      <t xml:space="preserve">Dobava, montaža i spajanje razvodnog ormara elektrane </t>
    </r>
    <r>
      <rPr>
        <b/>
        <sz val="9"/>
        <rFont val="Calibri"/>
        <family val="2"/>
        <charset val="238"/>
        <scheme val="minor"/>
      </rPr>
      <t>"RO-DC (DC BOX)"</t>
    </r>
    <r>
      <rPr>
        <sz val="9"/>
        <rFont val="Calibri"/>
        <family val="2"/>
        <charset val="238"/>
        <scheme val="minor"/>
      </rPr>
      <t xml:space="preserve"> koji se sastoji od slijedeće ugrađene opreme:</t>
    </r>
  </si>
  <si>
    <r>
      <t xml:space="preserve">Ispitni list razvodnog ormara elektrane </t>
    </r>
    <r>
      <rPr>
        <b/>
        <sz val="9"/>
        <rFont val="Calibri"/>
        <family val="2"/>
        <charset val="238"/>
        <scheme val="minor"/>
      </rPr>
      <t>"RO-DC"</t>
    </r>
  </si>
  <si>
    <r>
      <t xml:space="preserve">Izjava o sukladnosti i oznaka o sukladnosti u ormaru za razvodni ormar elektrane </t>
    </r>
    <r>
      <rPr>
        <b/>
        <sz val="9"/>
        <rFont val="Calibri"/>
        <family val="2"/>
        <charset val="238"/>
        <scheme val="minor"/>
      </rPr>
      <t>"RO-DC"</t>
    </r>
  </si>
  <si>
    <r>
      <t xml:space="preserve">Nadopuna postojećeg razvodnog ormara objekta </t>
    </r>
    <r>
      <rPr>
        <b/>
        <sz val="9"/>
        <rFont val="Calibri"/>
        <family val="2"/>
        <charset val="238"/>
        <scheme val="minor"/>
      </rPr>
      <t>"RZP"</t>
    </r>
    <r>
      <rPr>
        <sz val="9"/>
        <rFont val="Calibri"/>
        <family val="2"/>
        <charset val="238"/>
        <scheme val="minor"/>
      </rPr>
      <t xml:space="preserve"> sa slijedećom ugrađenom opremom za priključak fotonaponske elektrane uključivo:</t>
    </r>
  </si>
  <si>
    <r>
      <t xml:space="preserve">Dobava, polaganje i spajanje fotonaponskog kabela od stringova fotonaponskih panela na krovu objekta do razvodnog ormara elektrane </t>
    </r>
    <r>
      <rPr>
        <b/>
        <sz val="9"/>
        <rFont val="Calibri"/>
        <family val="2"/>
        <charset val="238"/>
        <scheme val="minor"/>
      </rPr>
      <t>"RO-DC (DC BOX)"</t>
    </r>
    <r>
      <rPr>
        <sz val="9"/>
        <rFont val="Calibri"/>
        <family val="2"/>
        <charset val="238"/>
        <scheme val="minor"/>
      </rPr>
      <t>, kabel se polaže u mrežne police, uključivo:</t>
    </r>
  </si>
  <si>
    <r>
      <t xml:space="preserve">Dobava, polaganje i spajanje fotonaponskog kabela od razvodnog ormara elektrane </t>
    </r>
    <r>
      <rPr>
        <b/>
        <sz val="9"/>
        <rFont val="Calibri"/>
        <family val="2"/>
        <charset val="238"/>
        <scheme val="minor"/>
      </rPr>
      <t>"RO-DC (DC BOX)"</t>
    </r>
    <r>
      <rPr>
        <sz val="9"/>
        <rFont val="Calibri"/>
        <family val="2"/>
        <charset val="238"/>
        <scheme val="minor"/>
      </rPr>
      <t xml:space="preserve"> do invertera, kabel se polaže u mrežne police, uključivo:</t>
    </r>
  </si>
  <si>
    <r>
      <t xml:space="preserve">Dobava, polaganje i spajanje napojnog kabela od invertera do razvodnog ormara elektrane </t>
    </r>
    <r>
      <rPr>
        <b/>
        <sz val="9"/>
        <rFont val="Calibri"/>
        <family val="2"/>
        <charset val="238"/>
        <scheme val="minor"/>
      </rPr>
      <t>"RO-AC (AC BOX)"</t>
    </r>
    <r>
      <rPr>
        <sz val="9"/>
        <rFont val="Calibri"/>
        <family val="2"/>
        <charset val="238"/>
        <scheme val="minor"/>
      </rPr>
      <t>, kabel se polaže u mrežne police, uključivo:</t>
    </r>
  </si>
  <si>
    <r>
      <t xml:space="preserve">Dobava, polaganje i spajanje napojnog kabela od razvodnog ormara elektrane </t>
    </r>
    <r>
      <rPr>
        <b/>
        <sz val="9"/>
        <rFont val="Calibri"/>
        <family val="2"/>
        <charset val="238"/>
        <scheme val="minor"/>
      </rPr>
      <t>"RO-AC (AC BOX)"</t>
    </r>
    <r>
      <rPr>
        <sz val="9"/>
        <rFont val="Calibri"/>
        <family val="2"/>
        <charset val="238"/>
        <scheme val="minor"/>
      </rPr>
      <t xml:space="preserve"> do postojećeg razvodnog ormara objekta </t>
    </r>
    <r>
      <rPr>
        <b/>
        <sz val="9"/>
        <rFont val="Calibri"/>
        <family val="2"/>
        <charset val="238"/>
        <scheme val="minor"/>
      </rPr>
      <t>"RZP"</t>
    </r>
    <r>
      <rPr>
        <sz val="9"/>
        <rFont val="Calibri"/>
        <family val="2"/>
        <charset val="238"/>
        <scheme val="minor"/>
      </rPr>
      <t>, kabel se polaže u kabelske kanalice i PVC kanalice uključivo:</t>
    </r>
  </si>
  <si>
    <r>
      <t xml:space="preserve">Dobava, polaganje i spajanje napojnog kabela od razvodnog ormara elektrane </t>
    </r>
    <r>
      <rPr>
        <b/>
        <sz val="9"/>
        <rFont val="Calibri"/>
        <family val="2"/>
        <charset val="238"/>
        <scheme val="minor"/>
      </rPr>
      <t>"RO-AC (AC BOX)"</t>
    </r>
    <r>
      <rPr>
        <sz val="9"/>
        <rFont val="Calibri"/>
        <family val="2"/>
        <charset val="238"/>
        <scheme val="minor"/>
      </rPr>
      <t xml:space="preserve"> do JPR tipkala, kabel se polaže u kabelske kanalice i PVC kanalice uključivo:</t>
    </r>
  </si>
  <si>
    <r>
      <t xml:space="preserve">Dobava, polaganje i spajanje kabela za izjednačenje potencijala od postojećeg razvodnog ormara objekta </t>
    </r>
    <r>
      <rPr>
        <b/>
        <sz val="9"/>
        <rFont val="Calibri"/>
        <family val="2"/>
        <charset val="238"/>
        <scheme val="minor"/>
      </rPr>
      <t>"RZP"</t>
    </r>
    <r>
      <rPr>
        <sz val="9"/>
        <rFont val="Calibri"/>
        <family val="2"/>
        <charset val="238"/>
        <scheme val="minor"/>
      </rPr>
      <t xml:space="preserve"> do metale mase podkonstrukcije fotonaponskih panela, kabel se polaže u kabelske kanalice i PVC kanalice uključivo:</t>
    </r>
  </si>
  <si>
    <r>
      <t xml:space="preserve">Dobava, polaganje i spajanje kabela za izjednačenje potencijala razvodnog ormara elektrane </t>
    </r>
    <r>
      <rPr>
        <b/>
        <sz val="9"/>
        <rFont val="Calibri"/>
        <family val="2"/>
        <charset val="238"/>
        <scheme val="minor"/>
      </rPr>
      <t>"RO-AC (AC BOX)"</t>
    </r>
    <r>
      <rPr>
        <sz val="9"/>
        <rFont val="Calibri"/>
        <family val="2"/>
        <charset val="238"/>
        <scheme val="minor"/>
      </rPr>
      <t>, kabel se polaže u kabelske kanalice i PVC kanalice uključivo:</t>
    </r>
  </si>
  <si>
    <r>
      <t xml:space="preserve">Dobava, polaganje i spajanje kabela za izjednačenje potencijala razvodnog ormara elektrane </t>
    </r>
    <r>
      <rPr>
        <b/>
        <sz val="9"/>
        <rFont val="Calibri"/>
        <family val="2"/>
        <charset val="238"/>
        <scheme val="minor"/>
      </rPr>
      <t>"RO-DC (DC BOX)"</t>
    </r>
    <r>
      <rPr>
        <sz val="9"/>
        <rFont val="Calibri"/>
        <family val="2"/>
        <charset val="238"/>
        <scheme val="minor"/>
      </rPr>
      <t>, kabel se polaže u kabelske kanalice i PVC kanalice uključivo:</t>
    </r>
  </si>
  <si>
    <t>FOTONAPONSKA ELEKTRANA UKUPNO:</t>
  </si>
  <si>
    <t>C.I.2</t>
  </si>
  <si>
    <t>MJERENJE, ISPITIVANJE, PODEŠAVANJE I PUŠTANJE U POGON UKUPNO:</t>
  </si>
  <si>
    <t xml:space="preserve">C. ELEKTRO INSTALACIJE / C.I.2. MJERENJE, ISPITIVANJE, PODEŠAVANJE I PUŠTANJE U POGON </t>
  </si>
  <si>
    <t xml:space="preserve">MJERENJE, ISPITIVANJE, PODEŠAVANJE I PUŠTANJE U POGON </t>
  </si>
  <si>
    <t>Kontrola montaže, spajanja i napona DC krugova do pretvarača</t>
  </si>
  <si>
    <t>Postavljanje parametara pretvarača</t>
  </si>
  <si>
    <t>Ispitivanje kvalitete električne energije po normi HR EN 50160 (ili "jednakovrijedno"), te izrada elaborata</t>
  </si>
  <si>
    <t>Provedba kontrola, mjerenja i ispitivanja električne instalacije prema planu kontrole iz projekta prije priključenja na NN razvod. Za sva ispitivanja priložiti ispitne izvještaje, zapisnik i izjave.</t>
  </si>
  <si>
    <t>A+B+C UKUPNO:</t>
  </si>
  <si>
    <t>C.</t>
  </si>
  <si>
    <t>C.I.2.</t>
  </si>
  <si>
    <t>ELEKTRO INSTALACIJE</t>
  </si>
  <si>
    <t>ELEKTRO INSTALACIJE UKUPNO:</t>
  </si>
  <si>
    <t>TROŠKOVNIK GRAĐEVINSKO OBRTNIČKIH RADOVA I ELEKTRO INSTALACIJE</t>
  </si>
  <si>
    <t xml:space="preserve">1.2. TROŠKOVNIK GRAĐEVINSKO OBRTNIČKIH RADOVA I ELEKTRO INSTALACIJE
</t>
  </si>
  <si>
    <t>REKAPITULACIJA GRAĐEVINSKO - OBRTNIČKIH RADOVA I ELEKTRO INSTALACIJE</t>
  </si>
  <si>
    <t xml:space="preserve">1.1. TROŠKOVNIK GRAĐEVINSKO OBRTNIČKIH RADOVA I ELEKTRO INSTALACIJE
</t>
  </si>
  <si>
    <t>2. OBRTNIČKI RADOVI</t>
  </si>
  <si>
    <t>1. GRAĐEVINSKI RADOVI</t>
  </si>
  <si>
    <t>3. ELEKTRO INSTALACIJE</t>
  </si>
  <si>
    <t>TROŠKOVNIK GRAĐEVINSKO OBRTNIČKIH RADOVA I ELEKTRO INSTALACIJE
(sa zamjenom stolarije stanova)</t>
  </si>
  <si>
    <t>TROŠKOVNIK GRAĐEVINSKO OBRTNIČKIH RADOVA I ELEKTRO INSTALACIJE
(bez zamjene stolarije stanova)</t>
  </si>
  <si>
    <t>GRAĐEVINSK,OBRTNIČKI RADOVI I ELEKTRO INSTALACIJA:</t>
  </si>
  <si>
    <t>GRAĐEVINSKI RADOVI:</t>
  </si>
  <si>
    <t>OBRTNIČKI RADOVI:</t>
  </si>
  <si>
    <t>ELEKTRO INSTALACIJA:</t>
  </si>
  <si>
    <t>P1 - prozor 360/168 cm</t>
  </si>
  <si>
    <t>P2 - prozor 347,5/168 cm</t>
  </si>
  <si>
    <t>P3 - prozor 287,5/168 cm</t>
  </si>
  <si>
    <t>P3a - prozor 200/168 cm</t>
  </si>
  <si>
    <t>P3b - prozor 275/168 cm</t>
  </si>
  <si>
    <t>P4 - prozor 275/168 cm</t>
  </si>
  <si>
    <t>P5 - prozor 120/168 cm</t>
  </si>
  <si>
    <t>P5A - prozor 140/168 cm</t>
  </si>
  <si>
    <t>P6 - prozor 60/168 cm</t>
  </si>
  <si>
    <t>P7 - prozor 60/168 cm</t>
  </si>
  <si>
    <t>P8 - prozor 50/168 cm</t>
  </si>
  <si>
    <t>S1 - ostakljena stijena  87,5+160+87,5/265 cm</t>
  </si>
  <si>
    <t>S2 - ostakljena stijena  87,5+160+87,5/265 cm</t>
  </si>
  <si>
    <t>S3 - ostakljena stijena 87,5+160/168 + 87,5/265 cm</t>
  </si>
  <si>
    <t>S4 - ostakljena stijena 150/265 cm</t>
  </si>
  <si>
    <t>S5 - ostakljena stijena 140/265 cm</t>
  </si>
  <si>
    <t>ZP1 - prozor 360/96 cm</t>
  </si>
  <si>
    <t>ZP2 - prozor 300/96 cm</t>
  </si>
  <si>
    <t>ZP3 - prozor 275/168 cm</t>
  </si>
  <si>
    <t>ZP4 - prozor 170/168 cm</t>
  </si>
  <si>
    <t>ZP5 - prozor 300/60 cm</t>
  </si>
  <si>
    <t>ZP6 - prozor 100/110 cm</t>
  </si>
  <si>
    <t>ZV1 - ulazna ostakljena stijena 335/250 cm</t>
  </si>
  <si>
    <t>ZV2 - ulazna ostakljena stijena 153,5/260 cm</t>
  </si>
  <si>
    <t>ZV4  - ostakljena vrata s nadsvjetlom 135,5/260 cm</t>
  </si>
  <si>
    <t>ZV5 - puna vrata 100/260 cm</t>
  </si>
  <si>
    <t>ZV6 - puna vratašca 100/140 cm</t>
  </si>
  <si>
    <t>Ličenje čeličnih ograda francuskih prozora sastavljenih od čeličnog okvira 40 x 40 mm, s vertikalnim šipkama d=12 mm na razmaku 130 mm, dimenzije panela 140/100 cm. Ličenje u dva sloja bojom za metal, u sivom tonu.</t>
  </si>
  <si>
    <t>Prije početka izvedbe radova izvoditelj je dužan projektantu predočiti uzorke boja odgovarajuće za određen tip obrade i izvesti probna bojanja s uzorcima na plohama koje se obrađuju, i to u više nijansi boja. Gore navedeno neće se posebno platiti već predstavlja trošak i obvezu izvoditelja i ulazi u jediničnu cijenu izvedbe radova.</t>
  </si>
  <si>
    <r>
      <t xml:space="preserve">Materijal koji će se upotrijebiti, pomoćni materijal, rad i pomoćni rad mora u svemu odgovarati standardima, propisima, Pravilniku o tehničkim mjerama i uvjetima za završne radove u građevinarstvu (Sl. list SFRJ 21/90) i </t>
    </r>
    <r>
      <rPr>
        <i/>
        <sz val="9"/>
        <rFont val="Calibri"/>
        <family val="2"/>
        <charset val="238"/>
      </rPr>
      <t xml:space="preserve">Tehničkim uvjetima za izvođenje ličilačkih radova HRN U.F2.O12/78 ili jednakovrijedno __________________. </t>
    </r>
    <r>
      <rPr>
        <sz val="9"/>
        <rFont val="Calibri"/>
        <family val="2"/>
        <charset val="238"/>
      </rPr>
      <t>Sav vezivni materijal, ljepila, materijal za brtvljenje i pomoćna sredstva prema HRN U.F1.011, ili jednakovrijedno __________________.</t>
    </r>
  </si>
  <si>
    <t>Izvedeni rad i upotrebljeni materijal mora u svemu (vrsti, boji i kvaliteti) biti jednak uzorku od najmanje 5 uzoraka, koje proizvođač izrađuje bez naplate. Materijal za izvedbu soboslikarsko-ličilačkih radova je naveden u stavkama troškovnika. Od primjenjenih se materijala traži da imaju prionjivost za podlogu, po mogućnosti da penetriraju u podlogu, da se njima jednostavno radi, da dobro "pokrivaju", da su im boje stalne, da su otporni na utjecaje sredine kojima su izloženi, da se ne brišu s ploha na koje su naneseni, da su bezopasni za okolinu, da se premazi njima mogu obnavljati bez posebnih prethodnika i sl.</t>
  </si>
  <si>
    <t>Jedinična cijena treba obuhvatiti:
- bojanje u više boja 
- sav materijal, dobavu, izradu I dopremu alata, mehanizaciju i uskladištenje
- troškove radne snage za kompletan rad opisan u troškovniku
- sve horizontalne i vertikalne transporte do mjesta montaže
- potrebnu radnu skelu (izuzima se fasadna skela)
- čišćenje nakon završetka radova
- svu štetu kao i troškove popravka kao posljedica nepažnje u toku izvedbe
- troškove zaštite na radu
- troškove atesta
- zaštitu okolnih konstrukcija od prljanja
- čišćenje po završenom radu uključivo odvoz viška materijala na gradski deponij udaljen 20 km</t>
  </si>
  <si>
    <t>Radovi uključuju izradu, dobavu i montažu do potpune gotovosti al. prozora ili vrata od profila sa ili bez prekinutog termičkog mosta, eloksirani ili termolakirani prema RAL ton karti. Brtvljenje i spajanje prema sistemskim rješenjima propisanim od proizvođača sistema. Sav potreban okov za otvaranje potrebno je da je izrađen od INOX-a ili plastificiran u boji profila (prema rješenju projektanata). Odabrani okov prilagoditi težini i geometriji krila, tako da nesmetano zadovoljava funkciju otvaranja (otklopni, zaokretni ili zaokretno otklopni). U cijenu stavaka uključeno je i staklo.</t>
  </si>
  <si>
    <t>HRN B.C1.030 ili jednakovrijedno __________________, B.C8.030 ili jednakovrijedno __________________, građevinski gips
HRN B.C1.020 ili jednakovrijedno __________________, B.C8.030 ili jednakovrijedno __________________, građevinsko vapno
HRN B.C8.015,022 – 026 ili jednakovrijedno __________________, cement
HRN B.C8.011 ili jednakovrijedno __________________, portland cement
HRN B.C8.030 ili jednakovrijedno __________________, pijesak
HRN U.M2.010 ili jednakovrijedno __________________, U.M2.012 ili jednakovrijedno __________________, mortovi
HRN U.F2.010 ili jednakovrijedno __________________, tehički normativi za izvođenje fasaderskih radova</t>
  </si>
  <si>
    <t>Toplinska izolacija obračunava se po stvarnoj površini, s odbijanjem svih otvora. Radovi završnog žbukanja (armirana vapnena i polimercementna žbuka, impregnacijski premaz i završna žbuka) zidova određeni su prema normativima (GN 421 ili jednakovrijedno __________________) i standardima u građevinarstvu, a obračunavaju se na sljedeći način:
1. Otvori veličine do 3,0 m² ne odbijaju se, a njihove špalete se posebno ne obračunavaju. 
2. Kod otvora veličine 3,0 do 5,0 m²  odbija se površina preko 3,0 m², a špalete se posebno ne obračunavaju. 
3. Kod otvora preko 5,0 m² odbija se površina preko 3,0 m², a špalete oko otvora se obračunavaju posebno. Ako su špalete veće od 20 cm, tada se višak preko 20 cm obračunava posebno po m².</t>
  </si>
  <si>
    <t>Sve mjere provjeriti na terenu. Ukoliko je to moguće izvršiti provjeru postojećeg stanja konstrukcije prije nuđenja. Nakon demontaže i uvida u postojeće stanje nosive konstrukcije napraviti provjeru opterećenja, izračun opterečenja novih slojeva mora biti odobren od strane inženjera konstrukcije i nadzornog inženjera. U slučaju potrebe za odstupanjem od predviđenih slojeva, isti se neće obračunavati kao dodatni rad. U cijeni predvidjeti eventualno potrebne izmjene na licu mjesta zbog specifičnosti zadatka (sanacija).</t>
  </si>
  <si>
    <t>Završna dekorativna žbuka za podnožje</t>
  </si>
  <si>
    <t xml:space="preserve">Stavka uključuje kompletnu funkcionalnu, završno ugrađenu, ostakljenu i obrađenu stavku, sav okov, sva sidra i sidrene detalje, spojna i pričvrsna sredstva. U stavku je uključena obrada spoja na kontaktne plohe zidova kao i sva potrebna prilagođavanja i podešavanja. </t>
  </si>
  <si>
    <t xml:space="preserve">Sistemski metalni okov za ručno otvaranje, boja u smeđem tonu, </t>
  </si>
  <si>
    <t xml:space="preserve">Stavka uključuje kompletnu funkcionalnu, završno ugrađenu stavku, sav okov, sva sidra i sidrene detalje, spojna i pričvrsna sredstva. U stavku je uključena obrada spoja na kontaktne plohe zidova kao i sva potrebna prilagođavanja i podešavanja. </t>
  </si>
  <si>
    <r>
      <t xml:space="preserve">Sve radove izvođač mora izvoditi prema troškovniku i izvedbenoj projektnoj dokumentaciji, solidno i stručno, prema pravilima dobrog zanata, </t>
    </r>
    <r>
      <rPr>
        <i/>
        <sz val="9"/>
        <rFont val="Calibri"/>
        <family val="2"/>
        <charset val="238"/>
      </rPr>
      <t>Pravilniku o ocjenjivanju sukladnosti, ispravama o sukladnosti i označavanju građevinskih proizvoda (NN 103/08, 147/09, 87/10, 129/11), Pravilniku o tehničkim mjerama i uvjetima za završne radove u zgradarstvu (Sl.list br. 21/90)</t>
    </r>
    <r>
      <rPr>
        <sz val="9"/>
        <rFont val="Calibri"/>
        <family val="2"/>
        <charset val="238"/>
      </rPr>
      <t xml:space="preserve">, </t>
    </r>
    <r>
      <rPr>
        <i/>
        <sz val="9"/>
        <rFont val="Calibri"/>
        <family val="2"/>
        <charset val="238"/>
      </rPr>
      <t xml:space="preserve">Tehničkom propisu o racionalnoj upotrebi energije i toplinskoj zaštiti u zgradama (NN128/15, 70/18., 73/18) </t>
    </r>
    <r>
      <rPr>
        <sz val="9"/>
        <rFont val="Calibri"/>
        <family val="2"/>
        <charset val="238"/>
      </rPr>
      <t xml:space="preserve">sa pripadajućim normama, </t>
    </r>
    <r>
      <rPr>
        <i/>
        <sz val="9"/>
        <rFont val="Calibri"/>
        <family val="2"/>
        <charset val="238"/>
      </rPr>
      <t xml:space="preserve">Tehničkom propis o građevnim proizvodima (NN 35/18) </t>
    </r>
    <r>
      <rPr>
        <sz val="9"/>
        <rFont val="Calibri"/>
        <family val="2"/>
        <charset val="238"/>
      </rPr>
      <t xml:space="preserve">i </t>
    </r>
    <r>
      <rPr>
        <i/>
        <sz val="9"/>
        <rFont val="Calibri"/>
        <family val="2"/>
        <charset val="238"/>
      </rPr>
      <t>Tehničkim uvjeti za izvođenje limarskih radova (HRN U.N9.055. ili jednakovrijedno __________________)</t>
    </r>
    <r>
      <rPr>
        <sz val="9"/>
        <rFont val="Calibri"/>
        <family val="2"/>
        <charset val="238"/>
      </rPr>
      <t>, te svim ostalim tehničkim propisima, priznatim tehničkim pravilima i HR normama, ili jednakovrijedno __________________, a osobito:</t>
    </r>
  </si>
  <si>
    <t>Izrada raznih opšava od aluminijskog lima, minimalne debljine 1 mm, po potrebi vidljivi dijelovi usklađeni s fasadom, završno obrađeni plastificiranjem u sivom tonu na temelju predloženog uzorka, r.š. do 50 cm iz jednog ili 2 dijela. U cijeni je kompletan rad i potreban osnovni i pomoćni materijal kao: tiplanje vijcima Ø 8 mm te brtvljenje trajnoelastičnim kitom, plosna galvanizirana željeza ili kuke za učvršćenje opšava, podložna hidroizolacija i sl. Izvesti prema glavnom projektu i detalju, te izmjeri na gradilištu.</t>
  </si>
  <si>
    <t xml:space="preserve">Dobava materijala, izrada i montaža vanjskih limenih klupčica postojećih i novih prozora. Izvesti od plastificiranog al. lima minimalne  debljine 1 mm, u sivom tonu temeljem prethodnog uzorka. Lim završava okapnicom odmaknutom od gotove fasade 3-5 cm. Podložna paropropusna hidroizolacija te brtvljenje trajnoelastičnim kitom, brtvena traka, podložne ploče od XPS-a, plosne galvanizirane čel. kuke uključene u stavku. U cijenu uključiti sav ostali pomoćni i spojni materijal i sva potrebna podešavanja i prilagođavanja. Sve mjere uzimati na licu mjesta. Obračun po m¹ postavljene klupčice. </t>
  </si>
  <si>
    <r>
      <t>Dobava materijala, izrada i montaža opšavnih limova, okapnica, klupčice ograda terasa. Izvesti od plastificiranog al. lima minimalne debljine 1 mm u sivom tonu na temelju predloženog uzorka.  Kod kapa i opšava većih dimenzija lim dodatno učvrstiti u podlogu mehaničkom pričvrsnicom s metalnom trakom koja je posredno ili direktno pričvršćena za nosivu konstrukciju, te preko podveza na svakih cca 40 cm razmaka, tj. pomoću galvaniziranih pocinčanih kuka od plosnog čelika 40/3 mm, usidrenih pomoću vijaka sa tiplama za ugradbu. Lim završava okapnicom s obje strane odmaknutom od gotove fasade za  3-5 cm.
Izvedba hidroizolacije na spoju s rubnim limom te brtvljenje trajnoelastičnim kitom. Plosne pocinčane kuke i meh. pričcršnice s metalnom trakom uključene u stavku. Izvesti prema glavnom projektu i detalju, te izmjeri na gradilištu. U cijenu je uključen sav pomoćni i spojni materijal. Sve mjere uzeti na licu mjesta. Obračun po m</t>
    </r>
    <r>
      <rPr>
        <sz val="9"/>
        <rFont val="Arial"/>
        <family val="2"/>
        <charset val="238"/>
      </rPr>
      <t>¹</t>
    </r>
    <r>
      <rPr>
        <sz val="9"/>
        <rFont val="Calibri"/>
        <family val="2"/>
        <charset val="238"/>
      </rPr>
      <t xml:space="preserve"> postavljenog opšava.</t>
    </r>
  </si>
  <si>
    <t>6. Izvođač je dužan proučiti sve gore navedene dijelove projekta, te u slučaju nejasnoća ili eventualnih odstupanja od stvarnog stanja na terenu,  tražiti mišljenje projektanta i nadzornog inženjera. Prije početka radova izvođač je obavezan kontrolirati na postojećoj zgradi sve potrebne mjere za svoj rad, te obavijestiti projektanta u slučaju nedorečenosti ili nejasnoća. Prilikom izvođenja radova treba paziti da svi detalji budu riješeni u skladu s Tehničkim propisom o racionalnoj uporabi energije i toplinskoj zaštiti u zgradama (NN 128/15, NN 70/18, NN 73/18, 86/18.)</t>
  </si>
  <si>
    <t>10. Izvođač će ugraditi projektom predviđen i prema hrvatskim normama ili jednakovrijedno __________________ atestiran materijal. Sve radove izvest će od kvalitetnog materijala prema opisu, detaljima, pismenim naređenjima, ali sve u okviru ponuđene jedinične cijene. Svi nekvalitetni radovi imaju se otkloniti i zamijeniti ispravnima, bez bilo kakve odštete od strane investitora.</t>
  </si>
  <si>
    <r>
      <t xml:space="preserve">11. Klasifikacija materijala prema gorivosti određena je normama </t>
    </r>
    <r>
      <rPr>
        <i/>
        <sz val="9"/>
        <rFont val="Calibri"/>
        <family val="2"/>
      </rPr>
      <t xml:space="preserve">HRN EN 13501-1 </t>
    </r>
    <r>
      <rPr>
        <sz val="9"/>
        <rFont val="Calibri"/>
        <family val="2"/>
        <charset val="238"/>
      </rPr>
      <t>ili jednakovrijedno __________________</t>
    </r>
    <r>
      <rPr>
        <sz val="9"/>
        <rFont val="Calibri"/>
        <family val="2"/>
      </rPr>
      <t xml:space="preserve">i </t>
    </r>
    <r>
      <rPr>
        <i/>
        <sz val="9"/>
        <rFont val="Calibri"/>
        <family val="2"/>
      </rPr>
      <t xml:space="preserve">HRN EN 13501-5 </t>
    </r>
    <r>
      <rPr>
        <sz val="9"/>
        <rFont val="Calibri"/>
        <family val="2"/>
        <charset val="238"/>
      </rPr>
      <t>ili jednakovrijedno __________________</t>
    </r>
    <r>
      <rPr>
        <sz val="9"/>
        <rFont val="Calibri"/>
        <family val="2"/>
      </rPr>
      <t xml:space="preserve">, dok se ispitivanja vrše prema hrvatskim normama (HRN) ili jednakovrijedno __________________  koje se odnose na ispitivanju otpornosti na požar, a koje su navedene Pravilnikom i prema </t>
    </r>
    <r>
      <rPr>
        <i/>
        <sz val="9"/>
        <rFont val="Calibri"/>
        <family val="2"/>
      </rPr>
      <t xml:space="preserve">ETAG 004, 03/00, 06/08 </t>
    </r>
    <r>
      <rPr>
        <sz val="9"/>
        <rFont val="Calibri"/>
        <family val="2"/>
      </rPr>
      <t>ili jednakovrijedno __________________.</t>
    </r>
  </si>
  <si>
    <t>16. Izvođač je dužan ponuditi sve stavke po opisu troškovnika. Promjene pojedinih stavki djelomično ili u cijelosti moguće je samo uz prethodno odobrenje projektanta ili nadzornog inženjera.</t>
  </si>
  <si>
    <r>
      <t xml:space="preserve">8. Izvođač će se pridržavati svih važećih zakona i propisa i to: </t>
    </r>
    <r>
      <rPr>
        <i/>
        <sz val="9"/>
        <rFont val="Calibri"/>
        <family val="2"/>
      </rPr>
      <t>Zakona o prostornom uređenju (NN 153/13, NN 65/17, NN 114/18, NN 39/19), Zakona o gradnji (NN 153/13, 20/17, 39/19, 125/19, 145/24), Zakona o građevinskoj inspekciji (NN 153/13), Zakona o zaštiti na radu (NN 71/14, 118/14, N 154/14, 94/18, 96/18), Zakon o zaštiti od buke (NN 30/09, 55/13, 153/13, 41/16, 114/18, 41/21), Zakon o zaštiti od požara (NN 92/10),</t>
    </r>
    <r>
      <rPr>
        <sz val="9"/>
        <rFont val="Calibri"/>
        <family val="2"/>
      </rPr>
      <t xml:space="preserve"> svih pravilnika koji iz tih zakona proizlaze, kao i svih drugih zakona iz područja gradnje, tehničkih propisa, priznatih tehničkih pravila i hrvatskih normi (HRN), ili jednakovrijedno __________________.</t>
    </r>
  </si>
  <si>
    <t>Izvođaču se preporuča pregledati projekt i lokaciju, mogućnosti pristupa parceli i organizacije rada na parceli kako bi mogao dati realnu cijenu za pripremne i ostale radove. Ukoliko izvođač prethodnim uvidom primijeti da je potrebno izvesti još neke pripremne radove, dužan ih je uvrstiti u cijenu  putem obračuna u faktoru, jer se naknadni pripremni radovi neće posebno priznavati.</t>
  </si>
  <si>
    <t xml:space="preserve">Izvođaču se preporuča pregledati građevinu radi ocjene uvjeta za organizaciju izvedbe radova i stanja pojedinih dijelova građevine na kojima se radovi izvode prije izrade ponude za skelu.
Oslanjanje skele na nosivu podlogu preko metalnih podložnih papuča; podloga na koju se postavlja fasadna skela mora biti čvrsta i stabilna. Minimalna širina skele iznosi 80cm.
</t>
  </si>
  <si>
    <t>ZV3 - ulazna stijena 271/205 cm s prozorom 271/105 cm</t>
  </si>
  <si>
    <t xml:space="preserve">ZV6 - puna vratašca 100/140 cm </t>
  </si>
  <si>
    <t>P5 - prozor 120/168 cm u zidu 33 cm</t>
  </si>
  <si>
    <t>P5A - prozor 145/168 cm</t>
  </si>
  <si>
    <t xml:space="preserve">ZV5 - puna vrata 100/260 cm </t>
  </si>
  <si>
    <t xml:space="preserve">P3 - prozor 287,5/168 cm </t>
  </si>
  <si>
    <t>pročelja i balkoni: split uređaji</t>
  </si>
  <si>
    <t>Demontaža, privremeno uklanjanje i ponovna montaža postojećih TV antena, kablova i pripadajućih kanalica, rasvjetnih tijela, razvodnih ormarića,  i sl. sa svih pročelja, stropa prizemlja, lođa i krova. Sve demontirane elemente potrebno je sigurno pohraniti na gradilištu. Nakon radova rušenja i demontaže kablove je potrebno ugraditi podžbukno u nove kanalice, a nakon izvedbe pročelja upotrebljive demontirane elemente potrebno je ponovno montirati, a neupotrebljive elemente odvesti na deponij udaljen 20 km. Otpajanje i ponovno spajanje svih vodova, uzemljenja i sl. vrši ovlaštena stručna osoba. 
Obračun po komadu.</t>
  </si>
  <si>
    <t>Sve mjere provjeriti na terenu. Ukoliko je to moguće izvršiti provjeru postojećeg stanja konstrukcije prije nuđenja. Nakon demontaže i uvida u postojeće stanje nosive konstrukcije napraviti provjeru opterećenja, izračun opterečenja uklonjenih slojeva u odnosu na slojeve novog krova mora biti odobren od strane inženjera konstrukcije. U slučaju potrebe za odstupanjem od predviđenih slojeva, isti se neće obračunavati kao dodatni rad. U cijeni predvidjeti eventualno potrebne izmjene na licu mjesta zbog specifičnosti zadatka (sanacija). Izvoditelj treba imati radnike s odgovarajućim iskustvom, obučene i ovlaštene od proizvođača materijala.</t>
  </si>
  <si>
    <t>preporuča se izmjera prije nuđenja, vertikale Ø 100 mm</t>
  </si>
  <si>
    <t xml:space="preserve">kom </t>
  </si>
  <si>
    <t>HRN B.C1.030 ili jednakovrijedno __________________, B.C8.030 ili jednakovrijedno __________________, građevinski gips
HRN B.C1.020 ili jednakovrijedno __________________, B.C8.030 ili jednakovrijedno __________________, građevinsko vapno
HRN B.C8.015,022 – 026 ili jednakovrijedno __________________, cement
HRN B.C8.011 ili jednakovrijedno __________________, portland cement
HRN B.C8.030 ili jednakovrijedno __________________, pijesak
HRN U.M2.010 ili jednakovrijedno __________________, U.M2.012 ili jednakovrijedno __________________, mortovi
HRN U.F2.010 ili jednakovrijedno __________________, tehnički normativi za izvođenje fasaderskih radova</t>
  </si>
  <si>
    <t>HRN EN 1008 ili jednakovrijedno __________________, HRN EN 13139;2003+AC;2006 ili jednakovrijedno __________________, voda i pijesak 
HRN EN 197-1:2012 ili jednakovrijedno __________________, cement
HRN EN 459-1:2015 ili jednakovrijedno __________________, vapno</t>
  </si>
  <si>
    <t>Izvođač je dužan sve izvoditi prema uputama proizvođača, isporučitelja materijala te ovjerenih detalja. Izvođač će pristupiti izvedbi tek nakon što projektant potpisom potvrdi tehnološku razradu svih detalja. Izrada rješenja neće se posebno naplatiti već predstavlja trošak i obavezu izvođača.</t>
  </si>
  <si>
    <r>
      <t xml:space="preserve">Svi materijali za izvedbu hidroizolaterskih radova moraju u pogledu kvalitete odgovarati HR normama ili jednakovrijedno __________________ koje propisuje </t>
    </r>
    <r>
      <rPr>
        <i/>
        <sz val="9"/>
        <rFont val="Calibri"/>
        <family val="2"/>
        <charset val="238"/>
      </rPr>
      <t>Tehnički propis o građevnim proizvodima (NN 35/18),</t>
    </r>
    <r>
      <rPr>
        <sz val="9"/>
        <rFont val="Calibri"/>
        <family val="2"/>
        <charset val="238"/>
      </rPr>
      <t xml:space="preserve"> sukladno normi koja se odnosi na određeni proizvod, ili jednakovrijedno __________________, a osobito:
</t>
    </r>
  </si>
  <si>
    <r>
      <t xml:space="preserve">Svi materijali za izvedbu termoizolaterskih radova moraju u pogledu kvalitete odgovarati HR normama ili jednakovrijedno __________________ koje propisuje </t>
    </r>
    <r>
      <rPr>
        <i/>
        <sz val="9"/>
        <rFont val="Calibri"/>
        <family val="2"/>
        <charset val="238"/>
      </rPr>
      <t>Tehnički propis o racionalnoj uporabi energije i toplinskoj zaštiti u zgradama (NN 128/15, 70/18,73/18),</t>
    </r>
    <r>
      <rPr>
        <sz val="9"/>
        <rFont val="Calibri"/>
        <family val="2"/>
        <charset val="238"/>
      </rPr>
      <t xml:space="preserve"> sukladno HRN EN ili jednakovrijedno __________________ koja se odnosi na određeni proizvod, uključujući i sve važeće europske tehničke propise i norme ili jednakovrijedno __________________, a osobito:</t>
    </r>
  </si>
  <si>
    <t xml:space="preserve">HRN EN 13162:2015 ili jednakovrijedno __________________, tvornički izrađeni proizvodi od mineralne vune (MW)
HRN EN 13163:2016 ili jednakovrijedno __________________, tvornički izrađeni proizvodi od ekspandiranog polistirena (EPS)
HRN EN 13164:2015 ili jednakovrijedno __________________, tvornički izrađeni proizvodi od ekstrudirane polistirenske pjene (XPS)
HRN EN 13165:2016 ili jednakovrijedno __________________, tvornički izrađeni proizvodi od tvrde poliuretanske pjene (PUR)
ETAG 004, 03/00, 06/08 ili jednakovrijedno __________________,  EXTERNAL THERMAL INSULATION COMPOSITE SYSTEMS WITH RENDERING
HRN EN 13499:2004 ili jednakovrijedno __________________, povezani sustavi za vanjsku toplinsku izolaciju (ETICS) na osnovi EPS 
HRN EN 13500:2004 ili jednakovrijedno __________________, povezani sustavi za vanjsku toplinsku izolaciju (ETICS) na osnovi MW
HRN EN 13172:2012 ili jednakovrijedno __________________, vrednovanje sukladnosti
HRN EN 29052-1 ili jednakovrijedno __________________ (ISO 9052-1 ili jednakovrijedno __________________; EN 29052-1 ili jednakovrijedno __________________), materijali koji se upotrebljavaju u stanovima ispod plivajućih podova.
</t>
  </si>
  <si>
    <t>Svi materijali za izvedbu termoizolaterskih radova moraju u pogledu kvalitete odgovarati HRN EN ili jednakovrijedno __________________ na koje upućuju priznata tehnička pravila (bivši JUS standardi) koji se odnose na specifikacije građevnih proizvoda HRN U.M9.015 (mineralna vuna) ili jednakovrijedno __________________ i HRN G.C7.202 (lake ploče za termoizolaciju) ili jednakovrijedno __________________.</t>
  </si>
  <si>
    <t xml:space="preserve"> U cijenu također treba biti uključena i izrada unutarnje PVC klupčice, na potkonstrukciji, prema RAL ton karti, osim ako stavkom nije opisano drugačije. U cijenu također treba biti uključena i izrada unutrašnjih gipskartonskih špaleta, osim ako to nije opisano zasebno u gipskartonskim radovima.</t>
  </si>
  <si>
    <r>
      <t xml:space="preserve">Sistemski metalni okov za ručno otvaranje, </t>
    </r>
    <r>
      <rPr>
        <sz val="9"/>
        <color theme="1"/>
        <rFont val="Calibri"/>
        <family val="2"/>
        <charset val="238"/>
      </rPr>
      <t>boja  u tamnom tonu</t>
    </r>
    <r>
      <rPr>
        <sz val="9"/>
        <rFont val="Calibri"/>
        <family val="2"/>
      </rPr>
      <t xml:space="preserve">, </t>
    </r>
  </si>
  <si>
    <t xml:space="preserve">Sistemski metalni okov za ručno otvaranje, boja u tamnom tonu, </t>
  </si>
  <si>
    <r>
      <t xml:space="preserve">Sistemski metalni okov za ručno otvaranje, </t>
    </r>
    <r>
      <rPr>
        <sz val="9"/>
        <rFont val="Calibri"/>
        <family val="2"/>
        <charset val="238"/>
      </rPr>
      <t>boja u tamnom tonu</t>
    </r>
    <r>
      <rPr>
        <sz val="9"/>
        <rFont val="Calibri"/>
        <family val="2"/>
      </rPr>
      <t xml:space="preserve">, </t>
    </r>
  </si>
  <si>
    <t>Sistemski metalni okov za ručno otvaranje i elektromagnetsko otključavanje brave, boja u tamnom tonu,</t>
  </si>
  <si>
    <t xml:space="preserve">Sistemski metalni okov za ručno otvaranje i elektromagnetsko otključavanje brave, boja u tamnom tonu </t>
  </si>
  <si>
    <t>Sistemski metalni okov za ručno otvaranje i elektromagnetsko otključavanje brave, okov za ručno otvaranje otklopnih prozora, boja u tamnom tonu</t>
  </si>
  <si>
    <r>
      <t>U cijenu također treba biti uključena i izrada vanjske al. klupčice od al. lima deb. 1mm, na potkonstrukciji, završno obrađene eloksažom ili plastifikacijom, sav ostali pomoćni i spojni materijal i sva potrebna podešavanja i prilagođavanja,</t>
    </r>
    <r>
      <rPr>
        <b/>
        <sz val="9"/>
        <rFont val="Calibri"/>
        <family val="2"/>
        <charset val="238"/>
      </rPr>
      <t xml:space="preserve"> </t>
    </r>
    <r>
      <rPr>
        <sz val="9"/>
        <rFont val="Calibri"/>
        <family val="2"/>
        <charset val="238"/>
      </rPr>
      <t>osim ako stavkom nije opisano drugačije odnosno ako to nije zasebno opisano u limarskim radovima. U cijenu također treba biti uključena i izrada unutarnje al. klupčice od eloksiranog ili plastificiranog al. lima deb. 1 mm, na potkonstrukciji, završna obrada: u natur boji alu. ili termolakiranje prema RAL ton karti, osim ako stavkom nije opisano drugačije odnosno ako to nije zasebno opisano u limarskim radovima. U cijenu također treba biti uključena i izrada unutrašnjih gipskartonskih špaleta, osim ako to nije opisano zasebno.</t>
    </r>
  </si>
  <si>
    <t xml:space="preserve">HRN EN 14351-1:2006 ili jednakovrijedno __________________, prozori i vrata - norma za proizvod, izvedbene značajke
HRN EN 12207:2001 ili jednakovrijedno __________________, prozori i vrata - propusnost zraka
HRN EN 12208:2001 ili jednakovrijedno __________________, prozori i vrata - vodonepropusnost 
HRN EN 12210:2001+AC:2005 ili jednakovrijedno __________________, prozori i vrata - otpornost na opterećenje vjetrom
HRN EN ISO 140-3 ili jednakovrijedno __________________, akustika - mjerenje razine zvuka u zgradama i elementima zgrada
HRN EN ISO 717-1 ili jednakovrijedno __________________, akustika - određivanje razine zvuka u zgradama
HRN EN 410:1998 ili jednakovrijedno __________________, staklo u graditeljstvu - određivanje svjetlosnih i sunčanih značajka ostakljenja
HRN EN 572-9:2005 ili jednakovrijedno __________________, staklo u graditeljstvu - proizvodi od osnovnog natrij-kalcij-silikatnog stakla
HRN D.E1.012 ili jednakovrijedno __________________, vanjska stolarija
HRN D.E8.193. ili jednakovrijedno __________________ i 235. ili jednakovrijedno __________________, vodonepropusnost i hermetičnost
</t>
  </si>
  <si>
    <t xml:space="preserve">HRN EN 14351-1:2016 ili jednakovrijedno __________________, prozori i vrata - norma za proizvod, izvedbene značajke
HRN EN 12207:2017 ili jednakovrijedno __________________, prozori i vrata - propusnost zraka
HRN EN 12208:2001 ili jednakovrijedno __________________, prozori i vrata - vodonepropusnost 
HRN EN 12210:2016 ili jednakovrijedno __________________, prozori i vrata - otpornost na opterećenje vjetrom
HRN EN ISO 140-3 ili jednakovrijedno __________________, akustika - mjerenje razine zvuka u zgradama i elementima zgrada
HRN EN ISO 717-1 ili jednakovrijedno __________________, akustika - određivanje razine zvuka u zgradama
HRN EN 410:1998 ili jednakovrijedno __________________, staklo u graditeljstvu - određivanje svjetlosnih i sunčanih značajka ostakljenja
HRN EN 572-9:2005 ili jednakovrijedno __________________, staklo u graditeljstvu - proizvodi od osnovnog natrij-kalcij-silikatnog stakla
HRN D.E1.012 ili jednakovrijedno __________________, vanjska stolarija
HRN D.E8.193. ili jednakovrijedno __________________ i 235 ili jednakovrijedno __________________, vodonepropusnost i hermetičnost
</t>
  </si>
  <si>
    <t>Završni dekorativni sloj izvesti od tankoslojne silikatne žbuke debljine 3,0 mm s dodatkom fungicida na prethodno impregniranu podlogu prema odabranom proizvođaču i tipu završnog sloja. Izbor završne žbuke, boja, granulacija i tekstura žbuke u dogovoru s projektantom u zemljanim tonovima - nikakva dodatna obrada ploha nije potrebna. Ploče mineralne (kamene) vune su lijepljene i mehanički učvršćene plastičnim pričvrsnicama sa širokim glavama, sve prema preporuci proizvođača. Minimalni broj pričvrsnica je 6, a maksimalni 12 kom/m². Izbor pričvrsnica i potrebni broj kom po m² je opisan u općim uvjetima.
Zaštita horizontalne plohe fasade na istaknutiom dijelovima zida se izvodi armirano cementnom HI prema detalju, obračun po m'.</t>
  </si>
  <si>
    <t>Izvedba certificiranog ETICS-a (prema ETAG 004 ili jednakovrijedno __________________) sustava toplinske izolacije vanjskih zidova, klasificiranje otpornosti na požar minimalnog razreda reakcije na požar D-d1 (prema normi HRN EN 13501-1, 5)  ili jednakovrijedno __________________, sa svim potrebnim predradnjama i pripremom podloge. Izvedba izolacije podnožja zgrade visine cca. 30-60 cm, postavom ploča od ekstrudiranog polistirena (XPS) λ≤0,035 W/mK, debljine 16 cm, s tankoslojnom polimer cementnom žbukom debljine 0,5 cm armiranom staklenom alkalnootpornom mrežicom, te završnim vodoodbojnim slojem završne dekorativne žbuke za podnožje s dodatkom fungicida na prethodno impregniranu podlogu, sve iz sustava istog proizvođača. Vrsta impregnacije prema vrsti završnog sloja.  
Odabri boje, granulacije i teksture žbuke u dogovoru s projektantom u zemljanim tonovima. U stavku je uključena izvedba probnih uzoraka boje na pročelju zgrade prije odabira konačne nijanse boje.</t>
  </si>
  <si>
    <t>V1 - garažna vrata 260/205 cm + prozor 260/105 cm</t>
  </si>
  <si>
    <t xml:space="preserve">ZV3 - ulazna stijena 271/205 cm s prozorom 271/105 cm </t>
  </si>
  <si>
    <t>P5 - prozor 120/168  cm u zidu 33 cm</t>
  </si>
  <si>
    <t xml:space="preserve">P5 - prozor 120/168 cm u zidu 33 cm </t>
  </si>
  <si>
    <t>Ličenje čeličnih ograda loggia sastavljenih od čeličnih stupova 40x40 mm, rukohvata 40x60 mm i okvira od L 40 x 60 mm, ustakljenih žičanim staklom 4 mm, dimenzije panela 140/100 cm. Ličenje u dva sloja bojom za metal, u sivom tonu.</t>
  </si>
  <si>
    <t>FOTONAPONSKA ELEKTRANA ukupno</t>
  </si>
  <si>
    <t>MJERENJE, ISPITIVANJE, PODEŠAVANJE I PUŠTANJE U POGON ukupno</t>
  </si>
  <si>
    <t xml:space="preserve">HRN EN 13162:2015 ili jednakovrijedno __________________, tvornički izrađeni proizvodi od mineralne vune (MW)
HRN EN 13163:2016 ili jednakovrijedno __________________, tvornički izrađeni proizvodi od ekspandiranog polistirena (EPS)
HRN EN 13164:2015 ili jednakovrijedno __________________, tvornički izrađeni proizvodi od ekstrudirane polistirenske pjene (XPS)
HRN EN 13165:2016 ili jednakovrijedno __________________, tvornički izrađeni proizvodi od tvrde poliuretanske pjene (PUR)                                         HRN EN 13166:2016 ili jednakovrijedno __________________, tvornički izrađeni proizvodi od fenolne pjene (PF) 
HRN EN 13167:2015 ili jednakovrijedno __________________, tvornički izrađeni proizvodi od ćelijastog (pjenastog) stakla (CG) 
HRN EN 13168:2015 ili jednakovrijedno __________________, tvornički izrađeni proizvodi od drvene vune (WW) 
HRN EN 13169:2015 ili jednakovrijedno __________________, tvornički izrađeni proizvodi od ekspandiranog perlita (EPB) 
HRN EN 13170:2015 ili jednakovrijedno __________________, tvornički izrađeni proizvodi od ekspandiranog pluta (ICB)
HRN EN 13171:2015 ili jednakovrijedno __________________, tvornički izrađeni proizvodi od drvenih vlakana (WF)
ETAG 004, 03/00, 06/08 ili jednakovrijedno __________________,  EXTERNAL THERMAL INSULATION COMPOSITE SYSTEMS WITH RENDERING
HRN EN 13499:2004 ili jednakovrijedno __________________, povezani sustavi za vanjsku toplinsku izolaciju (ETICS) na osnovi EPS 
HRN EN 13500:2004 ili jednakovrijedno __________________, povezani sustavi za vanjsku toplinsku izolaciju (ETICS) na osnovi MW
HRN EN 29052-1 (ISO 9052-1 ili jednakovrijedno __________________; EN 29052-1 ili jednakovrijedno __________________) ili jednakovrijedno __________________, materijali koji se upotrebljavaju u stanovima ispod plivajućih podova HRN EN 13172:2012 ili jednakovrijedno __________________, toplinsko - izoalcijski proizvodi, vrednovanje sukladnosti
</t>
  </si>
  <si>
    <t>HRN EN 13495 ili jednakovrijedno __________________, toplinsko-izolacijski proizvodi za primjenu u zgradarstvu - određivanje otpornosti na čupanje povezanih sustava za vanjsku toplinsku izolaciju (ETICS)
HRN EN 13501-1 ili jednakovrijedno __________________, razredba građevnih proizvoda i građevnih elemenata prema ponašanju u požaru
HRN DIN 18 516 ili jednakovrijedno __________________, ventilirane fasade
HRN EN 998-1 ili jednakovrijedno __________________, specifikacija morta za ziđe
HRN EN 15824 ili jednakovrijedno __________________, specifikacije za vanjske i unutarnje žbuke  na osnovi organskih veziva
HRN EN 1991-1-4: Eurocod 1 - Djelovanja na konstrukcije - Dio 1-4: Opća djelovanja - Djelovanja vjetra - nacionalni dodatak ili jednakovrijedno __________________</t>
  </si>
  <si>
    <r>
      <t xml:space="preserve">ETICS (the external thermal insulation composite system), odnosno povezani sustav za vanjsku toplinsku izolaciju sastoji se od ljepila, toplinske izolacije (EPS, mineralna vuna), polimercementne armirane žbuke, impregnacijskog premaza i završne žbuke u odabranoj boji i teksturi (silikatna, akrilna, silikonska). ETICS sustav treba izvoditi komponentama jednog, odabranog sustava. Kod ugradnje svih komponenti pridržavati se uputa proizvođača (način ugradnje, sušenje). </t>
    </r>
    <r>
      <rPr>
        <b/>
        <sz val="9"/>
        <rFont val="Calibri"/>
        <family val="2"/>
        <charset val="238"/>
      </rPr>
      <t xml:space="preserve">Pri izvedbi ETICS-a, odnosno povezanog sustava za vanjsku toplinsku izolaciju potrebno je pridržavati se Smjernica za izradu ETICS sustava (HUPFAS). </t>
    </r>
    <r>
      <rPr>
        <sz val="9"/>
        <rFont val="Calibri"/>
        <family val="2"/>
        <charset val="238"/>
      </rPr>
      <t xml:space="preserve">
Izbor pričvrsnica mora odgovarati kategoriji opterećenja za postojeću podlogu u skladu sa smjernicom ETAG 014 ili jednakovrijedno __________________. Svaka pričvrsnica koja se koristi treba imati dokaz uporabljivosti u skladu s europskom smjernicom ETAG 014 ili jednakovrijedno __________________ prema kojoj treba biti izdana tehnička ocjena. Ako podloga ne odgovara nit jednoj kategoriji prema ETAG 014 ili jednakovrijedno, potrebno je izvesti ispitivanje nosivosti pričvrsnice na gradilištu (pull-off) test. Tip i broj pričvrsnica po m² određuje se na temelju proračuna negativnih tlakova u skladu s važećom hrvatskom normom HRN EN 1991-1-4:2012/NA: 2012: Eurokod 1- Djelovanja na konstrukcije – dio 1-4: Opća djelovanja – Djelovanja vjetra – nacionalni dodatak i nosivosti pričvrsnice na postojećoj podlozi ili jednakovrijedno __________________. Norma vrijedi za zgrade visine do 22 m, omjera visine i manje strane objekta h/d≤2, nadmorske visine do 500 mnm, te nazivne brzine vjetra do vref,0 35 m/s. Za sve ostale slučajeve obavezno je izraditi proračun broja pričvrsnica u skladu s važećim hrvatskim tehničkim propisima. Duljinu pričvrsnica je potrebno odrediti na način da se osigura, od proizvođača propisana, dubina sidrenja. Pričvrsnice ne smiju biti sidrene u žbuku, već isključivo u nosivu podlogu (beton, opeka). Lijepljenje toplinske izolacije na podlogu treba vršiti na način kako je to opisano  u nacionalnim Smjernicama z aizradu ETICS sustava (HUPFAS-a). Pričvrsnica može efikasno pružiti negativno opterećenje vjetrom jedino ako se ispod nje nalazi sloj ljepila.
Temeljem važeće hrvatske i europske građevne regulative svi su ponuđači sustava dužni nuditi kompletni toplinsko - izolacijski sustav za koji je proveden postupak ocijenjivanja sukladnosti i izdane isprave o sukladnosti u skladu s odredbama Pravilnika za ocijenjivanje sukladnosti, isprave o skuladnosti i označavanje građevnih proizvoda (NN 103/08, 147/09, 87/10, 129/11). Izvođači su dužni iste ugraditi prema tehničkoj uputi proizvođača i smjernicama HUPFAS-a te kontrolirati jesu li proizvodi koji su isporučeni na gradilište dio sustava. Izvođač sustava i nadzorni inženjner na gradilištu obavezni su kontrolirati jesu li isporučeni elementi odgovarajućeg sustava za koji je proveden postupak ocijenja sukladnosti u skladu s važećim zakonima i propisima, te na gradilištu imati svu pripadajuću dokumentaciju (tehničke upute, potvrde, izjave o sukladnosti i dr.).</t>
    </r>
  </si>
  <si>
    <t>* sva isporučena i ugrađena oprema i materijali moraju imati hrvatske certifikate ili jednakovrijedne certifikate i osiguran servis i održavanje u Republici Hrvatskoj.</t>
  </si>
  <si>
    <t>Ponuditelji su preporuča da prije podnošenja ponude temeljito pregledati projektnu i lokaciju dokumentaciju i za eventualne nejasnoće službeni upit pošalje naručitalju. Naručitelj konzultira projektanta. Također, obvezuju se procijeniti sve činjenice koje utječu na cijenu, kvalitetu i rok završetka radova, budući da se naknadni prigovori i zahtjevi za povećavanje cijene zbog nepoznavanja građevine i projektne dokumentacije neće uzeti u obzir.</t>
  </si>
  <si>
    <t>Za sve eventualne primjedbe u pogledu izvođenja i troškovnika, obratiti se naručitelju koji će konzultirati projektanta, prije davanja ponude.</t>
  </si>
  <si>
    <t>Izrada eleaborata EUEM – Elaborat utjecaja elektrane na mrežu</t>
  </si>
  <si>
    <t>Izrada elaborata EPZ - Elaborat podešenja zaštite</t>
  </si>
  <si>
    <t>(PDV na elektro instalacije iznosi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</si>
</sst>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quot;kn&quot;_-;\-* #,##0.00\ &quot;kn&quot;_-;_-* &quot;-&quot;??\ &quot;kn&quot;_-;_-@_-"/>
    <numFmt numFmtId="165" formatCode="_-* #,##0.00\ _k_n_-;\-* #,##0.00\ _k_n_-;_-* &quot;-&quot;??\ _k_n_-;_-@_-"/>
    <numFmt numFmtId="166" formatCode="0.0"/>
    <numFmt numFmtId="167" formatCode="#,##0.0"/>
    <numFmt numFmtId="168" formatCode="#,##0.00_ ;\-#,##0.00\ "/>
  </numFmts>
  <fonts count="118">
    <font>
      <sz val="11"/>
      <color theme="1"/>
      <name val="Calibri"/>
      <family val="2"/>
      <charset val="238"/>
      <scheme val="minor"/>
    </font>
    <font>
      <sz val="11"/>
      <color indexed="8"/>
      <name val="Calibri"/>
      <family val="2"/>
      <charset val="238"/>
    </font>
    <font>
      <b/>
      <sz val="9"/>
      <name val="Arial CE"/>
      <charset val="238"/>
    </font>
    <font>
      <sz val="9"/>
      <name val="Arial CE"/>
      <charset val="238"/>
    </font>
    <font>
      <sz val="9"/>
      <name val="Arial"/>
      <family val="2"/>
      <charset val="238"/>
    </font>
    <font>
      <b/>
      <sz val="9"/>
      <name val="Arial"/>
      <family val="2"/>
      <charset val="238"/>
    </font>
    <font>
      <i/>
      <sz val="9"/>
      <name val="Arial"/>
      <family val="2"/>
      <charset val="238"/>
    </font>
    <font>
      <sz val="10"/>
      <name val="Arial CE"/>
      <charset val="238"/>
    </font>
    <font>
      <b/>
      <sz val="10"/>
      <name val="Arial CE"/>
      <charset val="238"/>
    </font>
    <font>
      <b/>
      <sz val="10"/>
      <name val="Arial CE"/>
      <family val="2"/>
      <charset val="238"/>
    </font>
    <font>
      <sz val="12"/>
      <name val="Arial CE"/>
      <family val="2"/>
      <charset val="238"/>
    </font>
    <font>
      <sz val="11"/>
      <name val="Arial CE"/>
      <family val="2"/>
      <charset val="238"/>
    </font>
    <font>
      <b/>
      <sz val="11"/>
      <name val="Arial CE"/>
      <charset val="238"/>
    </font>
    <font>
      <sz val="10"/>
      <name val="Arial CE"/>
      <family val="2"/>
      <charset val="238"/>
    </font>
    <font>
      <sz val="9"/>
      <color indexed="8"/>
      <name val="Arial"/>
      <family val="2"/>
      <charset val="238"/>
    </font>
    <font>
      <sz val="10"/>
      <name val="Arial"/>
      <family val="2"/>
      <charset val="238"/>
    </font>
    <font>
      <b/>
      <sz val="12"/>
      <name val="Arial CE"/>
      <charset val="238"/>
    </font>
    <font>
      <b/>
      <sz val="11"/>
      <color indexed="8"/>
      <name val="Calibri"/>
      <family val="2"/>
      <charset val="238"/>
    </font>
    <font>
      <sz val="11"/>
      <color indexed="10"/>
      <name val="Calibri"/>
      <family val="2"/>
      <charset val="238"/>
    </font>
    <font>
      <sz val="11"/>
      <color indexed="8"/>
      <name val="Arial"/>
      <family val="2"/>
      <charset val="238"/>
    </font>
    <font>
      <sz val="9"/>
      <color indexed="8"/>
      <name val="Arial"/>
      <family val="2"/>
      <charset val="238"/>
    </font>
    <font>
      <b/>
      <sz val="9"/>
      <color indexed="8"/>
      <name val="Arial"/>
      <family val="2"/>
      <charset val="238"/>
    </font>
    <font>
      <b/>
      <sz val="10"/>
      <color indexed="10"/>
      <name val="Arial"/>
      <family val="2"/>
      <charset val="238"/>
    </font>
    <font>
      <b/>
      <sz val="12"/>
      <color indexed="8"/>
      <name val="Arial"/>
      <family val="2"/>
      <charset val="238"/>
    </font>
    <font>
      <sz val="10"/>
      <color indexed="10"/>
      <name val="Arial CE"/>
      <charset val="238"/>
    </font>
    <font>
      <b/>
      <sz val="10"/>
      <color indexed="10"/>
      <name val="Arial CE"/>
      <charset val="238"/>
    </font>
    <font>
      <sz val="10"/>
      <color indexed="10"/>
      <name val="Arial"/>
      <family val="2"/>
      <charset val="238"/>
    </font>
    <font>
      <b/>
      <sz val="12"/>
      <color indexed="10"/>
      <name val="Arial"/>
      <family val="2"/>
      <charset val="238"/>
    </font>
    <font>
      <sz val="8"/>
      <name val="Calibri"/>
      <family val="2"/>
      <charset val="238"/>
    </font>
    <font>
      <b/>
      <sz val="10"/>
      <color indexed="8"/>
      <name val="Arial Narrow"/>
      <family val="2"/>
      <charset val="238"/>
    </font>
    <font>
      <sz val="11"/>
      <color indexed="10"/>
      <name val="Calibri"/>
      <family val="2"/>
      <charset val="238"/>
    </font>
    <font>
      <sz val="11"/>
      <color indexed="10"/>
      <name val="Arial"/>
      <family val="2"/>
      <charset val="238"/>
    </font>
    <font>
      <sz val="11"/>
      <name val="Calibri"/>
      <family val="2"/>
      <charset val="238"/>
    </font>
    <font>
      <i/>
      <sz val="11"/>
      <color indexed="8"/>
      <name val="Calibri"/>
      <family val="2"/>
      <charset val="238"/>
    </font>
    <font>
      <sz val="10"/>
      <color indexed="8"/>
      <name val="Calibri"/>
      <family val="2"/>
      <charset val="238"/>
    </font>
    <font>
      <sz val="10"/>
      <name val="Calibri"/>
      <family val="2"/>
      <charset val="238"/>
    </font>
    <font>
      <b/>
      <sz val="12"/>
      <color indexed="8"/>
      <name val="Calibri"/>
      <family val="2"/>
      <charset val="238"/>
    </font>
    <font>
      <b/>
      <sz val="10"/>
      <color indexed="63"/>
      <name val="Calibri"/>
      <family val="2"/>
      <charset val="238"/>
    </font>
    <font>
      <b/>
      <sz val="10"/>
      <name val="Calibri"/>
      <family val="2"/>
      <charset val="238"/>
    </font>
    <font>
      <b/>
      <sz val="12"/>
      <name val="Calibri"/>
      <family val="2"/>
      <charset val="238"/>
    </font>
    <font>
      <b/>
      <sz val="11"/>
      <name val="Calibri"/>
      <family val="2"/>
      <charset val="238"/>
    </font>
    <font>
      <b/>
      <sz val="10"/>
      <color indexed="8"/>
      <name val="Calibri"/>
      <family val="2"/>
      <charset val="238"/>
    </font>
    <font>
      <b/>
      <sz val="10"/>
      <color indexed="10"/>
      <name val="Calibri"/>
      <family val="2"/>
      <charset val="238"/>
    </font>
    <font>
      <b/>
      <sz val="14"/>
      <color indexed="8"/>
      <name val="Calibri"/>
      <family val="2"/>
      <charset val="238"/>
    </font>
    <font>
      <b/>
      <sz val="14"/>
      <name val="Calibri"/>
      <family val="2"/>
      <charset val="238"/>
    </font>
    <font>
      <sz val="12"/>
      <name val="Calibri"/>
      <family val="2"/>
      <charset val="238"/>
    </font>
    <font>
      <b/>
      <sz val="9"/>
      <color indexed="8"/>
      <name val="Calibri"/>
      <family val="2"/>
      <charset val="238"/>
    </font>
    <font>
      <sz val="14"/>
      <color indexed="8"/>
      <name val="Calibri"/>
      <family val="2"/>
      <charset val="238"/>
    </font>
    <font>
      <b/>
      <sz val="9"/>
      <name val="Calibri"/>
      <family val="2"/>
      <charset val="238"/>
    </font>
    <font>
      <sz val="9"/>
      <name val="Calibri"/>
      <family val="2"/>
      <charset val="238"/>
    </font>
    <font>
      <sz val="9"/>
      <color indexed="10"/>
      <name val="Calibri"/>
      <family val="2"/>
      <charset val="238"/>
    </font>
    <font>
      <sz val="9"/>
      <color indexed="8"/>
      <name val="Calibri"/>
      <family val="2"/>
      <charset val="238"/>
    </font>
    <font>
      <i/>
      <sz val="9"/>
      <name val="Calibri"/>
      <family val="2"/>
      <charset val="238"/>
    </font>
    <font>
      <i/>
      <sz val="10"/>
      <name val="Calibri"/>
      <family val="2"/>
      <charset val="238"/>
    </font>
    <font>
      <sz val="11"/>
      <color indexed="8"/>
      <name val="Calibri"/>
      <family val="2"/>
      <charset val="238"/>
    </font>
    <font>
      <b/>
      <sz val="9"/>
      <name val="Calibri"/>
      <family val="2"/>
    </font>
    <font>
      <sz val="11"/>
      <name val="Arial"/>
      <family val="2"/>
      <charset val="238"/>
    </font>
    <font>
      <sz val="9"/>
      <name val="GreekC"/>
      <charset val="238"/>
    </font>
    <font>
      <b/>
      <sz val="16"/>
      <name val="Calibri"/>
      <family val="2"/>
      <charset val="238"/>
    </font>
    <font>
      <vertAlign val="superscript"/>
      <sz val="9"/>
      <name val="Calibri"/>
      <family val="2"/>
      <charset val="238"/>
    </font>
    <font>
      <sz val="10"/>
      <color indexed="8"/>
      <name val="Arial"/>
      <family val="2"/>
      <charset val="238"/>
    </font>
    <font>
      <sz val="10"/>
      <name val="Helv"/>
    </font>
    <font>
      <sz val="9"/>
      <name val="Consolas"/>
      <family val="3"/>
      <charset val="238"/>
    </font>
    <font>
      <b/>
      <i/>
      <sz val="9"/>
      <name val="Calibri"/>
      <family val="2"/>
      <charset val="238"/>
    </font>
    <font>
      <i/>
      <sz val="11"/>
      <name val="Calibri"/>
      <family val="2"/>
      <charset val="238"/>
    </font>
    <font>
      <b/>
      <sz val="10"/>
      <name val="Arial Narrow"/>
      <family val="2"/>
      <charset val="238"/>
    </font>
    <font>
      <b/>
      <sz val="8"/>
      <name val="Arial Narrow"/>
      <family val="2"/>
      <charset val="238"/>
    </font>
    <font>
      <sz val="9"/>
      <name val="Calibri"/>
      <family val="2"/>
    </font>
    <font>
      <sz val="9"/>
      <color indexed="10"/>
      <name val="Arial"/>
      <family val="2"/>
      <charset val="238"/>
    </font>
    <font>
      <i/>
      <sz val="9"/>
      <name val="Calibri"/>
      <family val="2"/>
    </font>
    <font>
      <sz val="9"/>
      <color indexed="30"/>
      <name val="Calibri"/>
      <family val="2"/>
      <charset val="238"/>
    </font>
    <font>
      <b/>
      <sz val="9"/>
      <color indexed="30"/>
      <name val="Calibri"/>
      <family val="2"/>
      <charset val="238"/>
    </font>
    <font>
      <i/>
      <sz val="9"/>
      <color indexed="30"/>
      <name val="Calibri"/>
      <family val="2"/>
      <charset val="238"/>
    </font>
    <font>
      <sz val="11"/>
      <color indexed="30"/>
      <name val="Arial"/>
      <family val="2"/>
      <charset val="238"/>
    </font>
    <font>
      <b/>
      <sz val="9"/>
      <name val="Calibri"/>
      <family val="2"/>
      <charset val="204"/>
    </font>
    <font>
      <sz val="8"/>
      <name val="Calibri"/>
      <family val="2"/>
      <charset val="238"/>
    </font>
    <font>
      <u/>
      <sz val="11"/>
      <color theme="10"/>
      <name val="Calibri"/>
      <family val="2"/>
      <charset val="238"/>
    </font>
    <font>
      <b/>
      <sz val="11"/>
      <color theme="1"/>
      <name val="Calibri"/>
      <family val="2"/>
      <charset val="238"/>
      <scheme val="minor"/>
    </font>
    <font>
      <sz val="10"/>
      <color theme="1"/>
      <name val="Calibri"/>
      <family val="2"/>
      <charset val="238"/>
      <scheme val="minor"/>
    </font>
    <font>
      <sz val="11"/>
      <name val="Calibri"/>
      <family val="2"/>
      <charset val="238"/>
      <scheme val="minor"/>
    </font>
    <font>
      <sz val="9"/>
      <name val="Calibri"/>
      <family val="2"/>
      <scheme val="minor"/>
    </font>
    <font>
      <sz val="9"/>
      <name val="Calibri"/>
      <family val="2"/>
      <charset val="238"/>
      <scheme val="minor"/>
    </font>
    <font>
      <b/>
      <sz val="9"/>
      <name val="Calibri"/>
      <family val="2"/>
      <charset val="238"/>
      <scheme val="minor"/>
    </font>
    <font>
      <i/>
      <sz val="9"/>
      <name val="Calibri"/>
      <family val="2"/>
      <charset val="238"/>
      <scheme val="minor"/>
    </font>
    <font>
      <sz val="9"/>
      <color rgb="FFFF0000"/>
      <name val="Calibri"/>
      <family val="2"/>
      <charset val="238"/>
    </font>
    <font>
      <sz val="9"/>
      <color rgb="FF00B050"/>
      <name val="Calibri"/>
      <family val="2"/>
      <charset val="238"/>
    </font>
    <font>
      <b/>
      <sz val="11"/>
      <color theme="1"/>
      <name val="Calibri"/>
      <family val="2"/>
      <charset val="238"/>
    </font>
    <font>
      <sz val="10"/>
      <color rgb="FF0000FF"/>
      <name val="Arial"/>
      <family val="2"/>
      <charset val="238"/>
    </font>
    <font>
      <sz val="10"/>
      <color rgb="FFFF0000"/>
      <name val="Arial"/>
      <family val="2"/>
      <charset val="238"/>
    </font>
    <font>
      <strike/>
      <sz val="11"/>
      <name val="Calibri"/>
      <family val="2"/>
      <charset val="238"/>
      <scheme val="minor"/>
    </font>
    <font>
      <sz val="10"/>
      <name val="Calibri"/>
      <family val="2"/>
      <scheme val="minor"/>
    </font>
    <font>
      <sz val="9"/>
      <color theme="0" tint="-0.499984740745262"/>
      <name val="Calibri"/>
      <family val="2"/>
      <charset val="238"/>
    </font>
    <font>
      <b/>
      <sz val="9"/>
      <color theme="0" tint="-0.499984740745262"/>
      <name val="Calibri"/>
      <family val="2"/>
      <charset val="238"/>
    </font>
    <font>
      <sz val="11"/>
      <color theme="0" tint="-0.499984740745262"/>
      <name val="Arial"/>
      <family val="2"/>
      <charset val="238"/>
    </font>
    <font>
      <b/>
      <sz val="9"/>
      <color theme="1"/>
      <name val="Calibri"/>
      <family val="2"/>
      <charset val="238"/>
      <scheme val="minor"/>
    </font>
    <font>
      <sz val="9"/>
      <color theme="1"/>
      <name val="Calibri"/>
      <family val="2"/>
      <charset val="238"/>
    </font>
    <font>
      <b/>
      <sz val="11"/>
      <name val="Calibri"/>
      <family val="2"/>
      <charset val="238"/>
      <scheme val="minor"/>
    </font>
    <font>
      <sz val="9"/>
      <color theme="1"/>
      <name val="Calibri"/>
      <family val="2"/>
      <charset val="238"/>
      <scheme val="minor"/>
    </font>
    <font>
      <sz val="11.25"/>
      <name val="Calibri"/>
      <family val="2"/>
    </font>
    <font>
      <b/>
      <sz val="10"/>
      <color theme="1"/>
      <name val="Calibri"/>
      <family val="2"/>
      <charset val="238"/>
    </font>
    <font>
      <sz val="10"/>
      <color theme="1"/>
      <name val="Calibri"/>
      <family val="2"/>
      <charset val="238"/>
    </font>
    <font>
      <b/>
      <sz val="10"/>
      <color theme="1"/>
      <name val="Calibri"/>
      <family val="2"/>
      <charset val="238"/>
      <scheme val="minor"/>
    </font>
    <font>
      <sz val="10"/>
      <name val="Calibri"/>
      <family val="2"/>
      <charset val="238"/>
      <scheme val="minor"/>
    </font>
    <font>
      <b/>
      <sz val="11"/>
      <color indexed="8"/>
      <name val="Arial"/>
      <family val="2"/>
      <charset val="238"/>
    </font>
    <font>
      <b/>
      <sz val="11"/>
      <name val="Arial"/>
      <family val="2"/>
      <charset val="238"/>
    </font>
    <font>
      <sz val="9"/>
      <color theme="0" tint="-0.34998626667073579"/>
      <name val="Calibri"/>
      <family val="2"/>
      <charset val="238"/>
    </font>
    <font>
      <b/>
      <sz val="11"/>
      <color indexed="8"/>
      <name val="Calibri"/>
      <family val="2"/>
    </font>
    <font>
      <b/>
      <sz val="11"/>
      <name val="Calibri"/>
      <family val="2"/>
    </font>
    <font>
      <b/>
      <sz val="9.5"/>
      <color theme="1"/>
      <name val="Calibri"/>
      <family val="2"/>
    </font>
    <font>
      <b/>
      <sz val="10"/>
      <color theme="1"/>
      <name val="Calibri"/>
      <family val="2"/>
    </font>
    <font>
      <b/>
      <sz val="10"/>
      <color theme="1"/>
      <name val="Calibri"/>
      <family val="2"/>
      <scheme val="minor"/>
    </font>
    <font>
      <b/>
      <sz val="9.5"/>
      <color theme="1"/>
      <name val="Calibri"/>
      <family val="2"/>
      <scheme val="minor"/>
    </font>
    <font>
      <b/>
      <sz val="11"/>
      <color theme="1"/>
      <name val="Calibri"/>
      <family val="2"/>
      <scheme val="minor"/>
    </font>
    <font>
      <sz val="9"/>
      <color rgb="FFFF0000"/>
      <name val="Arial"/>
      <family val="2"/>
      <charset val="238"/>
    </font>
    <font>
      <sz val="10"/>
      <name val="Helv"/>
      <charset val="238"/>
    </font>
    <font>
      <b/>
      <i/>
      <sz val="9"/>
      <name val="Calibri"/>
      <family val="2"/>
      <charset val="238"/>
      <scheme val="minor"/>
    </font>
    <font>
      <sz val="11"/>
      <color rgb="FFFF0000"/>
      <name val="Arial"/>
      <family val="2"/>
      <charset val="238"/>
    </font>
    <font>
      <i/>
      <sz val="9"/>
      <color rgb="FFFF0000"/>
      <name val="Calibri"/>
      <family val="2"/>
      <charset val="238"/>
    </font>
  </fonts>
  <fills count="3">
    <fill>
      <patternFill patternType="none"/>
    </fill>
    <fill>
      <patternFill patternType="gray125"/>
    </fill>
    <fill>
      <patternFill patternType="solid">
        <fgColor indexed="22"/>
        <bgColor indexed="64"/>
      </patternFill>
    </fill>
  </fills>
  <borders count="18">
    <border>
      <left/>
      <right/>
      <top/>
      <bottom/>
      <diagonal/>
    </border>
    <border>
      <left/>
      <right/>
      <top/>
      <bottom style="medium">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hair">
        <color indexed="8"/>
      </bottom>
      <diagonal/>
    </border>
    <border>
      <left/>
      <right/>
      <top style="hair">
        <color indexed="8"/>
      </top>
      <bottom/>
      <diagonal/>
    </border>
    <border>
      <left/>
      <right/>
      <top/>
      <bottom style="hair">
        <color indexed="64"/>
      </bottom>
      <diagonal/>
    </border>
    <border>
      <left/>
      <right/>
      <top style="medium">
        <color indexed="64"/>
      </top>
      <bottom/>
      <diagonal/>
    </border>
    <border>
      <left/>
      <right/>
      <top style="medium">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7">
    <xf numFmtId="0" fontId="0" fillId="0" borderId="0"/>
    <xf numFmtId="165"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76" fillId="0" borderId="0" applyNumberFormat="0" applyFill="0" applyBorder="0" applyAlignment="0" applyProtection="0">
      <alignment vertical="top"/>
      <protection locked="0"/>
    </xf>
    <xf numFmtId="0" fontId="15" fillId="0" borderId="0"/>
    <xf numFmtId="0" fontId="15" fillId="0" borderId="0"/>
    <xf numFmtId="0" fontId="60" fillId="0" borderId="0"/>
    <xf numFmtId="0" fontId="15" fillId="0" borderId="0"/>
    <xf numFmtId="0" fontId="1" fillId="0" borderId="0"/>
    <xf numFmtId="0" fontId="15" fillId="0" borderId="0"/>
    <xf numFmtId="0" fontId="1" fillId="0" borderId="0"/>
    <xf numFmtId="0" fontId="61" fillId="0" borderId="0"/>
    <xf numFmtId="165" fontId="54" fillId="0" borderId="0" applyFont="0" applyFill="0" applyBorder="0" applyAlignment="0" applyProtection="0"/>
    <xf numFmtId="0" fontId="114" fillId="0" borderId="0"/>
    <xf numFmtId="0" fontId="7" fillId="0" borderId="0"/>
    <xf numFmtId="165" fontId="1" fillId="0" borderId="0" applyFont="0" applyFill="0" applyBorder="0" applyAlignment="0" applyProtection="0"/>
  </cellStyleXfs>
  <cellXfs count="587">
    <xf numFmtId="0" fontId="0" fillId="0" borderId="0" xfId="0"/>
    <xf numFmtId="0" fontId="19" fillId="0" borderId="0" xfId="0" applyFont="1"/>
    <xf numFmtId="2" fontId="7" fillId="0" borderId="0" xfId="0" applyNumberFormat="1" applyFont="1" applyAlignment="1">
      <alignment horizontal="left" vertical="top"/>
    </xf>
    <xf numFmtId="4" fontId="7" fillId="0" borderId="0" xfId="0" applyNumberFormat="1" applyFont="1" applyAlignment="1">
      <alignment horizontal="right" vertical="top"/>
    </xf>
    <xf numFmtId="2" fontId="8" fillId="0" borderId="0" xfId="0" applyNumberFormat="1" applyFont="1" applyAlignment="1">
      <alignment horizontal="left"/>
    </xf>
    <xf numFmtId="2" fontId="8" fillId="0" borderId="0" xfId="0" applyNumberFormat="1" applyFont="1" applyAlignment="1">
      <alignment horizontal="left" vertical="top"/>
    </xf>
    <xf numFmtId="49" fontId="7" fillId="0" borderId="0" xfId="0" applyNumberFormat="1" applyFont="1" applyAlignment="1">
      <alignment horizontal="left" vertical="top"/>
    </xf>
    <xf numFmtId="2" fontId="8" fillId="0" borderId="0" xfId="0" applyNumberFormat="1" applyFont="1" applyAlignment="1">
      <alignment horizontal="right"/>
    </xf>
    <xf numFmtId="2" fontId="7" fillId="0" borderId="0" xfId="0" applyNumberFormat="1" applyFont="1" applyAlignment="1">
      <alignment horizontal="left"/>
    </xf>
    <xf numFmtId="2" fontId="10" fillId="0" borderId="0" xfId="0" applyNumberFormat="1" applyFont="1" applyAlignment="1">
      <alignment horizontal="left" vertical="top"/>
    </xf>
    <xf numFmtId="4" fontId="10" fillId="0" borderId="0" xfId="0" applyNumberFormat="1" applyFont="1" applyAlignment="1">
      <alignment horizontal="right" vertical="top"/>
    </xf>
    <xf numFmtId="2" fontId="0" fillId="0" borderId="0" xfId="0" applyNumberFormat="1" applyAlignment="1">
      <alignment horizontal="left" vertical="top"/>
    </xf>
    <xf numFmtId="2" fontId="13" fillId="0" borderId="0" xfId="0" applyNumberFormat="1" applyFont="1" applyAlignment="1">
      <alignment horizontal="left" vertical="top"/>
    </xf>
    <xf numFmtId="2" fontId="11" fillId="0" borderId="0" xfId="0" applyNumberFormat="1" applyFont="1" applyAlignment="1">
      <alignment horizontal="right" vertical="top"/>
    </xf>
    <xf numFmtId="2" fontId="11" fillId="0" borderId="0" xfId="0" applyNumberFormat="1" applyFont="1" applyAlignment="1">
      <alignment horizontal="left" vertical="top"/>
    </xf>
    <xf numFmtId="4" fontId="2" fillId="0" borderId="0" xfId="0" applyNumberFormat="1" applyFont="1" applyAlignment="1">
      <alignment horizontal="right" vertical="top"/>
    </xf>
    <xf numFmtId="2" fontId="12" fillId="0" borderId="0" xfId="0" applyNumberFormat="1" applyFont="1" applyAlignment="1">
      <alignment horizontal="right" vertical="top"/>
    </xf>
    <xf numFmtId="2" fontId="9" fillId="0" borderId="0" xfId="0" applyNumberFormat="1" applyFont="1" applyAlignment="1">
      <alignment horizontal="left" vertical="top"/>
    </xf>
    <xf numFmtId="0" fontId="17" fillId="0" borderId="0" xfId="0" applyFont="1" applyAlignment="1">
      <alignment horizontal="center"/>
    </xf>
    <xf numFmtId="0" fontId="17" fillId="0" borderId="0" xfId="0" applyFont="1"/>
    <xf numFmtId="4" fontId="8" fillId="0" borderId="0" xfId="0" applyNumberFormat="1" applyFont="1" applyAlignment="1">
      <alignment horizontal="right" vertical="top"/>
    </xf>
    <xf numFmtId="2" fontId="16" fillId="0" borderId="0" xfId="0" applyNumberFormat="1" applyFont="1" applyAlignment="1">
      <alignment horizontal="left" vertical="top"/>
    </xf>
    <xf numFmtId="0" fontId="22" fillId="0" borderId="0" xfId="0" applyFont="1"/>
    <xf numFmtId="0" fontId="23" fillId="0" borderId="0" xfId="0" applyFont="1"/>
    <xf numFmtId="4" fontId="0" fillId="0" borderId="0" xfId="0" applyNumberFormat="1" applyAlignment="1">
      <alignment horizontal="right" vertical="top"/>
    </xf>
    <xf numFmtId="4" fontId="76" fillId="0" borderId="0" xfId="4" applyNumberFormat="1" applyAlignment="1" applyProtection="1"/>
    <xf numFmtId="4" fontId="76" fillId="0" borderId="0" xfId="4" applyNumberFormat="1" applyAlignment="1" applyProtection="1">
      <alignment horizontal="right" vertical="top"/>
    </xf>
    <xf numFmtId="4" fontId="21" fillId="0" borderId="0" xfId="0" applyNumberFormat="1" applyFont="1"/>
    <xf numFmtId="2" fontId="24" fillId="0" borderId="0" xfId="0" applyNumberFormat="1" applyFont="1" applyAlignment="1">
      <alignment horizontal="left"/>
    </xf>
    <xf numFmtId="2" fontId="25" fillId="0" borderId="0" xfId="0" applyNumberFormat="1" applyFont="1" applyAlignment="1">
      <alignment horizontal="left"/>
    </xf>
    <xf numFmtId="2" fontId="24" fillId="0" borderId="0" xfId="0" applyNumberFormat="1" applyFont="1" applyAlignment="1">
      <alignment horizontal="left" vertical="top"/>
    </xf>
    <xf numFmtId="4" fontId="24" fillId="0" borderId="0" xfId="0" applyNumberFormat="1" applyFont="1" applyAlignment="1">
      <alignment horizontal="right" vertical="top"/>
    </xf>
    <xf numFmtId="2" fontId="25" fillId="0" borderId="0" xfId="0" applyNumberFormat="1" applyFont="1" applyAlignment="1">
      <alignment horizontal="left" vertical="top"/>
    </xf>
    <xf numFmtId="0" fontId="18" fillId="0" borderId="0" xfId="0" applyFont="1"/>
    <xf numFmtId="0" fontId="22" fillId="0" borderId="0" xfId="0" applyFont="1" applyAlignment="1">
      <alignment horizontal="left"/>
    </xf>
    <xf numFmtId="4" fontId="24" fillId="0" borderId="0" xfId="0" applyNumberFormat="1" applyFont="1" applyAlignment="1">
      <alignment horizontal="left" vertical="top"/>
    </xf>
    <xf numFmtId="0" fontId="26" fillId="0" borderId="0" xfId="0" applyFont="1"/>
    <xf numFmtId="0" fontId="27" fillId="0" borderId="0" xfId="0" applyFont="1"/>
    <xf numFmtId="2" fontId="13" fillId="0" borderId="0" xfId="0" applyNumberFormat="1" applyFont="1" applyAlignment="1">
      <alignment horizontal="right" vertical="top"/>
    </xf>
    <xf numFmtId="0" fontId="0" fillId="0" borderId="0" xfId="0" applyAlignment="1">
      <alignment horizontal="left" vertical="center"/>
    </xf>
    <xf numFmtId="0" fontId="0" fillId="0" borderId="0" xfId="0" applyAlignment="1">
      <alignment horizontal="center"/>
    </xf>
    <xf numFmtId="2" fontId="7" fillId="0" borderId="0" xfId="0" applyNumberFormat="1" applyFont="1" applyAlignment="1">
      <alignment horizontal="left" vertical="center"/>
    </xf>
    <xf numFmtId="4" fontId="7" fillId="0" borderId="0" xfId="0" applyNumberFormat="1" applyFont="1" applyAlignment="1">
      <alignment horizontal="left" vertical="center"/>
    </xf>
    <xf numFmtId="0" fontId="30" fillId="0" borderId="0" xfId="0" applyFont="1"/>
    <xf numFmtId="2" fontId="35" fillId="0" borderId="0" xfId="0" applyNumberFormat="1" applyFont="1" applyAlignment="1">
      <alignment horizontal="left" vertical="center"/>
    </xf>
    <xf numFmtId="2" fontId="38" fillId="0" borderId="0" xfId="0" applyNumberFormat="1" applyFont="1" applyAlignment="1">
      <alignment horizontal="left" vertical="center"/>
    </xf>
    <xf numFmtId="2" fontId="40" fillId="0" borderId="0" xfId="0" applyNumberFormat="1" applyFont="1" applyAlignment="1">
      <alignment horizontal="left" vertical="center"/>
    </xf>
    <xf numFmtId="2" fontId="35" fillId="0" borderId="0" xfId="0" applyNumberFormat="1" applyFont="1" applyAlignment="1">
      <alignment horizontal="left" vertical="top"/>
    </xf>
    <xf numFmtId="4" fontId="35" fillId="0" borderId="0" xfId="0" applyNumberFormat="1" applyFont="1" applyAlignment="1">
      <alignment horizontal="right" vertical="top"/>
    </xf>
    <xf numFmtId="2" fontId="35" fillId="0" borderId="0" xfId="0" applyNumberFormat="1" applyFont="1" applyAlignment="1">
      <alignment horizontal="left"/>
    </xf>
    <xf numFmtId="0" fontId="42" fillId="0" borderId="0" xfId="0" applyFont="1"/>
    <xf numFmtId="2" fontId="38" fillId="0" borderId="0" xfId="0" applyNumberFormat="1" applyFont="1" applyAlignment="1">
      <alignment horizontal="left"/>
    </xf>
    <xf numFmtId="0" fontId="36" fillId="0" borderId="0" xfId="0" applyFont="1"/>
    <xf numFmtId="0" fontId="37" fillId="0" borderId="0" xfId="0" applyFont="1"/>
    <xf numFmtId="0" fontId="36" fillId="0" borderId="0" xfId="0" applyFont="1" applyAlignment="1">
      <alignment horizontal="center"/>
    </xf>
    <xf numFmtId="2" fontId="44" fillId="0" borderId="0" xfId="0" applyNumberFormat="1" applyFont="1" applyAlignment="1">
      <alignment horizontal="left" vertical="center"/>
    </xf>
    <xf numFmtId="2" fontId="38" fillId="0" borderId="0" xfId="0" applyNumberFormat="1" applyFont="1" applyAlignment="1">
      <alignment horizontal="left" vertical="top"/>
    </xf>
    <xf numFmtId="2" fontId="44" fillId="0" borderId="0" xfId="0" applyNumberFormat="1" applyFont="1" applyAlignment="1">
      <alignment horizontal="left"/>
    </xf>
    <xf numFmtId="2" fontId="39" fillId="0" borderId="1" xfId="0" applyNumberFormat="1" applyFont="1" applyBorder="1" applyAlignment="1">
      <alignment horizontal="left" vertical="center"/>
    </xf>
    <xf numFmtId="2" fontId="44" fillId="0" borderId="1" xfId="0" applyNumberFormat="1" applyFont="1" applyBorder="1" applyAlignment="1">
      <alignment horizontal="left" vertical="center"/>
    </xf>
    <xf numFmtId="4" fontId="44" fillId="0" borderId="1" xfId="0" applyNumberFormat="1" applyFont="1" applyBorder="1" applyAlignment="1">
      <alignment horizontal="left" vertical="center"/>
    </xf>
    <xf numFmtId="4" fontId="44" fillId="0" borderId="0" xfId="0" applyNumberFormat="1" applyFont="1" applyAlignment="1">
      <alignment horizontal="left" vertical="center"/>
    </xf>
    <xf numFmtId="2" fontId="17" fillId="0" borderId="0" xfId="0" applyNumberFormat="1" applyFont="1" applyAlignment="1">
      <alignment horizontal="left" vertical="center"/>
    </xf>
    <xf numFmtId="2" fontId="32" fillId="0" borderId="0" xfId="0" applyNumberFormat="1" applyFont="1" applyAlignment="1">
      <alignment horizontal="left" vertical="center"/>
    </xf>
    <xf numFmtId="2" fontId="45" fillId="0" borderId="0" xfId="0" applyNumberFormat="1" applyFont="1" applyAlignment="1">
      <alignment horizontal="left" vertical="center"/>
    </xf>
    <xf numFmtId="2" fontId="40" fillId="0" borderId="2" xfId="0" applyNumberFormat="1" applyFont="1" applyBorder="1" applyAlignment="1">
      <alignment horizontal="left" vertical="center"/>
    </xf>
    <xf numFmtId="2" fontId="38" fillId="0" borderId="2" xfId="0" applyNumberFormat="1" applyFont="1" applyBorder="1" applyAlignment="1">
      <alignment horizontal="left" vertical="center"/>
    </xf>
    <xf numFmtId="2" fontId="45" fillId="0" borderId="2" xfId="0" applyNumberFormat="1" applyFont="1" applyBorder="1" applyAlignment="1">
      <alignment horizontal="left" vertical="center"/>
    </xf>
    <xf numFmtId="2" fontId="32" fillId="0" borderId="2" xfId="0" applyNumberFormat="1" applyFont="1" applyBorder="1" applyAlignment="1">
      <alignment horizontal="left" vertical="center"/>
    </xf>
    <xf numFmtId="2" fontId="40" fillId="0" borderId="0" xfId="0" applyNumberFormat="1" applyFont="1" applyAlignment="1">
      <alignment horizontal="right" vertical="center"/>
    </xf>
    <xf numFmtId="2" fontId="38" fillId="0" borderId="0" xfId="0" applyNumberFormat="1" applyFont="1" applyAlignment="1">
      <alignment horizontal="right"/>
    </xf>
    <xf numFmtId="2" fontId="45" fillId="0" borderId="0" xfId="0" applyNumberFormat="1" applyFont="1" applyAlignment="1">
      <alignment horizontal="left" vertical="top"/>
    </xf>
    <xf numFmtId="4" fontId="45" fillId="0" borderId="0" xfId="0" applyNumberFormat="1" applyFont="1" applyAlignment="1">
      <alignment horizontal="right" vertical="top"/>
    </xf>
    <xf numFmtId="2" fontId="45" fillId="0" borderId="2" xfId="0" applyNumberFormat="1" applyFont="1" applyBorder="1" applyAlignment="1">
      <alignment horizontal="left" vertical="top"/>
    </xf>
    <xf numFmtId="4" fontId="45" fillId="0" borderId="2" xfId="0" applyNumberFormat="1" applyFont="1" applyBorder="1" applyAlignment="1">
      <alignment horizontal="right" vertical="top"/>
    </xf>
    <xf numFmtId="2" fontId="32" fillId="0" borderId="0" xfId="0" applyNumberFormat="1" applyFont="1" applyAlignment="1">
      <alignment horizontal="right" vertical="top"/>
    </xf>
    <xf numFmtId="4" fontId="46" fillId="0" borderId="0" xfId="0" applyNumberFormat="1" applyFont="1"/>
    <xf numFmtId="2" fontId="32" fillId="0" borderId="0" xfId="0" applyNumberFormat="1" applyFont="1" applyAlignment="1">
      <alignment horizontal="left" vertical="top"/>
    </xf>
    <xf numFmtId="4" fontId="48" fillId="0" borderId="0" xfId="0" applyNumberFormat="1" applyFont="1"/>
    <xf numFmtId="2" fontId="49" fillId="0" borderId="0" xfId="0" applyNumberFormat="1" applyFont="1" applyAlignment="1">
      <alignment horizontal="left" vertical="top" wrapText="1"/>
    </xf>
    <xf numFmtId="2" fontId="53" fillId="0" borderId="0" xfId="0" applyNumberFormat="1" applyFont="1" applyAlignment="1">
      <alignment horizontal="left" vertical="top" wrapText="1"/>
    </xf>
    <xf numFmtId="1" fontId="49" fillId="0" borderId="0" xfId="0" applyNumberFormat="1" applyFont="1" applyAlignment="1">
      <alignment horizontal="right"/>
    </xf>
    <xf numFmtId="0" fontId="1" fillId="0" borderId="0" xfId="0" applyFont="1"/>
    <xf numFmtId="2" fontId="1" fillId="0" borderId="0" xfId="0" applyNumberFormat="1" applyFont="1" applyAlignment="1">
      <alignment horizontal="left" vertical="center"/>
    </xf>
    <xf numFmtId="2" fontId="1" fillId="0" borderId="2" xfId="0" applyNumberFormat="1" applyFont="1" applyBorder="1" applyAlignment="1">
      <alignment horizontal="left" vertical="center"/>
    </xf>
    <xf numFmtId="0" fontId="1" fillId="0" borderId="2" xfId="0" applyFont="1" applyBorder="1"/>
    <xf numFmtId="2" fontId="49" fillId="0" borderId="0" xfId="0" applyNumberFormat="1" applyFont="1" applyAlignment="1">
      <alignment horizontal="right"/>
    </xf>
    <xf numFmtId="4" fontId="51" fillId="0" borderId="0" xfId="0" applyNumberFormat="1" applyFont="1" applyAlignment="1">
      <alignment horizontal="right"/>
    </xf>
    <xf numFmtId="4" fontId="45" fillId="0" borderId="0" xfId="0" applyNumberFormat="1" applyFont="1" applyAlignment="1">
      <alignment horizontal="left" vertical="top"/>
    </xf>
    <xf numFmtId="0" fontId="0" fillId="0" borderId="0" xfId="0" applyAlignment="1">
      <alignment wrapText="1"/>
    </xf>
    <xf numFmtId="2" fontId="35" fillId="0" borderId="0" xfId="0" applyNumberFormat="1" applyFont="1" applyAlignment="1">
      <alignment vertical="top"/>
    </xf>
    <xf numFmtId="2" fontId="38" fillId="0" borderId="0" xfId="0" applyNumberFormat="1" applyFont="1" applyAlignment="1">
      <alignment vertical="top"/>
    </xf>
    <xf numFmtId="2" fontId="35" fillId="0" borderId="0" xfId="0" applyNumberFormat="1" applyFont="1" applyAlignment="1">
      <alignment horizontal="right" vertical="top"/>
    </xf>
    <xf numFmtId="0" fontId="78" fillId="0" borderId="0" xfId="0" applyFont="1" applyAlignment="1">
      <alignment vertical="top"/>
    </xf>
    <xf numFmtId="2" fontId="34" fillId="0" borderId="0" xfId="0" applyNumberFormat="1" applyFont="1" applyAlignment="1">
      <alignment vertical="top"/>
    </xf>
    <xf numFmtId="4" fontId="19" fillId="0" borderId="0" xfId="0" applyNumberFormat="1" applyFont="1"/>
    <xf numFmtId="3" fontId="49" fillId="0" borderId="0" xfId="0" applyNumberFormat="1" applyFont="1" applyAlignment="1">
      <alignment horizontal="right"/>
    </xf>
    <xf numFmtId="2" fontId="38" fillId="0" borderId="3" xfId="0" applyNumberFormat="1" applyFont="1" applyBorder="1" applyAlignment="1">
      <alignment vertical="top"/>
    </xf>
    <xf numFmtId="2" fontId="38" fillId="0" borderId="4" xfId="0" applyNumberFormat="1" applyFont="1" applyBorder="1" applyAlignment="1">
      <alignment horizontal="justify" vertical="top"/>
    </xf>
    <xf numFmtId="1" fontId="51" fillId="0" borderId="4" xfId="0" applyNumberFormat="1" applyFont="1" applyBorder="1"/>
    <xf numFmtId="2" fontId="38" fillId="0" borderId="5" xfId="0" applyNumberFormat="1" applyFont="1" applyBorder="1" applyAlignment="1">
      <alignment horizontal="right"/>
    </xf>
    <xf numFmtId="0" fontId="49" fillId="0" borderId="0" xfId="0" applyFont="1" applyAlignment="1">
      <alignment horizontal="center" vertical="top" wrapText="1"/>
    </xf>
    <xf numFmtId="0" fontId="40" fillId="0" borderId="1" xfId="0" applyFont="1" applyBorder="1"/>
    <xf numFmtId="4" fontId="49" fillId="0" borderId="0" xfId="0" applyNumberFormat="1" applyFont="1" applyAlignment="1">
      <alignment horizontal="right" vertical="top"/>
    </xf>
    <xf numFmtId="4" fontId="49" fillId="0" borderId="0" xfId="0" applyNumberFormat="1" applyFont="1" applyAlignment="1" applyProtection="1">
      <alignment horizontal="right"/>
      <protection locked="0"/>
    </xf>
    <xf numFmtId="4" fontId="49" fillId="0" borderId="0" xfId="0" applyNumberFormat="1" applyFont="1" applyAlignment="1">
      <alignment horizontal="right"/>
    </xf>
    <xf numFmtId="0" fontId="49" fillId="0" borderId="0" xfId="0" applyFont="1" applyAlignment="1">
      <alignment vertical="top" wrapText="1"/>
    </xf>
    <xf numFmtId="0" fontId="49" fillId="0" borderId="0" xfId="0" applyFont="1" applyAlignment="1">
      <alignment horizontal="left" vertical="top" wrapText="1"/>
    </xf>
    <xf numFmtId="0" fontId="49" fillId="0" borderId="0" xfId="0" applyFont="1" applyAlignment="1">
      <alignment horizontal="right" wrapText="1"/>
    </xf>
    <xf numFmtId="0" fontId="51" fillId="0" borderId="0" xfId="0" applyFont="1" applyAlignment="1">
      <alignment horizontal="right"/>
    </xf>
    <xf numFmtId="0" fontId="49" fillId="0" borderId="0" xfId="0" applyFont="1" applyAlignment="1">
      <alignment horizontal="justify" vertical="top" wrapText="1"/>
    </xf>
    <xf numFmtId="0" fontId="48" fillId="0" borderId="0" xfId="0" applyFont="1" applyAlignment="1">
      <alignment vertical="top" wrapText="1"/>
    </xf>
    <xf numFmtId="0" fontId="49" fillId="0" borderId="6" xfId="0" applyFont="1" applyBorder="1" applyAlignment="1">
      <alignment horizontal="center" vertical="top" wrapText="1"/>
    </xf>
    <xf numFmtId="1" fontId="49" fillId="0" borderId="6" xfId="0" applyNumberFormat="1" applyFont="1" applyBorder="1" applyAlignment="1">
      <alignment horizontal="center" vertical="top" wrapText="1"/>
    </xf>
    <xf numFmtId="1" fontId="49" fillId="0" borderId="0" xfId="0" applyNumberFormat="1" applyFont="1" applyAlignment="1">
      <alignment horizontal="center" vertical="top" wrapText="1"/>
    </xf>
    <xf numFmtId="0" fontId="49" fillId="0" borderId="0" xfId="0" applyFont="1"/>
    <xf numFmtId="0" fontId="49" fillId="0" borderId="0" xfId="0" applyFont="1" applyAlignment="1">
      <alignment horizontal="justify" vertical="top"/>
    </xf>
    <xf numFmtId="0" fontId="49" fillId="0" borderId="0" xfId="0" applyFont="1" applyAlignment="1">
      <alignment horizontal="right"/>
    </xf>
    <xf numFmtId="0" fontId="49" fillId="0" borderId="0" xfId="0" applyFont="1" applyAlignment="1">
      <alignment horizontal="right" vertical="top"/>
    </xf>
    <xf numFmtId="0" fontId="41" fillId="0" borderId="0" xfId="0" applyFont="1"/>
    <xf numFmtId="0" fontId="49" fillId="0" borderId="0" xfId="0" applyFont="1" applyAlignment="1">
      <alignment horizontal="right" vertical="center" wrapText="1"/>
    </xf>
    <xf numFmtId="1" fontId="51" fillId="0" borderId="0" xfId="0" applyNumberFormat="1" applyFont="1"/>
    <xf numFmtId="4" fontId="51" fillId="0" borderId="0" xfId="0" applyNumberFormat="1" applyFont="1"/>
    <xf numFmtId="0" fontId="50" fillId="0" borderId="0" xfId="0" applyFont="1" applyAlignment="1">
      <alignment horizontal="left" vertical="top" wrapText="1"/>
    </xf>
    <xf numFmtId="1" fontId="50" fillId="0" borderId="0" xfId="0" applyNumberFormat="1" applyFont="1" applyAlignment="1">
      <alignment horizontal="left" vertical="top" wrapText="1"/>
    </xf>
    <xf numFmtId="1" fontId="49" fillId="0" borderId="0" xfId="0" applyNumberFormat="1" applyFont="1" applyAlignment="1">
      <alignment horizontal="left" vertical="top" wrapText="1"/>
    </xf>
    <xf numFmtId="0" fontId="56" fillId="0" borderId="0" xfId="0" applyFont="1"/>
    <xf numFmtId="0" fontId="31" fillId="0" borderId="0" xfId="0" applyFont="1"/>
    <xf numFmtId="0" fontId="19" fillId="0" borderId="0" xfId="0" applyFont="1" applyAlignment="1">
      <alignment horizontal="right"/>
    </xf>
    <xf numFmtId="1" fontId="14" fillId="0" borderId="0" xfId="0" applyNumberFormat="1" applyFont="1"/>
    <xf numFmtId="1" fontId="29" fillId="0" borderId="0" xfId="0" applyNumberFormat="1" applyFont="1" applyAlignment="1">
      <alignment horizontal="right" vertical="top" wrapText="1"/>
    </xf>
    <xf numFmtId="0" fontId="1" fillId="0" borderId="4" xfId="0" applyFont="1" applyBorder="1"/>
    <xf numFmtId="166" fontId="49" fillId="0" borderId="0" xfId="0" applyNumberFormat="1" applyFont="1" applyAlignment="1">
      <alignment horizontal="right"/>
    </xf>
    <xf numFmtId="0" fontId="32" fillId="0" borderId="0" xfId="0" applyFont="1"/>
    <xf numFmtId="167" fontId="49" fillId="0" borderId="0" xfId="0" applyNumberFormat="1" applyFont="1" applyAlignment="1">
      <alignment horizontal="right"/>
    </xf>
    <xf numFmtId="4" fontId="55" fillId="0" borderId="0" xfId="0" applyNumberFormat="1" applyFont="1" applyAlignment="1">
      <alignment horizontal="right"/>
    </xf>
    <xf numFmtId="0" fontId="79" fillId="0" borderId="0" xfId="0" applyFont="1"/>
    <xf numFmtId="2" fontId="48" fillId="0" borderId="0" xfId="0" applyNumberFormat="1" applyFont="1" applyAlignment="1">
      <alignment horizontal="left" vertical="top" wrapText="1"/>
    </xf>
    <xf numFmtId="0" fontId="51" fillId="0" borderId="0" xfId="0" applyFont="1"/>
    <xf numFmtId="2" fontId="41" fillId="0" borderId="0" xfId="0" applyNumberFormat="1" applyFont="1" applyAlignment="1">
      <alignment vertical="top"/>
    </xf>
    <xf numFmtId="4" fontId="49" fillId="0" borderId="7" xfId="0" applyNumberFormat="1" applyFont="1" applyBorder="1" applyAlignment="1" applyProtection="1">
      <alignment horizontal="right"/>
      <protection locked="0"/>
    </xf>
    <xf numFmtId="0" fontId="49" fillId="0" borderId="7" xfId="0" applyFont="1" applyBorder="1" applyAlignment="1">
      <alignment horizontal="justify" vertical="top" wrapText="1"/>
    </xf>
    <xf numFmtId="1" fontId="49" fillId="0" borderId="7" xfId="0" applyNumberFormat="1" applyFont="1" applyBorder="1" applyAlignment="1">
      <alignment horizontal="right"/>
    </xf>
    <xf numFmtId="4" fontId="49" fillId="0" borderId="7" xfId="0" applyNumberFormat="1" applyFont="1" applyBorder="1" applyAlignment="1">
      <alignment horizontal="right"/>
    </xf>
    <xf numFmtId="2" fontId="49" fillId="0" borderId="7" xfId="0" applyNumberFormat="1" applyFont="1" applyBorder="1" applyAlignment="1">
      <alignment horizontal="left" vertical="top" wrapText="1"/>
    </xf>
    <xf numFmtId="2" fontId="49" fillId="0" borderId="7" xfId="0" applyNumberFormat="1" applyFont="1" applyBorder="1" applyAlignment="1">
      <alignment horizontal="right"/>
    </xf>
    <xf numFmtId="4" fontId="49" fillId="0" borderId="0" xfId="0" applyNumberFormat="1" applyFont="1" applyAlignment="1" applyProtection="1">
      <alignment horizontal="left"/>
      <protection locked="0"/>
    </xf>
    <xf numFmtId="3" fontId="46" fillId="0" borderId="8" xfId="0" applyNumberFormat="1" applyFont="1" applyBorder="1"/>
    <xf numFmtId="0" fontId="39" fillId="0" borderId="0" xfId="0" applyFont="1" applyAlignment="1">
      <alignment horizontal="left" vertical="center" indent="1"/>
    </xf>
    <xf numFmtId="0" fontId="33" fillId="0" borderId="0" xfId="0" applyFont="1"/>
    <xf numFmtId="4" fontId="40" fillId="0" borderId="9" xfId="0" applyNumberFormat="1" applyFont="1" applyBorder="1" applyAlignment="1">
      <alignment horizontal="right" vertical="center"/>
    </xf>
    <xf numFmtId="4" fontId="35" fillId="0" borderId="10" xfId="0" applyNumberFormat="1" applyFont="1" applyBorder="1" applyAlignment="1">
      <alignment horizontal="right" vertical="center"/>
    </xf>
    <xf numFmtId="4" fontId="46" fillId="0" borderId="2" xfId="0" applyNumberFormat="1" applyFont="1" applyBorder="1" applyAlignment="1">
      <alignment horizontal="left" vertical="center"/>
    </xf>
    <xf numFmtId="4" fontId="46" fillId="0" borderId="0" xfId="0" applyNumberFormat="1" applyFont="1" applyAlignment="1">
      <alignment horizontal="left" vertical="center"/>
    </xf>
    <xf numFmtId="4" fontId="41" fillId="0" borderId="0" xfId="0" applyNumberFormat="1" applyFont="1" applyAlignment="1">
      <alignment vertical="top"/>
    </xf>
    <xf numFmtId="4" fontId="34" fillId="0" borderId="11" xfId="0" applyNumberFormat="1" applyFont="1" applyBorder="1" applyAlignment="1">
      <alignment vertical="top"/>
    </xf>
    <xf numFmtId="0" fontId="58" fillId="0" borderId="0" xfId="0" applyFont="1"/>
    <xf numFmtId="0" fontId="40" fillId="0" borderId="0" xfId="0" applyFont="1"/>
    <xf numFmtId="2" fontId="15" fillId="0" borderId="0" xfId="0" applyNumberFormat="1" applyFont="1" applyAlignment="1">
      <alignment horizontal="left" vertical="top"/>
    </xf>
    <xf numFmtId="4" fontId="48" fillId="0" borderId="8" xfId="0" applyNumberFormat="1" applyFont="1" applyBorder="1"/>
    <xf numFmtId="4" fontId="44" fillId="0" borderId="0" xfId="0" applyNumberFormat="1" applyFont="1" applyAlignment="1">
      <alignment horizontal="right"/>
    </xf>
    <xf numFmtId="4" fontId="32" fillId="0" borderId="0" xfId="0" applyNumberFormat="1" applyFont="1" applyAlignment="1">
      <alignment horizontal="right" vertical="top"/>
    </xf>
    <xf numFmtId="2" fontId="40" fillId="0" borderId="1" xfId="0" applyNumberFormat="1" applyFont="1" applyBorder="1" applyAlignment="1">
      <alignment horizontal="right" vertical="top"/>
    </xf>
    <xf numFmtId="2" fontId="38" fillId="0" borderId="1" xfId="0" applyNumberFormat="1" applyFont="1" applyBorder="1" applyAlignment="1">
      <alignment horizontal="left"/>
    </xf>
    <xf numFmtId="2" fontId="32" fillId="0" borderId="1" xfId="0" applyNumberFormat="1" applyFont="1" applyBorder="1" applyAlignment="1">
      <alignment horizontal="left" vertical="top"/>
    </xf>
    <xf numFmtId="2" fontId="32" fillId="0" borderId="1" xfId="0" applyNumberFormat="1" applyFont="1" applyBorder="1" applyAlignment="1">
      <alignment horizontal="right" vertical="top"/>
    </xf>
    <xf numFmtId="4" fontId="32" fillId="0" borderId="1" xfId="0" applyNumberFormat="1" applyFont="1" applyBorder="1" applyAlignment="1">
      <alignment horizontal="right" vertical="top"/>
    </xf>
    <xf numFmtId="2" fontId="40" fillId="0" borderId="0" xfId="0" applyNumberFormat="1" applyFont="1" applyAlignment="1">
      <alignment horizontal="right" vertical="top"/>
    </xf>
    <xf numFmtId="4" fontId="32" fillId="0" borderId="12" xfId="0" applyNumberFormat="1" applyFont="1" applyBorder="1" applyAlignment="1">
      <alignment horizontal="right" vertical="top"/>
    </xf>
    <xf numFmtId="4" fontId="48" fillId="0" borderId="6" xfId="0" applyNumberFormat="1" applyFont="1" applyBorder="1"/>
    <xf numFmtId="2" fontId="45" fillId="0" borderId="1" xfId="0" applyNumberFormat="1" applyFont="1" applyBorder="1" applyAlignment="1">
      <alignment horizontal="left" vertical="top"/>
    </xf>
    <xf numFmtId="4" fontId="45" fillId="0" borderId="1" xfId="0" applyNumberFormat="1" applyFont="1" applyBorder="1" applyAlignment="1">
      <alignment horizontal="right" vertical="top"/>
    </xf>
    <xf numFmtId="4" fontId="45" fillId="0" borderId="13" xfId="0" applyNumberFormat="1" applyFont="1" applyBorder="1" applyAlignment="1">
      <alignment horizontal="right" vertical="top"/>
    </xf>
    <xf numFmtId="4" fontId="48" fillId="0" borderId="0" xfId="0" applyNumberFormat="1" applyFont="1" applyAlignment="1">
      <alignment horizontal="right" vertical="top"/>
    </xf>
    <xf numFmtId="2" fontId="40" fillId="2" borderId="3" xfId="0" applyNumberFormat="1" applyFont="1" applyFill="1" applyBorder="1" applyAlignment="1">
      <alignment horizontal="right" vertical="top"/>
    </xf>
    <xf numFmtId="2" fontId="38" fillId="2" borderId="4" xfId="0" applyNumberFormat="1" applyFont="1" applyFill="1" applyBorder="1" applyAlignment="1">
      <alignment horizontal="left" vertical="top"/>
    </xf>
    <xf numFmtId="2" fontId="45" fillId="2" borderId="4" xfId="0" applyNumberFormat="1" applyFont="1" applyFill="1" applyBorder="1" applyAlignment="1">
      <alignment horizontal="left" vertical="top"/>
    </xf>
    <xf numFmtId="2" fontId="40" fillId="2" borderId="4" xfId="0" applyNumberFormat="1" applyFont="1" applyFill="1" applyBorder="1" applyAlignment="1">
      <alignment horizontal="right" vertical="top"/>
    </xf>
    <xf numFmtId="0" fontId="17" fillId="0" borderId="0" xfId="0" applyFont="1" applyAlignment="1">
      <alignment horizontal="left" vertical="center" wrapText="1"/>
    </xf>
    <xf numFmtId="0" fontId="77" fillId="0" borderId="0" xfId="0" applyFont="1"/>
    <xf numFmtId="0" fontId="1" fillId="0" borderId="0" xfId="0" applyFont="1" applyAlignment="1">
      <alignment horizontal="left" vertical="center"/>
    </xf>
    <xf numFmtId="0" fontId="33" fillId="0" borderId="0" xfId="0" applyFont="1" applyAlignment="1">
      <alignment horizontal="left" vertical="top" wrapText="1"/>
    </xf>
    <xf numFmtId="2" fontId="64" fillId="0" borderId="0" xfId="0" applyNumberFormat="1" applyFont="1" applyAlignment="1">
      <alignment horizontal="left" vertical="top" wrapText="1"/>
    </xf>
    <xf numFmtId="0" fontId="33" fillId="0" borderId="0" xfId="0" applyFont="1" applyAlignment="1">
      <alignment horizontal="center" vertical="top" wrapText="1"/>
    </xf>
    <xf numFmtId="0" fontId="17" fillId="0" borderId="0" xfId="0" applyFont="1" applyAlignment="1">
      <alignment horizontal="left" vertical="center"/>
    </xf>
    <xf numFmtId="0" fontId="17" fillId="0" borderId="0" xfId="0" applyFont="1" applyAlignment="1">
      <alignment horizontal="left" vertical="center" indent="1"/>
    </xf>
    <xf numFmtId="0" fontId="40" fillId="0" borderId="0" xfId="0" applyFont="1" applyAlignment="1">
      <alignment horizontal="left" vertical="center" indent="1"/>
    </xf>
    <xf numFmtId="2" fontId="32" fillId="0" borderId="0" xfId="0" applyNumberFormat="1" applyFont="1" applyAlignment="1">
      <alignment horizontal="left"/>
    </xf>
    <xf numFmtId="2" fontId="32" fillId="0" borderId="0" xfId="0" applyNumberFormat="1" applyFont="1" applyAlignment="1">
      <alignment horizontal="left" vertical="center" wrapText="1"/>
    </xf>
    <xf numFmtId="0" fontId="17" fillId="0" borderId="0" xfId="0" applyFont="1" applyAlignment="1">
      <alignment vertical="center" wrapText="1"/>
    </xf>
    <xf numFmtId="0" fontId="35" fillId="0" borderId="0" xfId="0" applyFont="1" applyAlignment="1">
      <alignment vertical="center"/>
    </xf>
    <xf numFmtId="0" fontId="80" fillId="0" borderId="0" xfId="0" applyFont="1"/>
    <xf numFmtId="2" fontId="49" fillId="0" borderId="0" xfId="0" applyNumberFormat="1" applyFont="1" applyAlignment="1">
      <alignment horizontal="right" wrapText="1"/>
    </xf>
    <xf numFmtId="4" fontId="48" fillId="0" borderId="0" xfId="0" applyNumberFormat="1" applyFont="1" applyAlignment="1">
      <alignment horizontal="right"/>
    </xf>
    <xf numFmtId="0" fontId="14" fillId="0" borderId="0" xfId="0" applyFont="1"/>
    <xf numFmtId="4" fontId="14" fillId="0" borderId="0" xfId="0" applyNumberFormat="1" applyFont="1"/>
    <xf numFmtId="0" fontId="49" fillId="0" borderId="0" xfId="0" applyFont="1" applyAlignment="1">
      <alignment vertical="top"/>
    </xf>
    <xf numFmtId="2" fontId="49" fillId="0" borderId="0" xfId="0" applyNumberFormat="1" applyFont="1" applyAlignment="1">
      <alignment horizontal="right" vertical="top" wrapText="1"/>
    </xf>
    <xf numFmtId="49" fontId="49" fillId="0" borderId="0" xfId="0" applyNumberFormat="1" applyFont="1" applyAlignment="1">
      <alignment horizontal="justify" vertical="top" wrapText="1"/>
    </xf>
    <xf numFmtId="0" fontId="48" fillId="0" borderId="0" xfId="0" applyFont="1" applyAlignment="1">
      <alignment horizontal="left" vertical="top" wrapText="1"/>
    </xf>
    <xf numFmtId="1" fontId="49" fillId="0" borderId="0" xfId="0" applyNumberFormat="1" applyFont="1"/>
    <xf numFmtId="4" fontId="49" fillId="0" borderId="0" xfId="0" applyNumberFormat="1" applyFont="1"/>
    <xf numFmtId="1" fontId="49" fillId="0" borderId="4" xfId="0" applyNumberFormat="1" applyFont="1" applyBorder="1"/>
    <xf numFmtId="4" fontId="32" fillId="0" borderId="0" xfId="0" applyNumberFormat="1" applyFont="1"/>
    <xf numFmtId="4" fontId="52" fillId="0" borderId="0" xfId="0" applyNumberFormat="1" applyFont="1"/>
    <xf numFmtId="0" fontId="32" fillId="0" borderId="0" xfId="0" applyFont="1" applyAlignment="1">
      <alignment horizontal="right"/>
    </xf>
    <xf numFmtId="0" fontId="81" fillId="0" borderId="0" xfId="0" applyFont="1" applyAlignment="1">
      <alignment horizontal="right" wrapText="1"/>
    </xf>
    <xf numFmtId="4" fontId="81" fillId="0" borderId="0" xfId="0" applyNumberFormat="1" applyFont="1" applyAlignment="1">
      <alignment horizontal="right"/>
    </xf>
    <xf numFmtId="4" fontId="81" fillId="0" borderId="0" xfId="0" applyNumberFormat="1" applyFont="1" applyAlignment="1" applyProtection="1">
      <alignment horizontal="right"/>
      <protection locked="0"/>
    </xf>
    <xf numFmtId="0" fontId="14" fillId="0" borderId="0" xfId="0" applyFont="1" applyAlignment="1">
      <alignment horizontal="left"/>
    </xf>
    <xf numFmtId="2" fontId="49" fillId="0" borderId="0" xfId="0" applyNumberFormat="1" applyFont="1" applyAlignment="1">
      <alignment horizontal="right" vertical="top"/>
    </xf>
    <xf numFmtId="0" fontId="48" fillId="0" borderId="0" xfId="0" applyFont="1" applyAlignment="1">
      <alignment horizontal="left"/>
    </xf>
    <xf numFmtId="0" fontId="19" fillId="0" borderId="0" xfId="0" applyFont="1" applyAlignment="1">
      <alignment horizontal="left"/>
    </xf>
    <xf numFmtId="0" fontId="44" fillId="0" borderId="0" xfId="0" applyFont="1" applyAlignment="1">
      <alignment horizontal="right"/>
    </xf>
    <xf numFmtId="0" fontId="44" fillId="0" borderId="0" xfId="0" applyFont="1"/>
    <xf numFmtId="0" fontId="4" fillId="0" borderId="0" xfId="0" applyFont="1" applyAlignment="1">
      <alignment horizontal="left"/>
    </xf>
    <xf numFmtId="0" fontId="4" fillId="0" borderId="0" xfId="0" applyFont="1"/>
    <xf numFmtId="4" fontId="49" fillId="0" borderId="0" xfId="0" applyNumberFormat="1" applyFont="1" applyAlignment="1">
      <alignment horizontal="right" vertical="top" wrapText="1"/>
    </xf>
    <xf numFmtId="2" fontId="39" fillId="0" borderId="0" xfId="0" applyNumberFormat="1" applyFont="1" applyAlignment="1">
      <alignment horizontal="left"/>
    </xf>
    <xf numFmtId="2" fontId="49" fillId="0" borderId="0" xfId="0" applyNumberFormat="1" applyFont="1" applyAlignment="1">
      <alignment horizontal="justify" vertical="top" wrapText="1"/>
    </xf>
    <xf numFmtId="49" fontId="49" fillId="0" borderId="0" xfId="0" applyNumberFormat="1" applyFont="1" applyAlignment="1">
      <alignment vertical="top" wrapText="1"/>
    </xf>
    <xf numFmtId="4" fontId="56" fillId="0" borderId="0" xfId="0" applyNumberFormat="1" applyFont="1"/>
    <xf numFmtId="49" fontId="49" fillId="0" borderId="0" xfId="0" applyNumberFormat="1" applyFont="1"/>
    <xf numFmtId="4" fontId="55" fillId="0" borderId="14" xfId="0" applyNumberFormat="1" applyFont="1" applyBorder="1"/>
    <xf numFmtId="0" fontId="4" fillId="0" borderId="0" xfId="0" applyFont="1" applyAlignment="1">
      <alignment horizontal="right"/>
    </xf>
    <xf numFmtId="4" fontId="4" fillId="0" borderId="0" xfId="0" applyNumberFormat="1" applyFont="1" applyAlignment="1">
      <alignment horizontal="right"/>
    </xf>
    <xf numFmtId="4" fontId="4" fillId="0" borderId="0" xfId="0" applyNumberFormat="1" applyFont="1"/>
    <xf numFmtId="0" fontId="21" fillId="0" borderId="0" xfId="0" applyFont="1" applyAlignment="1">
      <alignment horizontal="center"/>
    </xf>
    <xf numFmtId="4" fontId="49" fillId="0" borderId="6" xfId="0" applyNumberFormat="1" applyFont="1" applyBorder="1" applyAlignment="1">
      <alignment horizontal="right" vertical="top" wrapText="1"/>
    </xf>
    <xf numFmtId="4" fontId="49" fillId="0" borderId="6" xfId="0" applyNumberFormat="1" applyFont="1" applyBorder="1" applyAlignment="1">
      <alignment vertical="top" wrapText="1"/>
    </xf>
    <xf numFmtId="0" fontId="3" fillId="0" borderId="0" xfId="0" applyFont="1" applyAlignment="1">
      <alignment horizontal="center" vertical="top" wrapText="1"/>
    </xf>
    <xf numFmtId="4" fontId="49" fillId="0" borderId="0" xfId="0" applyNumberFormat="1" applyFont="1" applyAlignment="1">
      <alignment vertical="top" wrapText="1"/>
    </xf>
    <xf numFmtId="0" fontId="38" fillId="0" borderId="1" xfId="0" applyFont="1" applyBorder="1"/>
    <xf numFmtId="0" fontId="5" fillId="0" borderId="0" xfId="0" applyFont="1" applyAlignment="1">
      <alignment horizontal="left"/>
    </xf>
    <xf numFmtId="4" fontId="49" fillId="0" borderId="0" xfId="0" applyNumberFormat="1" applyFont="1" applyAlignment="1">
      <alignment vertical="top"/>
    </xf>
    <xf numFmtId="4" fontId="4" fillId="0" borderId="0" xfId="0" applyNumberFormat="1" applyFont="1" applyAlignment="1">
      <alignment horizontal="right" vertical="top"/>
    </xf>
    <xf numFmtId="0" fontId="81" fillId="0" borderId="0" xfId="0" applyFont="1" applyAlignment="1">
      <alignment wrapText="1"/>
    </xf>
    <xf numFmtId="2" fontId="48" fillId="0" borderId="0" xfId="0" applyNumberFormat="1" applyFont="1" applyAlignment="1">
      <alignment horizontal="left" vertical="center" wrapText="1"/>
    </xf>
    <xf numFmtId="0" fontId="68" fillId="0" borderId="0" xfId="0" applyFont="1" applyAlignment="1">
      <alignment horizontal="left" vertical="top" wrapText="1"/>
    </xf>
    <xf numFmtId="0" fontId="14" fillId="0" borderId="0" xfId="0" applyFont="1" applyAlignment="1">
      <alignment horizontal="right"/>
    </xf>
    <xf numFmtId="4" fontId="14" fillId="0" borderId="0" xfId="0" applyNumberFormat="1" applyFont="1" applyAlignment="1">
      <alignment horizontal="right"/>
    </xf>
    <xf numFmtId="2" fontId="48" fillId="0" borderId="3" xfId="0" applyNumberFormat="1" applyFont="1" applyBorder="1" applyAlignment="1">
      <alignment vertical="top"/>
    </xf>
    <xf numFmtId="2" fontId="48" fillId="0" borderId="4" xfId="0" applyNumberFormat="1" applyFont="1" applyBorder="1" applyAlignment="1">
      <alignment horizontal="justify" vertical="top"/>
    </xf>
    <xf numFmtId="0" fontId="49" fillId="0" borderId="4" xfId="0" applyFont="1" applyBorder="1"/>
    <xf numFmtId="4" fontId="49" fillId="0" borderId="4" xfId="0" applyNumberFormat="1" applyFont="1" applyBorder="1" applyAlignment="1">
      <alignment horizontal="right"/>
    </xf>
    <xf numFmtId="4" fontId="48" fillId="0" borderId="5" xfId="0" applyNumberFormat="1" applyFont="1" applyBorder="1" applyAlignment="1">
      <alignment horizontal="right"/>
    </xf>
    <xf numFmtId="165" fontId="49" fillId="0" borderId="0" xfId="13" applyFont="1" applyFill="1" applyAlignment="1">
      <alignment horizontal="justify" vertical="top" wrapText="1"/>
    </xf>
    <xf numFmtId="165" fontId="4" fillId="0" borderId="0" xfId="13" applyFont="1" applyFill="1"/>
    <xf numFmtId="0" fontId="81" fillId="0" borderId="0" xfId="0" applyFont="1" applyAlignment="1">
      <alignment horizontal="left" vertical="top"/>
    </xf>
    <xf numFmtId="49" fontId="81" fillId="0" borderId="0" xfId="0" applyNumberFormat="1" applyFont="1" applyAlignment="1">
      <alignment horizontal="justify" vertical="top" wrapText="1"/>
    </xf>
    <xf numFmtId="0" fontId="82" fillId="0" borderId="0" xfId="0" applyFont="1" applyAlignment="1">
      <alignment horizontal="left" wrapText="1"/>
    </xf>
    <xf numFmtId="4" fontId="81" fillId="0" borderId="0" xfId="0" applyNumberFormat="1" applyFont="1" applyProtection="1">
      <protection locked="0"/>
    </xf>
    <xf numFmtId="4" fontId="81" fillId="0" borderId="0" xfId="0" applyNumberFormat="1" applyFont="1"/>
    <xf numFmtId="0" fontId="81" fillId="0" borderId="0" xfId="0" applyFont="1" applyAlignment="1" applyProtection="1">
      <alignment horizontal="right"/>
      <protection locked="0"/>
    </xf>
    <xf numFmtId="4" fontId="83" fillId="0" borderId="0" xfId="0" applyNumberFormat="1" applyFont="1" applyAlignment="1">
      <alignment horizontal="right"/>
    </xf>
    <xf numFmtId="2" fontId="81" fillId="0" borderId="0" xfId="0" applyNumberFormat="1" applyFont="1" applyAlignment="1">
      <alignment horizontal="right" vertical="top" wrapText="1"/>
    </xf>
    <xf numFmtId="4" fontId="82" fillId="0" borderId="0" xfId="0" applyNumberFormat="1" applyFont="1" applyAlignment="1">
      <alignment horizontal="right"/>
    </xf>
    <xf numFmtId="4" fontId="82" fillId="0" borderId="0" xfId="0" applyNumberFormat="1" applyFont="1"/>
    <xf numFmtId="0" fontId="81" fillId="0" borderId="0" xfId="0" applyFont="1" applyAlignment="1">
      <alignment horizontal="left" wrapText="1"/>
    </xf>
    <xf numFmtId="4" fontId="49" fillId="0" borderId="0" xfId="0" applyNumberFormat="1" applyFont="1" applyProtection="1">
      <protection locked="0"/>
    </xf>
    <xf numFmtId="4" fontId="50" fillId="0" borderId="0" xfId="0" applyNumberFormat="1" applyFont="1" applyAlignment="1">
      <alignment horizontal="right" wrapText="1"/>
    </xf>
    <xf numFmtId="49" fontId="49" fillId="0" borderId="0" xfId="0" applyNumberFormat="1" applyFont="1" applyAlignment="1">
      <alignment wrapText="1"/>
    </xf>
    <xf numFmtId="0" fontId="49" fillId="0" borderId="0" xfId="0" applyFont="1" applyAlignment="1">
      <alignment horizontal="right" vertical="top" wrapText="1"/>
    </xf>
    <xf numFmtId="4" fontId="55" fillId="0" borderId="14" xfId="0" applyNumberFormat="1" applyFont="1" applyBorder="1" applyAlignment="1">
      <alignment horizontal="right"/>
    </xf>
    <xf numFmtId="165" fontId="49" fillId="0" borderId="0" xfId="13" applyFont="1" applyFill="1" applyAlignment="1">
      <alignment horizontal="center" vertical="top" wrapText="1"/>
    </xf>
    <xf numFmtId="165" fontId="49" fillId="0" borderId="0" xfId="13" applyFont="1" applyFill="1" applyAlignment="1">
      <alignment horizontal="right" vertical="top" wrapText="1"/>
    </xf>
    <xf numFmtId="165" fontId="4" fillId="0" borderId="0" xfId="13" applyFont="1" applyFill="1" applyAlignment="1">
      <alignment horizontal="center"/>
    </xf>
    <xf numFmtId="4" fontId="4" fillId="0" borderId="0" xfId="13" applyNumberFormat="1" applyFont="1" applyFill="1" applyAlignment="1">
      <alignment horizontal="center"/>
    </xf>
    <xf numFmtId="0" fontId="46" fillId="0" borderId="0" xfId="0" applyFont="1" applyAlignment="1">
      <alignment horizontal="center"/>
    </xf>
    <xf numFmtId="4" fontId="49" fillId="0" borderId="6" xfId="0" applyNumberFormat="1" applyFont="1" applyBorder="1" applyAlignment="1">
      <alignment horizontal="center" vertical="top" wrapText="1"/>
    </xf>
    <xf numFmtId="4" fontId="49" fillId="0" borderId="0" xfId="0" applyNumberFormat="1" applyFont="1" applyAlignment="1">
      <alignment horizontal="center" vertical="top" wrapText="1"/>
    </xf>
    <xf numFmtId="0" fontId="40" fillId="0" borderId="0" xfId="0" applyFont="1" applyAlignment="1">
      <alignment horizontal="left"/>
    </xf>
    <xf numFmtId="4" fontId="49" fillId="0" borderId="4" xfId="0" applyNumberFormat="1" applyFont="1" applyBorder="1"/>
    <xf numFmtId="4" fontId="49" fillId="0" borderId="14" xfId="0" applyNumberFormat="1" applyFont="1" applyBorder="1" applyProtection="1">
      <protection locked="0"/>
    </xf>
    <xf numFmtId="0" fontId="85" fillId="0" borderId="0" xfId="0" applyFont="1"/>
    <xf numFmtId="0" fontId="85" fillId="0" borderId="0" xfId="0" applyFont="1" applyAlignment="1">
      <alignment horizontal="right"/>
    </xf>
    <xf numFmtId="4" fontId="85" fillId="0" borderId="0" xfId="0" applyNumberFormat="1" applyFont="1"/>
    <xf numFmtId="165" fontId="81" fillId="0" borderId="0" xfId="13" applyFont="1" applyFill="1" applyAlignment="1">
      <alignment horizontal="justify" vertical="top" wrapText="1"/>
    </xf>
    <xf numFmtId="2" fontId="82" fillId="0" borderId="3" xfId="0" applyNumberFormat="1" applyFont="1" applyBorder="1" applyAlignment="1">
      <alignment vertical="top"/>
    </xf>
    <xf numFmtId="2" fontId="82" fillId="0" borderId="4" xfId="0" applyNumberFormat="1" applyFont="1" applyBorder="1" applyAlignment="1">
      <alignment horizontal="justify" vertical="top"/>
    </xf>
    <xf numFmtId="0" fontId="81" fillId="0" borderId="4" xfId="0" applyFont="1" applyBorder="1"/>
    <xf numFmtId="2" fontId="82" fillId="0" borderId="5" xfId="0" applyNumberFormat="1" applyFont="1" applyBorder="1" applyAlignment="1">
      <alignment horizontal="right"/>
    </xf>
    <xf numFmtId="4" fontId="82" fillId="0" borderId="8" xfId="0" applyNumberFormat="1" applyFont="1" applyBorder="1"/>
    <xf numFmtId="0" fontId="56" fillId="0" borderId="0" xfId="0" applyFont="1" applyAlignment="1">
      <alignment horizontal="right"/>
    </xf>
    <xf numFmtId="0" fontId="86" fillId="0" borderId="0" xfId="0" applyFont="1" applyAlignment="1">
      <alignment vertical="center" wrapText="1"/>
    </xf>
    <xf numFmtId="4" fontId="32" fillId="0" borderId="0" xfId="0" applyNumberFormat="1" applyFont="1" applyAlignment="1">
      <alignment horizontal="left" vertical="center"/>
    </xf>
    <xf numFmtId="0" fontId="81" fillId="0" borderId="0" xfId="0" applyFont="1" applyAlignment="1">
      <alignment horizontal="justify" vertical="top" wrapText="1"/>
    </xf>
    <xf numFmtId="0" fontId="81" fillId="0" borderId="0" xfId="0" applyFont="1" applyAlignment="1">
      <alignment horizontal="left" vertical="top" wrapText="1"/>
    </xf>
    <xf numFmtId="0" fontId="14" fillId="0" borderId="14" xfId="0" applyFont="1" applyBorder="1" applyAlignment="1">
      <alignment horizontal="right"/>
    </xf>
    <xf numFmtId="4" fontId="14" fillId="0" borderId="14" xfId="0" applyNumberFormat="1" applyFont="1" applyBorder="1" applyAlignment="1">
      <alignment horizontal="right"/>
    </xf>
    <xf numFmtId="3" fontId="48" fillId="0" borderId="0" xfId="0" applyNumberFormat="1" applyFont="1" applyAlignment="1">
      <alignment horizontal="right"/>
    </xf>
    <xf numFmtId="0" fontId="55" fillId="0" borderId="0" xfId="0" applyFont="1" applyAlignment="1">
      <alignment horizontal="left" vertical="top" wrapText="1"/>
    </xf>
    <xf numFmtId="4" fontId="51" fillId="0" borderId="0" xfId="0" applyNumberFormat="1" applyFont="1" applyAlignment="1" applyProtection="1">
      <alignment horizontal="right"/>
      <protection locked="0"/>
    </xf>
    <xf numFmtId="49" fontId="49" fillId="0" borderId="0" xfId="0" applyNumberFormat="1" applyFont="1" applyAlignment="1">
      <alignment horizontal="left" vertical="top"/>
    </xf>
    <xf numFmtId="0" fontId="49" fillId="0" borderId="0" xfId="0" applyFont="1" applyAlignment="1">
      <alignment horizontal="left" vertical="top"/>
    </xf>
    <xf numFmtId="0" fontId="74" fillId="0" borderId="0" xfId="0" applyFont="1" applyAlignment="1">
      <alignment vertical="top" wrapText="1"/>
    </xf>
    <xf numFmtId="1" fontId="52" fillId="0" borderId="0" xfId="0" applyNumberFormat="1" applyFont="1" applyAlignment="1">
      <alignment horizontal="right"/>
    </xf>
    <xf numFmtId="0" fontId="52" fillId="0" borderId="0" xfId="0" applyFont="1"/>
    <xf numFmtId="0" fontId="70" fillId="0" borderId="0" xfId="0" applyFont="1" applyAlignment="1">
      <alignment vertical="top"/>
    </xf>
    <xf numFmtId="0" fontId="71" fillId="0" borderId="0" xfId="0" applyFont="1" applyAlignment="1">
      <alignment horizontal="left" vertical="top" wrapText="1"/>
    </xf>
    <xf numFmtId="0" fontId="72" fillId="0" borderId="0" xfId="0" applyFont="1"/>
    <xf numFmtId="4" fontId="72" fillId="0" borderId="0" xfId="0" applyNumberFormat="1" applyFont="1"/>
    <xf numFmtId="0" fontId="73" fillId="0" borderId="0" xfId="0" applyFont="1"/>
    <xf numFmtId="4" fontId="49" fillId="0" borderId="0" xfId="0" applyNumberFormat="1" applyFont="1" applyAlignment="1" applyProtection="1">
      <alignment horizontal="right" wrapText="1" readingOrder="1"/>
      <protection locked="0"/>
    </xf>
    <xf numFmtId="2" fontId="48" fillId="0" borderId="0" xfId="0" applyNumberFormat="1" applyFont="1" applyAlignment="1">
      <alignment horizontal="left" wrapText="1"/>
    </xf>
    <xf numFmtId="1" fontId="19" fillId="0" borderId="0" xfId="0" applyNumberFormat="1" applyFont="1"/>
    <xf numFmtId="0" fontId="48" fillId="0" borderId="0" xfId="5" applyFont="1" applyAlignment="1">
      <alignment vertical="top" wrapText="1"/>
    </xf>
    <xf numFmtId="0" fontId="49" fillId="0" borderId="0" xfId="5" applyFont="1" applyAlignment="1">
      <alignment vertical="top" wrapText="1"/>
    </xf>
    <xf numFmtId="0" fontId="35" fillId="0" borderId="0" xfId="0" applyFont="1" applyAlignment="1">
      <alignment vertical="top" wrapText="1"/>
    </xf>
    <xf numFmtId="4" fontId="20" fillId="0" borderId="0" xfId="0" applyNumberFormat="1" applyFont="1"/>
    <xf numFmtId="2" fontId="48" fillId="0" borderId="0" xfId="0" applyNumberFormat="1" applyFont="1" applyAlignment="1">
      <alignment horizontal="left" vertical="top"/>
    </xf>
    <xf numFmtId="4" fontId="80" fillId="0" borderId="0" xfId="0" applyNumberFormat="1" applyFont="1" applyAlignment="1">
      <alignment horizontal="center"/>
    </xf>
    <xf numFmtId="4" fontId="80" fillId="0" borderId="0" xfId="0" applyNumberFormat="1" applyFont="1"/>
    <xf numFmtId="4" fontId="13" fillId="0" borderId="0" xfId="0" applyNumberFormat="1" applyFont="1"/>
    <xf numFmtId="4" fontId="15" fillId="0" borderId="0" xfId="0" applyNumberFormat="1" applyFont="1"/>
    <xf numFmtId="4" fontId="87" fillId="0" borderId="0" xfId="0" applyNumberFormat="1" applyFont="1"/>
    <xf numFmtId="4" fontId="88" fillId="0" borderId="0" xfId="0" applyNumberFormat="1" applyFont="1"/>
    <xf numFmtId="0" fontId="4" fillId="0" borderId="0" xfId="0" applyFont="1" applyAlignment="1">
      <alignment horizontal="left" vertical="top" wrapText="1"/>
    </xf>
    <xf numFmtId="0" fontId="81" fillId="0" borderId="0" xfId="0" applyFont="1" applyAlignment="1">
      <alignment horizontal="left"/>
    </xf>
    <xf numFmtId="1" fontId="56" fillId="0" borderId="0" xfId="0" applyNumberFormat="1" applyFont="1"/>
    <xf numFmtId="0" fontId="89" fillId="0" borderId="0" xfId="0" applyFont="1"/>
    <xf numFmtId="0" fontId="81" fillId="0" borderId="0" xfId="0" applyFont="1"/>
    <xf numFmtId="0" fontId="80" fillId="0" borderId="0" xfId="0" applyFont="1" applyAlignment="1">
      <alignment vertical="top" wrapText="1"/>
    </xf>
    <xf numFmtId="0" fontId="38" fillId="0" borderId="0" xfId="0" applyFont="1"/>
    <xf numFmtId="4" fontId="52" fillId="0" borderId="0" xfId="0" applyNumberFormat="1" applyFont="1" applyAlignment="1">
      <alignment horizontal="right"/>
    </xf>
    <xf numFmtId="4" fontId="67" fillId="0" borderId="0" xfId="0" applyNumberFormat="1" applyFont="1" applyAlignment="1">
      <alignment horizontal="right"/>
    </xf>
    <xf numFmtId="0" fontId="48" fillId="0" borderId="0" xfId="0" applyFont="1" applyAlignment="1">
      <alignment vertical="top"/>
    </xf>
    <xf numFmtId="0" fontId="52" fillId="0" borderId="0" xfId="0" applyFont="1" applyAlignment="1">
      <alignment horizontal="justify" vertical="top"/>
    </xf>
    <xf numFmtId="0" fontId="52" fillId="0" borderId="0" xfId="0" applyFont="1" applyAlignment="1">
      <alignment horizontal="right"/>
    </xf>
    <xf numFmtId="4" fontId="6" fillId="0" borderId="0" xfId="0" applyNumberFormat="1" applyFont="1"/>
    <xf numFmtId="4" fontId="49" fillId="0" borderId="0" xfId="0" applyNumberFormat="1" applyFont="1" applyAlignment="1">
      <alignment horizontal="left" vertical="top"/>
    </xf>
    <xf numFmtId="4" fontId="49" fillId="0" borderId="0" xfId="0" applyNumberFormat="1" applyFont="1" applyAlignment="1">
      <alignment horizontal="left" vertical="top" wrapText="1"/>
    </xf>
    <xf numFmtId="0" fontId="48" fillId="0" borderId="0" xfId="0" applyFont="1" applyAlignment="1">
      <alignment horizontal="left" wrapText="1"/>
    </xf>
    <xf numFmtId="0" fontId="49" fillId="0" borderId="0" xfId="0" applyFont="1" applyAlignment="1">
      <alignment wrapText="1"/>
    </xf>
    <xf numFmtId="1" fontId="49" fillId="0" borderId="0" xfId="0" applyNumberFormat="1" applyFont="1" applyAlignment="1">
      <alignment horizontal="left" vertical="top"/>
    </xf>
    <xf numFmtId="0" fontId="32" fillId="0" borderId="0" xfId="0" applyFont="1" applyAlignment="1">
      <alignment wrapText="1"/>
    </xf>
    <xf numFmtId="0" fontId="79" fillId="0" borderId="0" xfId="0" applyFont="1" applyAlignment="1">
      <alignment wrapText="1"/>
    </xf>
    <xf numFmtId="4" fontId="48" fillId="0" borderId="0" xfId="0" applyNumberFormat="1" applyFont="1" applyAlignment="1">
      <alignment horizontal="right" vertical="center"/>
    </xf>
    <xf numFmtId="4" fontId="55" fillId="0" borderId="0" xfId="0" applyNumberFormat="1" applyFont="1"/>
    <xf numFmtId="0" fontId="49" fillId="0" borderId="4" xfId="0" applyFont="1" applyBorder="1" applyAlignment="1">
      <alignment horizontal="right" wrapText="1"/>
    </xf>
    <xf numFmtId="0" fontId="31" fillId="0" borderId="0" xfId="0" applyFont="1" applyAlignment="1">
      <alignment wrapText="1"/>
    </xf>
    <xf numFmtId="0" fontId="91" fillId="0" borderId="0" xfId="0" applyFont="1" applyAlignment="1">
      <alignment horizontal="justify" vertical="top" wrapText="1"/>
    </xf>
    <xf numFmtId="2" fontId="92" fillId="0" borderId="0" xfId="0" applyNumberFormat="1" applyFont="1" applyAlignment="1">
      <alignment horizontal="left" wrapText="1"/>
    </xf>
    <xf numFmtId="0" fontId="93" fillId="0" borderId="0" xfId="0" applyFont="1"/>
    <xf numFmtId="3" fontId="91" fillId="0" borderId="0" xfId="0" applyNumberFormat="1" applyFont="1" applyAlignment="1">
      <alignment horizontal="right"/>
    </xf>
    <xf numFmtId="4" fontId="91" fillId="0" borderId="0" xfId="0" applyNumberFormat="1" applyFont="1" applyAlignment="1" applyProtection="1">
      <alignment horizontal="right"/>
      <protection locked="0"/>
    </xf>
    <xf numFmtId="0" fontId="19" fillId="0" borderId="0" xfId="0" applyFont="1" applyAlignment="1">
      <alignment vertical="top"/>
    </xf>
    <xf numFmtId="0" fontId="56" fillId="0" borderId="0" xfId="0" applyFont="1" applyAlignment="1">
      <alignment vertical="top"/>
    </xf>
    <xf numFmtId="0" fontId="40" fillId="0" borderId="1" xfId="0" applyFont="1" applyBorder="1" applyAlignment="1">
      <alignment vertical="center"/>
    </xf>
    <xf numFmtId="4" fontId="40" fillId="0" borderId="1" xfId="0" applyNumberFormat="1" applyFont="1" applyBorder="1" applyAlignment="1">
      <alignment vertical="center"/>
    </xf>
    <xf numFmtId="4" fontId="49" fillId="0" borderId="0" xfId="0" applyNumberFormat="1" applyFont="1" applyAlignment="1">
      <alignment horizontal="right" wrapText="1"/>
    </xf>
    <xf numFmtId="0" fontId="40" fillId="0" borderId="0" xfId="0" applyFont="1" applyAlignment="1">
      <alignment horizontal="left" vertical="top" wrapText="1"/>
    </xf>
    <xf numFmtId="0" fontId="32" fillId="0" borderId="0" xfId="0" applyFont="1" applyAlignment="1">
      <alignment horizontal="left" vertical="top"/>
    </xf>
    <xf numFmtId="4" fontId="32" fillId="0" borderId="0" xfId="0" applyNumberFormat="1" applyFont="1" applyAlignment="1">
      <alignment horizontal="left" vertical="top"/>
    </xf>
    <xf numFmtId="4" fontId="48" fillId="0" borderId="0" xfId="0" applyNumberFormat="1" applyFont="1" applyAlignment="1">
      <alignment horizontal="left" vertical="top" wrapText="1"/>
    </xf>
    <xf numFmtId="0" fontId="79" fillId="0" borderId="0" xfId="0" applyFont="1" applyAlignment="1">
      <alignment horizontal="left" vertical="top" wrapText="1"/>
    </xf>
    <xf numFmtId="4" fontId="79" fillId="0" borderId="0" xfId="0" applyNumberFormat="1" applyFont="1" applyAlignment="1">
      <alignment horizontal="left" vertical="top" wrapText="1"/>
    </xf>
    <xf numFmtId="2" fontId="55" fillId="0" borderId="0" xfId="0" applyNumberFormat="1" applyFont="1" applyAlignment="1">
      <alignment horizontal="left" vertical="top" wrapText="1"/>
    </xf>
    <xf numFmtId="2" fontId="67" fillId="0" borderId="0" xfId="0" applyNumberFormat="1" applyFont="1" applyAlignment="1">
      <alignment horizontal="left" vertical="top" wrapText="1"/>
    </xf>
    <xf numFmtId="0" fontId="67" fillId="0" borderId="0" xfId="0" applyFont="1" applyAlignment="1">
      <alignment horizontal="left" vertical="top" wrapText="1"/>
    </xf>
    <xf numFmtId="0" fontId="80" fillId="0" borderId="0" xfId="0" applyFont="1" applyAlignment="1">
      <alignment horizontal="left" vertical="top" wrapText="1"/>
    </xf>
    <xf numFmtId="2" fontId="48" fillId="0" borderId="5" xfId="0" applyNumberFormat="1" applyFont="1" applyBorder="1" applyAlignment="1">
      <alignment horizontal="right"/>
    </xf>
    <xf numFmtId="0" fontId="97" fillId="0" borderId="0" xfId="0" applyFont="1"/>
    <xf numFmtId="2" fontId="49" fillId="0" borderId="0" xfId="0" applyNumberFormat="1" applyFont="1" applyAlignment="1">
      <alignment horizontal="left" vertical="top" wrapText="1" indent="3"/>
    </xf>
    <xf numFmtId="2" fontId="49" fillId="0" borderId="0" xfId="0" applyNumberFormat="1" applyFont="1" applyAlignment="1">
      <alignment horizontal="left" vertical="top" indent="3"/>
    </xf>
    <xf numFmtId="0" fontId="49" fillId="0" borderId="0" xfId="0" applyFont="1" applyAlignment="1">
      <alignment horizontal="left" wrapText="1" indent="3"/>
    </xf>
    <xf numFmtId="0" fontId="49" fillId="0" borderId="0" xfId="0" applyFont="1" applyAlignment="1">
      <alignment horizontal="left" vertical="top" wrapText="1" indent="3"/>
    </xf>
    <xf numFmtId="2" fontId="38" fillId="0" borderId="0" xfId="0" applyNumberFormat="1" applyFont="1" applyAlignment="1">
      <alignment horizontal="left" vertical="center" wrapText="1"/>
    </xf>
    <xf numFmtId="0" fontId="81" fillId="0" borderId="0" xfId="0" applyFont="1" applyAlignment="1">
      <alignment horizontal="justify" vertical="top"/>
    </xf>
    <xf numFmtId="0" fontId="50" fillId="0" borderId="0" xfId="0" applyFont="1" applyAlignment="1">
      <alignment vertical="top" wrapText="1"/>
    </xf>
    <xf numFmtId="4" fontId="48" fillId="0" borderId="0" xfId="0" applyNumberFormat="1" applyFont="1" applyAlignment="1" applyProtection="1">
      <alignment horizontal="right"/>
      <protection locked="0"/>
    </xf>
    <xf numFmtId="1" fontId="32" fillId="0" borderId="0" xfId="0" applyNumberFormat="1" applyFont="1" applyAlignment="1">
      <alignment horizontal="left" vertical="top"/>
    </xf>
    <xf numFmtId="0" fontId="52" fillId="0" borderId="0" xfId="0" applyFont="1" applyProtection="1">
      <protection locked="0"/>
    </xf>
    <xf numFmtId="49" fontId="49" fillId="0" borderId="0" xfId="0" applyNumberFormat="1" applyFont="1" applyAlignment="1">
      <alignment vertical="top"/>
    </xf>
    <xf numFmtId="4" fontId="32" fillId="0" borderId="0" xfId="0" applyNumberFormat="1" applyFont="1" applyAlignment="1">
      <alignment wrapText="1"/>
    </xf>
    <xf numFmtId="4" fontId="79" fillId="0" borderId="0" xfId="0" applyNumberFormat="1" applyFont="1" applyAlignment="1">
      <alignment wrapText="1"/>
    </xf>
    <xf numFmtId="4" fontId="72" fillId="0" borderId="0" xfId="0" applyNumberFormat="1" applyFont="1" applyAlignment="1">
      <alignment horizontal="right"/>
    </xf>
    <xf numFmtId="4" fontId="65" fillId="0" borderId="0" xfId="0" applyNumberFormat="1" applyFont="1" applyAlignment="1">
      <alignment horizontal="right" vertical="top" wrapText="1"/>
    </xf>
    <xf numFmtId="4" fontId="81" fillId="0" borderId="0" xfId="0" applyNumberFormat="1" applyFont="1" applyAlignment="1">
      <alignment wrapText="1"/>
    </xf>
    <xf numFmtId="4" fontId="81" fillId="0" borderId="4" xfId="0" applyNumberFormat="1" applyFont="1" applyBorder="1"/>
    <xf numFmtId="4" fontId="81" fillId="0" borderId="0" xfId="0" applyNumberFormat="1" applyFont="1" applyAlignment="1">
      <alignment horizontal="justify" vertical="top"/>
    </xf>
    <xf numFmtId="4" fontId="81" fillId="0" borderId="0" xfId="0" applyNumberFormat="1" applyFont="1" applyAlignment="1">
      <alignment horizontal="left" vertical="top" wrapText="1"/>
    </xf>
    <xf numFmtId="4" fontId="29" fillId="0" borderId="0" xfId="0" applyNumberFormat="1" applyFont="1" applyAlignment="1">
      <alignment horizontal="right" vertical="top" wrapText="1"/>
    </xf>
    <xf numFmtId="4" fontId="97" fillId="0" borderId="0" xfId="0" applyNumberFormat="1" applyFont="1"/>
    <xf numFmtId="4" fontId="49" fillId="0" borderId="0" xfId="0" applyNumberFormat="1" applyFont="1" applyAlignment="1">
      <alignment horizontal="justify" vertical="top" wrapText="1"/>
    </xf>
    <xf numFmtId="4" fontId="49" fillId="0" borderId="0" xfId="0" applyNumberFormat="1" applyFont="1" applyAlignment="1">
      <alignment wrapText="1"/>
    </xf>
    <xf numFmtId="0" fontId="99" fillId="0" borderId="0" xfId="0" applyFont="1" applyAlignment="1">
      <alignment horizontal="left" wrapText="1"/>
    </xf>
    <xf numFmtId="0" fontId="99" fillId="0" borderId="0" xfId="0" applyFont="1" applyAlignment="1">
      <alignment wrapText="1"/>
    </xf>
    <xf numFmtId="0" fontId="99" fillId="0" borderId="0" xfId="0" applyFont="1" applyAlignment="1">
      <alignment vertical="center" wrapText="1"/>
    </xf>
    <xf numFmtId="0" fontId="100" fillId="0" borderId="0" xfId="0" applyFont="1"/>
    <xf numFmtId="0" fontId="100" fillId="0" borderId="0" xfId="0" applyFont="1" applyAlignment="1">
      <alignment horizontal="left" vertical="center"/>
    </xf>
    <xf numFmtId="0" fontId="35" fillId="0" borderId="0" xfId="0" applyFont="1" applyAlignment="1">
      <alignment horizontal="left" vertical="center"/>
    </xf>
    <xf numFmtId="49" fontId="41" fillId="0" borderId="0" xfId="0" applyNumberFormat="1" applyFont="1" applyAlignment="1">
      <alignment horizontal="left" vertical="center"/>
    </xf>
    <xf numFmtId="0" fontId="41" fillId="0" borderId="0" xfId="0" applyFont="1" applyAlignment="1">
      <alignment horizontal="left" vertical="center"/>
    </xf>
    <xf numFmtId="0" fontId="99" fillId="0" borderId="0" xfId="0" applyFont="1"/>
    <xf numFmtId="0" fontId="101" fillId="0" borderId="0" xfId="0" applyFont="1"/>
    <xf numFmtId="0" fontId="99" fillId="0" borderId="0" xfId="0" applyFont="1" applyAlignment="1">
      <alignment horizontal="justify" vertical="center"/>
    </xf>
    <xf numFmtId="2" fontId="38" fillId="0" borderId="0" xfId="0" applyNumberFormat="1" applyFont="1" applyAlignment="1">
      <alignment horizontal="left" vertical="top" wrapText="1"/>
    </xf>
    <xf numFmtId="2" fontId="95" fillId="0" borderId="0" xfId="0" applyNumberFormat="1" applyFont="1" applyAlignment="1">
      <alignment horizontal="justify" vertical="top" wrapText="1"/>
    </xf>
    <xf numFmtId="0" fontId="48" fillId="0" borderId="0" xfId="0" applyFont="1" applyAlignment="1">
      <alignment horizontal="justify" vertical="top" wrapText="1"/>
    </xf>
    <xf numFmtId="0" fontId="103" fillId="0" borderId="0" xfId="0" applyFont="1"/>
    <xf numFmtId="0" fontId="104" fillId="0" borderId="0" xfId="0" applyFont="1"/>
    <xf numFmtId="0" fontId="103" fillId="0" borderId="0" xfId="0" applyFont="1" applyAlignment="1">
      <alignment horizontal="left"/>
    </xf>
    <xf numFmtId="2" fontId="48" fillId="0" borderId="4" xfId="0" applyNumberFormat="1" applyFont="1" applyBorder="1" applyAlignment="1">
      <alignment horizontal="left" vertical="top" wrapText="1"/>
    </xf>
    <xf numFmtId="0" fontId="105" fillId="0" borderId="0" xfId="0" applyFont="1" applyAlignment="1">
      <alignment horizontal="justify" vertical="top"/>
    </xf>
    <xf numFmtId="0" fontId="19" fillId="0" borderId="0" xfId="0" quotePrefix="1" applyFont="1"/>
    <xf numFmtId="2" fontId="49" fillId="0" borderId="14" xfId="0" applyNumberFormat="1" applyFont="1" applyBorder="1" applyAlignment="1">
      <alignment horizontal="right" wrapText="1"/>
    </xf>
    <xf numFmtId="2" fontId="81" fillId="0" borderId="0" xfId="0" applyNumberFormat="1" applyFont="1" applyAlignment="1">
      <alignment horizontal="right" wrapText="1"/>
    </xf>
    <xf numFmtId="0" fontId="90" fillId="0" borderId="0" xfId="0" applyFont="1"/>
    <xf numFmtId="0" fontId="48" fillId="0" borderId="0" xfId="0" applyFont="1" applyAlignment="1">
      <alignment horizontal="right" vertical="top" wrapText="1"/>
    </xf>
    <xf numFmtId="10" fontId="49" fillId="0" borderId="0" xfId="0" applyNumberFormat="1" applyFont="1" applyAlignment="1">
      <alignment horizontal="right"/>
    </xf>
    <xf numFmtId="2" fontId="49" fillId="0" borderId="0" xfId="0" applyNumberFormat="1" applyFont="1"/>
    <xf numFmtId="0" fontId="48" fillId="0" borderId="0" xfId="0" applyFont="1" applyAlignment="1">
      <alignment horizontal="left" vertical="center" wrapText="1"/>
    </xf>
    <xf numFmtId="0" fontId="49" fillId="0" borderId="0" xfId="0" applyFont="1" applyAlignment="1">
      <alignment horizontal="left" wrapText="1" indent="2"/>
    </xf>
    <xf numFmtId="4" fontId="84" fillId="0" borderId="0" xfId="0" applyNumberFormat="1" applyFont="1" applyAlignment="1">
      <alignment horizontal="right"/>
    </xf>
    <xf numFmtId="49" fontId="49" fillId="0" borderId="0" xfId="0" applyNumberFormat="1" applyFont="1" applyAlignment="1">
      <alignment horizontal="justify" wrapText="1"/>
    </xf>
    <xf numFmtId="0" fontId="48" fillId="0" borderId="0" xfId="0" applyFont="1"/>
    <xf numFmtId="0" fontId="67" fillId="0" borderId="0" xfId="0" applyFont="1" applyAlignment="1">
      <alignment vertical="top" wrapText="1"/>
    </xf>
    <xf numFmtId="0" fontId="84" fillId="0" borderId="0" xfId="0" applyFont="1" applyAlignment="1">
      <alignment horizontal="right" vertical="center" wrapText="1"/>
    </xf>
    <xf numFmtId="1" fontId="84" fillId="0" borderId="0" xfId="0" applyNumberFormat="1" applyFont="1" applyAlignment="1">
      <alignment horizontal="right" wrapText="1"/>
    </xf>
    <xf numFmtId="2" fontId="49" fillId="0" borderId="0" xfId="0" applyNumberFormat="1" applyFont="1" applyAlignment="1">
      <alignment horizontal="left" wrapText="1"/>
    </xf>
    <xf numFmtId="2" fontId="49" fillId="0" borderId="0" xfId="0" applyNumberFormat="1" applyFont="1" applyAlignment="1">
      <alignment horizontal="left" vertical="top" wrapText="1" indent="2"/>
    </xf>
    <xf numFmtId="2" fontId="49" fillId="0" borderId="0" xfId="0" applyNumberFormat="1" applyFont="1" applyAlignment="1">
      <alignment horizontal="center" vertical="center"/>
    </xf>
    <xf numFmtId="4" fontId="49" fillId="0" borderId="2" xfId="0" applyNumberFormat="1" applyFont="1" applyBorder="1"/>
    <xf numFmtId="4" fontId="78" fillId="0" borderId="0" xfId="0" applyNumberFormat="1" applyFont="1" applyAlignment="1">
      <alignment vertical="top"/>
    </xf>
    <xf numFmtId="2" fontId="1" fillId="0" borderId="0" xfId="0" applyNumberFormat="1" applyFont="1" applyAlignment="1">
      <alignment horizontal="left" vertical="top"/>
    </xf>
    <xf numFmtId="4" fontId="1" fillId="0" borderId="0" xfId="0" applyNumberFormat="1" applyFont="1"/>
    <xf numFmtId="0" fontId="1" fillId="0" borderId="0" xfId="0" applyFont="1" applyAlignment="1">
      <alignment horizontal="right"/>
    </xf>
    <xf numFmtId="4" fontId="49" fillId="0" borderId="2" xfId="0" applyNumberFormat="1" applyFont="1" applyBorder="1" applyAlignment="1" applyProtection="1">
      <alignment horizontal="right"/>
      <protection locked="0"/>
    </xf>
    <xf numFmtId="0" fontId="101" fillId="0" borderId="0" xfId="0" applyFont="1" applyAlignment="1">
      <alignment wrapText="1"/>
    </xf>
    <xf numFmtId="0" fontId="100" fillId="0" borderId="0" xfId="0" applyFont="1" applyAlignment="1">
      <alignment vertical="top"/>
    </xf>
    <xf numFmtId="2" fontId="40" fillId="0" borderId="0" xfId="0" applyNumberFormat="1" applyFont="1" applyAlignment="1">
      <alignment horizontal="left"/>
    </xf>
    <xf numFmtId="2" fontId="35" fillId="0" borderId="0" xfId="0" applyNumberFormat="1" applyFont="1" applyAlignment="1">
      <alignment horizontal="right"/>
    </xf>
    <xf numFmtId="2" fontId="32" fillId="0" borderId="0" xfId="0" applyNumberFormat="1" applyFont="1" applyAlignment="1">
      <alignment horizontal="right"/>
    </xf>
    <xf numFmtId="2" fontId="44" fillId="0" borderId="2" xfId="0" applyNumberFormat="1" applyFont="1" applyBorder="1" applyAlignment="1">
      <alignment horizontal="left"/>
    </xf>
    <xf numFmtId="0" fontId="106" fillId="0" borderId="2" xfId="0" applyFont="1" applyBorder="1"/>
    <xf numFmtId="4" fontId="107" fillId="0" borderId="2" xfId="0" applyNumberFormat="1" applyFont="1" applyBorder="1" applyAlignment="1">
      <alignment horizontal="right"/>
    </xf>
    <xf numFmtId="4" fontId="17" fillId="0" borderId="0" xfId="0" applyNumberFormat="1" applyFont="1"/>
    <xf numFmtId="2" fontId="48" fillId="0" borderId="3" xfId="0" applyNumberFormat="1" applyFont="1" applyBorder="1" applyAlignment="1">
      <alignment vertical="center"/>
    </xf>
    <xf numFmtId="2" fontId="48" fillId="0" borderId="4" xfId="0" applyNumberFormat="1" applyFont="1" applyBorder="1" applyAlignment="1">
      <alignment horizontal="justify" vertical="center"/>
    </xf>
    <xf numFmtId="0" fontId="49" fillId="0" borderId="4" xfId="0" applyFont="1" applyBorder="1" applyAlignment="1">
      <alignment vertical="center"/>
    </xf>
    <xf numFmtId="4" fontId="49" fillId="0" borderId="4" xfId="0" applyNumberFormat="1" applyFont="1" applyBorder="1" applyAlignment="1">
      <alignment vertical="center"/>
    </xf>
    <xf numFmtId="4" fontId="48" fillId="0" borderId="5" xfId="0" applyNumberFormat="1" applyFont="1" applyBorder="1" applyAlignment="1">
      <alignment horizontal="right" vertical="center"/>
    </xf>
    <xf numFmtId="4" fontId="48" fillId="0" borderId="8" xfId="0" applyNumberFormat="1" applyFont="1" applyBorder="1" applyAlignment="1">
      <alignment vertical="center"/>
    </xf>
    <xf numFmtId="2" fontId="48" fillId="0" borderId="3" xfId="0" applyNumberFormat="1" applyFont="1" applyBorder="1"/>
    <xf numFmtId="2" fontId="48" fillId="0" borderId="4" xfId="0" applyNumberFormat="1" applyFont="1" applyBorder="1" applyAlignment="1">
      <alignment horizontal="justify"/>
    </xf>
    <xf numFmtId="2" fontId="48" fillId="0" borderId="5" xfId="0" applyNumberFormat="1" applyFont="1" applyBorder="1" applyAlignment="1">
      <alignment horizontal="right" vertical="center"/>
    </xf>
    <xf numFmtId="2" fontId="82" fillId="0" borderId="3" xfId="0" applyNumberFormat="1" applyFont="1" applyBorder="1" applyAlignment="1">
      <alignment vertical="center"/>
    </xf>
    <xf numFmtId="2" fontId="82" fillId="0" borderId="4" xfId="0" applyNumberFormat="1" applyFont="1" applyBorder="1" applyAlignment="1">
      <alignment horizontal="justify" vertical="center"/>
    </xf>
    <xf numFmtId="0" fontId="81" fillId="0" borderId="4" xfId="0" applyFont="1" applyBorder="1" applyAlignment="1">
      <alignment vertical="center"/>
    </xf>
    <xf numFmtId="4" fontId="81" fillId="0" borderId="4" xfId="0" applyNumberFormat="1" applyFont="1" applyBorder="1" applyAlignment="1">
      <alignment vertical="center"/>
    </xf>
    <xf numFmtId="2" fontId="82" fillId="0" borderId="5" xfId="0" applyNumberFormat="1" applyFont="1" applyBorder="1" applyAlignment="1">
      <alignment horizontal="right" vertical="center"/>
    </xf>
    <xf numFmtId="4" fontId="82" fillId="0" borderId="8" xfId="0" applyNumberFormat="1" applyFont="1" applyBorder="1" applyAlignment="1">
      <alignment vertical="center"/>
    </xf>
    <xf numFmtId="4" fontId="48" fillId="0" borderId="8" xfId="0" applyNumberFormat="1" applyFont="1" applyBorder="1" applyAlignment="1">
      <alignment horizontal="right" vertical="center"/>
    </xf>
    <xf numFmtId="2" fontId="48" fillId="0" borderId="4" xfId="0" applyNumberFormat="1" applyFont="1" applyBorder="1" applyAlignment="1">
      <alignment horizontal="left" vertical="center"/>
    </xf>
    <xf numFmtId="0" fontId="113" fillId="0" borderId="4" xfId="0" applyFont="1" applyBorder="1" applyAlignment="1">
      <alignment vertical="center"/>
    </xf>
    <xf numFmtId="3" fontId="84" fillId="0" borderId="4" xfId="0" applyNumberFormat="1" applyFont="1" applyBorder="1" applyAlignment="1">
      <alignment horizontal="right" vertical="center"/>
    </xf>
    <xf numFmtId="4" fontId="94" fillId="0" borderId="8" xfId="0" applyNumberFormat="1" applyFont="1" applyBorder="1" applyAlignment="1">
      <alignment vertical="center"/>
    </xf>
    <xf numFmtId="1" fontId="49" fillId="0" borderId="4" xfId="0" applyNumberFormat="1" applyFont="1" applyBorder="1" applyAlignment="1">
      <alignment vertical="center"/>
    </xf>
    <xf numFmtId="2" fontId="48" fillId="0" borderId="4" xfId="0" applyNumberFormat="1" applyFont="1" applyBorder="1" applyAlignment="1">
      <alignment horizontal="left" vertical="top"/>
    </xf>
    <xf numFmtId="4" fontId="48" fillId="0" borderId="8" xfId="0" applyNumberFormat="1" applyFont="1" applyBorder="1" applyAlignment="1">
      <alignment horizontal="right"/>
    </xf>
    <xf numFmtId="2" fontId="49" fillId="0" borderId="2" xfId="0" applyNumberFormat="1" applyFont="1" applyBorder="1" applyAlignment="1">
      <alignment horizontal="center" vertical="center"/>
    </xf>
    <xf numFmtId="4" fontId="49" fillId="0" borderId="2" xfId="0" applyNumberFormat="1" applyFont="1" applyBorder="1" applyAlignment="1">
      <alignment horizontal="right"/>
    </xf>
    <xf numFmtId="0" fontId="49" fillId="0" borderId="0" xfId="0" applyFont="1" applyAlignment="1">
      <alignment vertical="center"/>
    </xf>
    <xf numFmtId="2" fontId="48" fillId="0" borderId="8" xfId="0" applyNumberFormat="1" applyFont="1" applyBorder="1" applyAlignment="1">
      <alignment horizontal="right"/>
    </xf>
    <xf numFmtId="4" fontId="40" fillId="0" borderId="0" xfId="0" applyNumberFormat="1" applyFont="1" applyAlignment="1">
      <alignment horizontal="right" vertical="center"/>
    </xf>
    <xf numFmtId="2" fontId="84" fillId="0" borderId="0" xfId="0" applyNumberFormat="1" applyFont="1" applyAlignment="1">
      <alignment horizontal="right" wrapText="1"/>
    </xf>
    <xf numFmtId="2" fontId="48" fillId="0" borderId="0" xfId="0" applyNumberFormat="1" applyFont="1" applyAlignment="1">
      <alignment horizontal="right"/>
    </xf>
    <xf numFmtId="2" fontId="91" fillId="0" borderId="0" xfId="0" applyNumberFormat="1" applyFont="1" applyAlignment="1">
      <alignment horizontal="right"/>
    </xf>
    <xf numFmtId="2" fontId="49" fillId="0" borderId="2" xfId="0" applyNumberFormat="1" applyFont="1" applyBorder="1" applyAlignment="1">
      <alignment horizontal="left" vertical="top" wrapText="1" indent="2"/>
    </xf>
    <xf numFmtId="165" fontId="4" fillId="0" borderId="0" xfId="13" applyFont="1" applyAlignment="1">
      <alignment horizontal="right"/>
    </xf>
    <xf numFmtId="4" fontId="15" fillId="0" borderId="0" xfId="0" applyNumberFormat="1" applyFont="1" applyAlignment="1" applyProtection="1">
      <alignment horizontal="right" vertical="top"/>
      <protection locked="0"/>
    </xf>
    <xf numFmtId="3" fontId="81" fillId="0" borderId="0" xfId="0" applyNumberFormat="1" applyFont="1" applyAlignment="1">
      <alignment horizontal="center"/>
    </xf>
    <xf numFmtId="0" fontId="81" fillId="0" borderId="0" xfId="0" applyFont="1" applyAlignment="1">
      <alignment horizontal="center" wrapText="1"/>
    </xf>
    <xf numFmtId="0" fontId="81" fillId="0" borderId="0" xfId="0" applyFont="1" applyAlignment="1">
      <alignment vertical="top" wrapText="1"/>
    </xf>
    <xf numFmtId="2" fontId="81" fillId="0" borderId="0" xfId="0" applyNumberFormat="1" applyFont="1" applyAlignment="1">
      <alignment horizontal="right"/>
    </xf>
    <xf numFmtId="2" fontId="102" fillId="0" borderId="0" xfId="0" applyNumberFormat="1" applyFont="1" applyAlignment="1">
      <alignment horizontal="right" vertical="top"/>
    </xf>
    <xf numFmtId="2" fontId="102" fillId="0" borderId="0" xfId="0" applyNumberFormat="1" applyFont="1" applyAlignment="1" applyProtection="1">
      <alignment horizontal="right" vertical="top"/>
      <protection locked="0"/>
    </xf>
    <xf numFmtId="168" fontId="81" fillId="0" borderId="0" xfId="13" applyNumberFormat="1" applyFont="1" applyAlignment="1">
      <alignment horizontal="right"/>
    </xf>
    <xf numFmtId="49" fontId="81" fillId="0" borderId="0" xfId="0" applyNumberFormat="1" applyFont="1" applyAlignment="1">
      <alignment horizontal="left" vertical="top"/>
    </xf>
    <xf numFmtId="4" fontId="34" fillId="0" borderId="0" xfId="0" applyNumberFormat="1" applyFont="1"/>
    <xf numFmtId="2" fontId="40" fillId="0" borderId="2" xfId="0" applyNumberFormat="1" applyFont="1" applyBorder="1" applyAlignment="1">
      <alignment horizontal="right" vertical="center"/>
    </xf>
    <xf numFmtId="4" fontId="14" fillId="0" borderId="0" xfId="0" applyNumberFormat="1" applyFont="1" applyProtection="1">
      <protection locked="0"/>
    </xf>
    <xf numFmtId="4" fontId="14" fillId="0" borderId="0" xfId="0" applyNumberFormat="1" applyFont="1" applyAlignment="1" applyProtection="1">
      <alignment horizontal="right"/>
      <protection locked="0"/>
    </xf>
    <xf numFmtId="0" fontId="116" fillId="0" borderId="0" xfId="0" applyFont="1"/>
    <xf numFmtId="4" fontId="116" fillId="0" borderId="0" xfId="0" applyNumberFormat="1" applyFont="1"/>
    <xf numFmtId="4" fontId="52" fillId="0" borderId="0" xfId="0" applyNumberFormat="1" applyFont="1" applyProtection="1">
      <protection locked="0"/>
    </xf>
    <xf numFmtId="4" fontId="56" fillId="0" borderId="0" xfId="0" applyNumberFormat="1" applyFont="1" applyProtection="1">
      <protection locked="0"/>
    </xf>
    <xf numFmtId="4" fontId="49" fillId="0" borderId="0" xfId="0" applyNumberFormat="1" applyFont="1" applyAlignment="1" applyProtection="1">
      <alignment horizontal="left" vertical="top" wrapText="1"/>
      <protection locked="0"/>
    </xf>
    <xf numFmtId="4" fontId="80" fillId="0" borderId="0" xfId="0" applyNumberFormat="1" applyFont="1" applyProtection="1">
      <protection locked="0"/>
    </xf>
    <xf numFmtId="0" fontId="113" fillId="0" borderId="0" xfId="0" applyFont="1"/>
    <xf numFmtId="4" fontId="117" fillId="0" borderId="0" xfId="0" applyNumberFormat="1" applyFont="1"/>
    <xf numFmtId="4" fontId="116" fillId="0" borderId="0" xfId="0" applyNumberFormat="1" applyFont="1" applyAlignment="1">
      <alignment horizontal="left" vertical="top"/>
    </xf>
    <xf numFmtId="0" fontId="116" fillId="0" borderId="0" xfId="0" applyFont="1" applyAlignment="1">
      <alignment horizontal="left" vertical="top"/>
    </xf>
    <xf numFmtId="4" fontId="84" fillId="0" borderId="0" xfId="0" applyNumberFormat="1" applyFont="1" applyAlignment="1">
      <alignment horizontal="left" vertical="top"/>
    </xf>
    <xf numFmtId="0" fontId="82" fillId="0" borderId="0" xfId="0" applyFont="1" applyAlignment="1">
      <alignment vertical="top"/>
    </xf>
    <xf numFmtId="0" fontId="83" fillId="0" borderId="0" xfId="0" applyFont="1" applyAlignment="1">
      <alignment horizontal="justify" vertical="top"/>
    </xf>
    <xf numFmtId="4" fontId="83" fillId="0" borderId="0" xfId="0" applyNumberFormat="1" applyFont="1"/>
    <xf numFmtId="49" fontId="5" fillId="0" borderId="0" xfId="0" applyNumberFormat="1" applyFont="1" applyAlignment="1">
      <alignment horizontal="center" vertical="top"/>
    </xf>
    <xf numFmtId="0" fontId="81" fillId="0" borderId="0" xfId="14" applyFont="1" applyAlignment="1">
      <alignment horizontal="center"/>
    </xf>
    <xf numFmtId="0" fontId="102" fillId="0" borderId="0" xfId="0" applyFont="1" applyAlignment="1">
      <alignment horizontal="left" vertical="top" wrapText="1"/>
    </xf>
    <xf numFmtId="0" fontId="102" fillId="0" borderId="0" xfId="0" applyFont="1" applyAlignment="1">
      <alignment horizontal="center" vertical="top"/>
    </xf>
    <xf numFmtId="0" fontId="81" fillId="0" borderId="0" xfId="0" applyFont="1" applyAlignment="1">
      <alignment horizontal="left" vertical="top" readingOrder="1"/>
    </xf>
    <xf numFmtId="0" fontId="81" fillId="0" borderId="0" xfId="0" applyFont="1" applyAlignment="1">
      <alignment horizontal="center"/>
    </xf>
    <xf numFmtId="0" fontId="81" fillId="0" borderId="0" xfId="0" applyFont="1" applyAlignment="1">
      <alignment horizontal="left" vertical="top" wrapText="1" readingOrder="1"/>
    </xf>
    <xf numFmtId="0" fontId="81" fillId="0" borderId="0" xfId="15" applyFont="1" applyAlignment="1" applyProtection="1">
      <alignment horizontal="left" vertical="top" wrapText="1"/>
      <protection locked="0"/>
    </xf>
    <xf numFmtId="0" fontId="115" fillId="0" borderId="0" xfId="0" applyFont="1" applyAlignment="1">
      <alignment horizontal="left" vertical="top" wrapText="1"/>
    </xf>
    <xf numFmtId="0" fontId="102" fillId="0" borderId="0" xfId="0" applyFont="1" applyAlignment="1" applyProtection="1">
      <alignment vertical="top"/>
      <protection locked="0"/>
    </xf>
    <xf numFmtId="0" fontId="81" fillId="0" borderId="0" xfId="0" applyFont="1" applyAlignment="1" applyProtection="1">
      <alignment vertical="top" wrapText="1"/>
      <protection locked="0"/>
    </xf>
    <xf numFmtId="0" fontId="102" fillId="0" borderId="0" xfId="0" applyFont="1" applyAlignment="1">
      <alignment horizontal="left" vertical="top"/>
    </xf>
    <xf numFmtId="16" fontId="81" fillId="0" borderId="0" xfId="0" applyNumberFormat="1" applyFont="1" applyAlignment="1">
      <alignment horizontal="left" vertical="top"/>
    </xf>
    <xf numFmtId="0" fontId="102" fillId="0" borderId="0" xfId="0" applyFont="1" applyAlignment="1" applyProtection="1">
      <alignment horizontal="left" vertical="top"/>
      <protection locked="0"/>
    </xf>
    <xf numFmtId="4" fontId="4" fillId="0" borderId="0" xfId="13" applyNumberFormat="1" applyFont="1" applyAlignment="1" applyProtection="1">
      <alignment horizontal="right"/>
      <protection locked="0"/>
    </xf>
    <xf numFmtId="4" fontId="15" fillId="0" borderId="0" xfId="13" applyNumberFormat="1" applyFont="1" applyAlignment="1" applyProtection="1">
      <alignment horizontal="right" vertical="top"/>
      <protection locked="0"/>
    </xf>
    <xf numFmtId="4" fontId="4" fillId="0" borderId="0" xfId="13" applyNumberFormat="1" applyFont="1" applyBorder="1" applyAlignment="1" applyProtection="1">
      <alignment horizontal="right"/>
      <protection locked="0"/>
    </xf>
    <xf numFmtId="4" fontId="15" fillId="0" borderId="0" xfId="0" applyNumberFormat="1" applyFont="1" applyAlignment="1" applyProtection="1">
      <alignment vertical="top"/>
      <protection locked="0"/>
    </xf>
    <xf numFmtId="4" fontId="4" fillId="0" borderId="0" xfId="0" applyNumberFormat="1" applyFont="1" applyAlignment="1" applyProtection="1">
      <alignment horizontal="right"/>
      <protection locked="0"/>
    </xf>
    <xf numFmtId="2" fontId="34" fillId="0" borderId="2" xfId="0" applyNumberFormat="1" applyFont="1" applyBorder="1" applyAlignment="1">
      <alignment vertical="top"/>
    </xf>
    <xf numFmtId="2" fontId="35" fillId="0" borderId="2" xfId="0" applyNumberFormat="1" applyFont="1" applyBorder="1" applyAlignment="1">
      <alignment vertical="top"/>
    </xf>
    <xf numFmtId="2" fontId="35" fillId="0" borderId="2" xfId="0" applyNumberFormat="1" applyFont="1" applyBorder="1" applyAlignment="1">
      <alignment horizontal="right" vertical="top"/>
    </xf>
    <xf numFmtId="4" fontId="34" fillId="0" borderId="2" xfId="0" applyNumberFormat="1" applyFont="1" applyBorder="1" applyAlignment="1">
      <alignment vertical="top"/>
    </xf>
    <xf numFmtId="4" fontId="34" fillId="0" borderId="2" xfId="0" applyNumberFormat="1" applyFont="1" applyBorder="1"/>
    <xf numFmtId="2" fontId="102" fillId="0" borderId="0" xfId="0" applyNumberFormat="1" applyFont="1" applyAlignment="1">
      <alignment horizontal="left" vertical="center" wrapText="1"/>
    </xf>
    <xf numFmtId="0" fontId="78" fillId="0" borderId="0" xfId="0" applyFont="1" applyAlignment="1">
      <alignment horizontal="left" vertical="center"/>
    </xf>
    <xf numFmtId="2" fontId="66" fillId="0" borderId="0" xfId="0" applyNumberFormat="1" applyFont="1" applyAlignment="1">
      <alignment horizontal="left" vertical="center" wrapText="1"/>
    </xf>
    <xf numFmtId="0" fontId="109" fillId="0" borderId="0" xfId="0" applyFont="1" applyAlignment="1">
      <alignment vertical="top" wrapText="1"/>
    </xf>
    <xf numFmtId="0" fontId="99" fillId="0" borderId="0" xfId="0" applyFont="1" applyAlignment="1">
      <alignment vertical="top" wrapText="1"/>
    </xf>
    <xf numFmtId="2" fontId="34" fillId="0" borderId="2" xfId="0" applyNumberFormat="1" applyFont="1" applyBorder="1" applyAlignment="1">
      <alignment horizontal="left" vertical="top" wrapText="1"/>
    </xf>
    <xf numFmtId="0" fontId="43" fillId="0" borderId="0" xfId="0" applyFont="1" applyAlignment="1">
      <alignment horizontal="left" vertical="center" wrapText="1"/>
    </xf>
    <xf numFmtId="0" fontId="47" fillId="0" borderId="0" xfId="0" applyFont="1" applyAlignment="1">
      <alignment horizontal="left" vertical="center" wrapText="1"/>
    </xf>
    <xf numFmtId="2" fontId="34" fillId="0" borderId="0" xfId="0" applyNumberFormat="1" applyFont="1" applyAlignment="1">
      <alignment horizontal="left" vertical="top" wrapText="1"/>
    </xf>
    <xf numFmtId="0" fontId="112" fillId="0" borderId="0" xfId="0" applyFont="1" applyAlignment="1">
      <alignment horizontal="left" vertical="center" wrapText="1"/>
    </xf>
    <xf numFmtId="0" fontId="77" fillId="0" borderId="0" xfId="0" applyFont="1" applyAlignment="1">
      <alignment horizontal="left" vertical="center" wrapText="1"/>
    </xf>
    <xf numFmtId="0" fontId="86" fillId="0" borderId="0" xfId="0" applyFont="1" applyAlignment="1">
      <alignment horizontal="left" wrapText="1"/>
    </xf>
    <xf numFmtId="0" fontId="77" fillId="0" borderId="0" xfId="0" applyFont="1" applyAlignment="1">
      <alignment horizontal="left"/>
    </xf>
    <xf numFmtId="2" fontId="38" fillId="0" borderId="0" xfId="0" applyNumberFormat="1" applyFont="1" applyAlignment="1">
      <alignment horizontal="left" vertical="center" wrapText="1"/>
    </xf>
    <xf numFmtId="2" fontId="35" fillId="0" borderId="0" xfId="0" applyNumberFormat="1" applyFont="1" applyAlignment="1">
      <alignment horizontal="left" vertical="top" wrapText="1"/>
    </xf>
    <xf numFmtId="0" fontId="1" fillId="0" borderId="0" xfId="0" applyFont="1" applyAlignment="1">
      <alignment horizontal="left" vertical="top" wrapText="1"/>
    </xf>
    <xf numFmtId="0" fontId="101" fillId="0" borderId="0" xfId="0" applyFont="1" applyAlignment="1">
      <alignment horizontal="left" vertical="top" wrapText="1"/>
    </xf>
    <xf numFmtId="0" fontId="86" fillId="0" borderId="0" xfId="0" applyFont="1" applyAlignment="1">
      <alignment horizontal="left" vertical="center" wrapText="1"/>
    </xf>
    <xf numFmtId="0" fontId="86" fillId="0" borderId="0" xfId="0" applyFont="1" applyAlignment="1">
      <alignment horizontal="left" vertical="center"/>
    </xf>
    <xf numFmtId="0" fontId="112" fillId="0" borderId="0" xfId="0" applyFont="1" applyAlignment="1">
      <alignment horizontal="left" vertical="top" wrapText="1"/>
    </xf>
    <xf numFmtId="0" fontId="77" fillId="0" borderId="0" xfId="0" applyFont="1" applyAlignment="1">
      <alignment horizontal="left" vertical="top" wrapText="1"/>
    </xf>
    <xf numFmtId="0" fontId="44" fillId="0" borderId="0" xfId="0" applyFont="1" applyAlignment="1">
      <alignment horizontal="left" vertical="top" wrapText="1"/>
    </xf>
    <xf numFmtId="0" fontId="79" fillId="0" borderId="0" xfId="0" applyFont="1" applyAlignment="1">
      <alignment horizontal="left" vertical="top"/>
    </xf>
    <xf numFmtId="2" fontId="67" fillId="0" borderId="0" xfId="0" applyNumberFormat="1" applyFont="1" applyAlignment="1">
      <alignment horizontal="left" vertical="top" wrapText="1"/>
    </xf>
    <xf numFmtId="0" fontId="67" fillId="0" borderId="0" xfId="0" applyFont="1" applyAlignment="1">
      <alignment horizontal="left" vertical="top" wrapText="1"/>
    </xf>
    <xf numFmtId="0" fontId="80" fillId="0" borderId="0" xfId="0" applyFont="1" applyAlignment="1">
      <alignment horizontal="left" vertical="top" wrapText="1"/>
    </xf>
    <xf numFmtId="2" fontId="55" fillId="0" borderId="0" xfId="0" applyNumberFormat="1" applyFont="1" applyAlignment="1">
      <alignment horizontal="left" vertical="top" wrapText="1"/>
    </xf>
    <xf numFmtId="2" fontId="67" fillId="0" borderId="0" xfId="0" applyNumberFormat="1" applyFont="1" applyAlignment="1">
      <alignment vertical="top" wrapText="1"/>
    </xf>
    <xf numFmtId="0" fontId="67" fillId="0" borderId="0" xfId="0" applyFont="1" applyAlignment="1">
      <alignment vertical="top" wrapText="1"/>
    </xf>
    <xf numFmtId="0" fontId="48" fillId="0" borderId="15" xfId="0" applyFont="1" applyBorder="1" applyAlignment="1">
      <alignment horizontal="center"/>
    </xf>
    <xf numFmtId="0" fontId="48" fillId="0" borderId="16" xfId="0" applyFont="1" applyBorder="1" applyAlignment="1">
      <alignment horizontal="center"/>
    </xf>
    <xf numFmtId="0" fontId="48" fillId="0" borderId="17" xfId="0" applyFont="1" applyBorder="1" applyAlignment="1">
      <alignment horizontal="center"/>
    </xf>
    <xf numFmtId="0" fontId="38" fillId="0" borderId="1" xfId="0" applyFont="1" applyBorder="1" applyAlignment="1">
      <alignment horizontal="left"/>
    </xf>
    <xf numFmtId="0" fontId="49" fillId="0" borderId="16" xfId="0" applyFont="1" applyBorder="1"/>
    <xf numFmtId="0" fontId="49" fillId="0" borderId="0" xfId="0" applyFont="1" applyAlignment="1">
      <alignment horizontal="left" vertical="top" wrapText="1"/>
    </xf>
    <xf numFmtId="0" fontId="49" fillId="0" borderId="0" xfId="0" applyFont="1" applyAlignment="1">
      <alignment horizontal="justify" vertical="top" wrapText="1"/>
    </xf>
    <xf numFmtId="0" fontId="49" fillId="0" borderId="0" xfId="0" applyFont="1" applyAlignment="1">
      <alignment horizontal="left" vertical="top"/>
    </xf>
    <xf numFmtId="0" fontId="81" fillId="0" borderId="0" xfId="0" applyFont="1" applyAlignment="1">
      <alignment wrapText="1"/>
    </xf>
    <xf numFmtId="0" fontId="40" fillId="0" borderId="1" xfId="0" applyFont="1" applyBorder="1" applyAlignment="1">
      <alignment horizontal="left"/>
    </xf>
    <xf numFmtId="0" fontId="49" fillId="0" borderId="0" xfId="0" applyFont="1" applyAlignment="1">
      <alignment horizontal="justify" vertical="top"/>
    </xf>
    <xf numFmtId="0" fontId="32" fillId="0" borderId="0" xfId="0" applyFont="1" applyAlignment="1">
      <alignment horizontal="left" vertical="top" wrapText="1"/>
    </xf>
    <xf numFmtId="0" fontId="49" fillId="0" borderId="2" xfId="0" applyFont="1" applyBorder="1"/>
    <xf numFmtId="0" fontId="49" fillId="0" borderId="0" xfId="0" applyFont="1" applyAlignment="1">
      <alignment vertical="top" wrapText="1"/>
    </xf>
    <xf numFmtId="0" fontId="81" fillId="0" borderId="0" xfId="0" applyFont="1" applyAlignment="1">
      <alignment horizontal="left" vertical="top" wrapText="1"/>
    </xf>
    <xf numFmtId="0" fontId="81" fillId="0" borderId="0" xfId="0" applyFont="1" applyAlignment="1">
      <alignment horizontal="justify" vertical="top" wrapText="1"/>
    </xf>
    <xf numFmtId="0" fontId="81" fillId="0" borderId="0" xfId="0" applyFont="1" applyAlignment="1">
      <alignment horizontal="justify" vertical="top"/>
    </xf>
    <xf numFmtId="0" fontId="49" fillId="0" borderId="6" xfId="0" applyFont="1" applyBorder="1"/>
    <xf numFmtId="0" fontId="32" fillId="0" borderId="0" xfId="0" applyFont="1" applyAlignment="1">
      <alignment wrapText="1"/>
    </xf>
    <xf numFmtId="0" fontId="49" fillId="0" borderId="0" xfId="0" applyFont="1" applyAlignment="1">
      <alignment wrapText="1"/>
    </xf>
    <xf numFmtId="0" fontId="46" fillId="0" borderId="15" xfId="0" applyFont="1" applyBorder="1" applyAlignment="1">
      <alignment horizontal="center"/>
    </xf>
    <xf numFmtId="0" fontId="46" fillId="0" borderId="16" xfId="0" applyFont="1" applyBorder="1" applyAlignment="1">
      <alignment horizontal="center"/>
    </xf>
    <xf numFmtId="0" fontId="46" fillId="0" borderId="17" xfId="0" applyFont="1" applyBorder="1" applyAlignment="1">
      <alignment horizontal="center"/>
    </xf>
    <xf numFmtId="0" fontId="51" fillId="0" borderId="16" xfId="0" applyFont="1" applyBorder="1"/>
    <xf numFmtId="0" fontId="50" fillId="0" borderId="0" xfId="0" applyFont="1" applyAlignment="1">
      <alignment horizontal="left" vertical="top" wrapText="1"/>
    </xf>
    <xf numFmtId="0" fontId="48" fillId="0" borderId="0" xfId="0" applyFont="1" applyAlignment="1">
      <alignment horizontal="left" vertical="top" wrapText="1"/>
    </xf>
    <xf numFmtId="0" fontId="40" fillId="0" borderId="0" xfId="0" applyFont="1" applyAlignment="1">
      <alignment horizontal="left" vertical="top" wrapText="1"/>
    </xf>
    <xf numFmtId="0" fontId="48" fillId="0" borderId="0" xfId="0" applyFont="1" applyAlignment="1">
      <alignment vertical="top" wrapText="1"/>
    </xf>
    <xf numFmtId="0" fontId="96" fillId="0" borderId="0" xfId="0" applyFont="1" applyAlignment="1">
      <alignment wrapText="1"/>
    </xf>
    <xf numFmtId="0" fontId="32" fillId="0" borderId="0" xfId="0" applyFont="1"/>
    <xf numFmtId="0" fontId="79" fillId="0" borderId="0" xfId="0" applyFont="1" applyAlignment="1">
      <alignment horizontal="left" vertical="top" wrapText="1"/>
    </xf>
    <xf numFmtId="0" fontId="79" fillId="0" borderId="0" xfId="0" applyFont="1"/>
    <xf numFmtId="0" fontId="49" fillId="0" borderId="0" xfId="0" applyFont="1"/>
    <xf numFmtId="49" fontId="81" fillId="0" borderId="0" xfId="0" applyNumberFormat="1" applyFont="1" applyAlignment="1">
      <alignment horizontal="left" vertical="top" wrapText="1"/>
    </xf>
    <xf numFmtId="49" fontId="82" fillId="0" borderId="0" xfId="0" applyNumberFormat="1" applyFont="1" applyAlignment="1">
      <alignment horizontal="left" vertical="top" wrapText="1"/>
    </xf>
    <xf numFmtId="0" fontId="97" fillId="0" borderId="0" xfId="0" applyFont="1" applyAlignment="1">
      <alignment horizontal="center" vertical="top" wrapText="1"/>
    </xf>
  </cellXfs>
  <cellStyles count="17">
    <cellStyle name="Comma 2 2" xfId="1" xr:uid="{00000000-0005-0000-0000-000001000000}"/>
    <cellStyle name="Currency 2" xfId="2" xr:uid="{00000000-0005-0000-0000-000002000000}"/>
    <cellStyle name="Currency 3" xfId="3" xr:uid="{00000000-0005-0000-0000-000003000000}"/>
    <cellStyle name="Hiperveza" xfId="4" builtinId="8"/>
    <cellStyle name="Normal 2" xfId="5" xr:uid="{00000000-0005-0000-0000-000006000000}"/>
    <cellStyle name="Normal 2 2" xfId="6" xr:uid="{00000000-0005-0000-0000-000007000000}"/>
    <cellStyle name="Normal 2 3" xfId="7" xr:uid="{00000000-0005-0000-0000-000008000000}"/>
    <cellStyle name="Normal 2 6" xfId="8" xr:uid="{00000000-0005-0000-0000-000009000000}"/>
    <cellStyle name="Normal 3" xfId="9" xr:uid="{00000000-0005-0000-0000-00000A000000}"/>
    <cellStyle name="Normal 5" xfId="10" xr:uid="{00000000-0005-0000-0000-00000B000000}"/>
    <cellStyle name="Normal_2001" xfId="15" xr:uid="{4A557929-A2D6-4607-A024-FFA93F24F6EA}"/>
    <cellStyle name="Normal_Sheet1" xfId="14" xr:uid="{3A75A652-76E5-41CC-A93C-FB06D92991AE}"/>
    <cellStyle name="Normalno" xfId="0" builtinId="0"/>
    <cellStyle name="Normalno 2" xfId="11" xr:uid="{00000000-0005-0000-0000-00000C000000}"/>
    <cellStyle name="Stil 1" xfId="12" xr:uid="{00000000-0005-0000-0000-00000D000000}"/>
    <cellStyle name="Zarez" xfId="13" builtinId="3"/>
    <cellStyle name="Zarez 2" xfId="16" xr:uid="{6103FCFD-F521-4E45-ADE8-03590A77FB9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203835</xdr:colOff>
      <xdr:row>0</xdr:row>
      <xdr:rowOff>76200</xdr:rowOff>
    </xdr:from>
    <xdr:to>
      <xdr:col>1</xdr:col>
      <xdr:colOff>1308735</xdr:colOff>
      <xdr:row>5</xdr:row>
      <xdr:rowOff>182880</xdr:rowOff>
    </xdr:to>
    <xdr:pic>
      <xdr:nvPicPr>
        <xdr:cNvPr id="104645" name="Picture 3">
          <a:extLst>
            <a:ext uri="{FF2B5EF4-FFF2-40B4-BE49-F238E27FC236}">
              <a16:creationId xmlns:a16="http://schemas.microsoft.com/office/drawing/2014/main" id="{6EF5679C-9246-47AE-9BBB-F0AF00D32C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3835" y="76200"/>
          <a:ext cx="2800350" cy="1059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1668542</xdr:colOff>
      <xdr:row>31</xdr:row>
      <xdr:rowOff>7620</xdr:rowOff>
    </xdr:from>
    <xdr:to>
      <xdr:col>1</xdr:col>
      <xdr:colOff>3687842</xdr:colOff>
      <xdr:row>35</xdr:row>
      <xdr:rowOff>226219</xdr:rowOff>
    </xdr:to>
    <xdr:pic>
      <xdr:nvPicPr>
        <xdr:cNvPr id="104646" name="Picture 4">
          <a:extLst>
            <a:ext uri="{FF2B5EF4-FFF2-40B4-BE49-F238E27FC236}">
              <a16:creationId xmlns:a16="http://schemas.microsoft.com/office/drawing/2014/main" id="{ABDC6A18-E077-4757-8B05-87CF844B8858}"/>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5303" b="10590"/>
        <a:stretch/>
      </xdr:blipFill>
      <xdr:spPr bwMode="auto">
        <a:xfrm>
          <a:off x="3413522" y="7574280"/>
          <a:ext cx="2019300" cy="950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951441</xdr:colOff>
      <xdr:row>5</xdr:row>
      <xdr:rowOff>104775</xdr:rowOff>
    </xdr:to>
    <xdr:pic>
      <xdr:nvPicPr>
        <xdr:cNvPr id="2" name="Picture 3">
          <a:extLst>
            <a:ext uri="{FF2B5EF4-FFF2-40B4-BE49-F238E27FC236}">
              <a16:creationId xmlns:a16="http://schemas.microsoft.com/office/drawing/2014/main" id="{7E3F8D4A-0C02-4FE4-BCC2-268F261D01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751666"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1905</xdr:colOff>
      <xdr:row>5</xdr:row>
      <xdr:rowOff>99060</xdr:rowOff>
    </xdr:to>
    <xdr:pic>
      <xdr:nvPicPr>
        <xdr:cNvPr id="88411" name="Picture 3">
          <a:extLst>
            <a:ext uri="{FF2B5EF4-FFF2-40B4-BE49-F238E27FC236}">
              <a16:creationId xmlns:a16="http://schemas.microsoft.com/office/drawing/2014/main" id="{2214FCA7-D1AB-4F60-A751-E0160FB596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834640" cy="1013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1017270</xdr:colOff>
      <xdr:row>5</xdr:row>
      <xdr:rowOff>99060</xdr:rowOff>
    </xdr:to>
    <xdr:pic>
      <xdr:nvPicPr>
        <xdr:cNvPr id="42563" name="Picture 3">
          <a:extLst>
            <a:ext uri="{FF2B5EF4-FFF2-40B4-BE49-F238E27FC236}">
              <a16:creationId xmlns:a16="http://schemas.microsoft.com/office/drawing/2014/main" id="{9938A3F0-D030-49E9-A070-450BE814CF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834640" cy="10134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3:E183"/>
  <sheetViews>
    <sheetView tabSelected="1" view="pageBreakPreview" zoomScaleNormal="90" zoomScaleSheetLayoutView="100" zoomScalePageLayoutView="106" workbookViewId="0">
      <selection activeCell="B58" sqref="B58"/>
    </sheetView>
  </sheetViews>
  <sheetFormatPr defaultRowHeight="14.5"/>
  <cols>
    <col min="1" max="1" width="25.453125" customWidth="1"/>
    <col min="2" max="2" width="55.54296875" customWidth="1"/>
    <col min="5" max="5" width="44.26953125" customWidth="1"/>
  </cols>
  <sheetData>
    <row r="3" spans="1:5">
      <c r="A3" s="2"/>
      <c r="B3" s="2"/>
      <c r="C3" s="2"/>
      <c r="D3" s="2"/>
      <c r="E3" s="3"/>
    </row>
    <row r="4" spans="1:5">
      <c r="A4" s="2"/>
      <c r="B4" s="2"/>
      <c r="C4" s="2"/>
      <c r="D4" s="2"/>
      <c r="E4" s="3"/>
    </row>
    <row r="5" spans="1:5">
      <c r="A5" s="2"/>
      <c r="B5" s="2"/>
      <c r="C5" s="2"/>
      <c r="D5" s="2"/>
      <c r="E5" s="3"/>
    </row>
    <row r="6" spans="1:5">
      <c r="A6" s="2"/>
      <c r="B6" s="2"/>
      <c r="C6" s="2"/>
      <c r="D6" s="2"/>
      <c r="E6" s="3"/>
    </row>
    <row r="7" spans="1:5">
      <c r="A7" s="2"/>
      <c r="B7" s="2"/>
      <c r="C7" s="2"/>
      <c r="D7" s="2"/>
      <c r="E7" s="3"/>
    </row>
    <row r="8" spans="1:5" s="39" customFormat="1">
      <c r="A8" s="44" t="s">
        <v>0</v>
      </c>
      <c r="B8" s="525" t="s">
        <v>550</v>
      </c>
      <c r="C8" s="388"/>
      <c r="D8" s="284"/>
      <c r="E8" s="284"/>
    </row>
    <row r="9" spans="1:5" s="39" customFormat="1" ht="98.5" customHeight="1">
      <c r="A9" s="44"/>
      <c r="B9" s="526"/>
      <c r="C9" s="388"/>
      <c r="D9" s="178"/>
      <c r="E9" s="178"/>
    </row>
    <row r="10" spans="1:5">
      <c r="A10" s="389"/>
      <c r="B10" s="389"/>
      <c r="C10" s="50"/>
      <c r="D10" s="77"/>
      <c r="E10" s="161"/>
    </row>
    <row r="11" spans="1:5" s="39" customFormat="1" ht="26">
      <c r="A11" s="47" t="s">
        <v>1</v>
      </c>
      <c r="B11" s="386" t="s">
        <v>532</v>
      </c>
      <c r="C11" s="386"/>
      <c r="D11" s="386"/>
      <c r="E11" s="386"/>
    </row>
    <row r="12" spans="1:5" s="39" customFormat="1">
      <c r="A12" s="44"/>
      <c r="B12" s="390"/>
      <c r="C12" s="190"/>
      <c r="D12" s="77"/>
      <c r="E12" s="161"/>
    </row>
    <row r="13" spans="1:5" s="39" customFormat="1">
      <c r="A13" s="44" t="s">
        <v>2</v>
      </c>
      <c r="B13" s="387" t="s">
        <v>535</v>
      </c>
      <c r="C13" s="47"/>
      <c r="D13" s="77"/>
      <c r="E13" s="161"/>
    </row>
    <row r="14" spans="1:5" s="39" customFormat="1">
      <c r="A14" s="44"/>
      <c r="B14" s="389" t="s">
        <v>546</v>
      </c>
      <c r="C14" s="47"/>
      <c r="D14" s="77"/>
      <c r="E14" s="161"/>
    </row>
    <row r="15" spans="1:5" s="39" customFormat="1">
      <c r="A15" s="44"/>
      <c r="B15" s="391"/>
      <c r="C15" s="44"/>
      <c r="D15" s="63"/>
      <c r="E15" s="285"/>
    </row>
    <row r="16" spans="1:5" s="39" customFormat="1">
      <c r="A16" s="44" t="s">
        <v>3</v>
      </c>
      <c r="B16" s="392" t="s">
        <v>534</v>
      </c>
      <c r="C16" s="44"/>
      <c r="D16" s="63"/>
      <c r="E16" s="285"/>
    </row>
    <row r="17" spans="1:5" s="39" customFormat="1">
      <c r="A17" s="44"/>
      <c r="B17" s="392"/>
      <c r="C17" s="44"/>
      <c r="D17" s="63"/>
      <c r="E17" s="285"/>
    </row>
    <row r="18" spans="1:5" s="39" customFormat="1">
      <c r="A18" s="44" t="s">
        <v>4</v>
      </c>
      <c r="B18" s="393" t="s">
        <v>533</v>
      </c>
      <c r="C18" s="44"/>
      <c r="D18" s="180"/>
      <c r="E18" s="285"/>
    </row>
    <row r="19" spans="1:5" s="39" customFormat="1">
      <c r="A19" s="44"/>
      <c r="B19" s="393"/>
      <c r="C19" s="44"/>
      <c r="D19" s="46"/>
      <c r="E19" s="46"/>
    </row>
    <row r="20" spans="1:5" s="39" customFormat="1">
      <c r="A20" s="389" t="s">
        <v>5</v>
      </c>
      <c r="B20" s="394" t="s">
        <v>6</v>
      </c>
      <c r="C20" s="44"/>
      <c r="D20" s="63"/>
      <c r="E20" s="285"/>
    </row>
    <row r="21" spans="1:5" s="39" customFormat="1">
      <c r="A21" s="44"/>
      <c r="B21" s="390"/>
      <c r="C21" s="45"/>
      <c r="D21" s="46"/>
      <c r="E21" s="46"/>
    </row>
    <row r="22" spans="1:5" s="39" customFormat="1" ht="29">
      <c r="A22" s="47" t="s">
        <v>7</v>
      </c>
      <c r="B22" s="178" t="s">
        <v>8</v>
      </c>
      <c r="C22" s="45"/>
      <c r="D22" s="46"/>
      <c r="E22" s="46"/>
    </row>
    <row r="23" spans="1:5" s="39" customFormat="1">
      <c r="A23" s="44"/>
      <c r="B23" s="178" t="s">
        <v>9</v>
      </c>
      <c r="C23" s="44"/>
      <c r="D23" s="180"/>
      <c r="E23" s="285"/>
    </row>
    <row r="24" spans="1:5" s="39" customFormat="1">
      <c r="A24" s="44"/>
      <c r="B24" s="44"/>
      <c r="C24" s="44"/>
      <c r="D24" s="63"/>
      <c r="E24" s="285"/>
    </row>
    <row r="25" spans="1:5" s="39" customFormat="1">
      <c r="A25" s="44" t="s">
        <v>10</v>
      </c>
      <c r="B25" s="45" t="s">
        <v>538</v>
      </c>
      <c r="C25" s="44"/>
      <c r="D25" s="63"/>
      <c r="E25" s="285"/>
    </row>
    <row r="26" spans="1:5" s="39" customFormat="1" ht="26">
      <c r="A26" s="430" t="s">
        <v>11</v>
      </c>
      <c r="B26" s="429" t="s">
        <v>539</v>
      </c>
      <c r="C26" s="44"/>
      <c r="D26" s="63"/>
      <c r="E26" s="285"/>
    </row>
    <row r="27" spans="1:5" s="39" customFormat="1">
      <c r="A27" s="389"/>
      <c r="B27" s="395"/>
      <c r="C27" s="44"/>
      <c r="D27" s="63"/>
      <c r="E27" s="285"/>
    </row>
    <row r="28" spans="1:5" s="39" customFormat="1">
      <c r="A28" s="389" t="s">
        <v>12</v>
      </c>
      <c r="B28" s="396" t="s">
        <v>538</v>
      </c>
      <c r="C28" s="44"/>
      <c r="D28" s="63"/>
      <c r="E28" s="285"/>
    </row>
    <row r="29" spans="1:5" s="39" customFormat="1">
      <c r="A29" s="44"/>
      <c r="B29" s="44"/>
      <c r="C29" s="44"/>
      <c r="D29" s="63"/>
      <c r="E29" s="285"/>
    </row>
    <row r="30" spans="1:5" s="39" customFormat="1" ht="26">
      <c r="A30" s="44" t="s">
        <v>13</v>
      </c>
      <c r="B30" s="367" t="s">
        <v>506</v>
      </c>
      <c r="C30" s="44"/>
      <c r="D30" s="63"/>
      <c r="E30" s="63"/>
    </row>
    <row r="31" spans="1:5" s="39" customFormat="1" ht="18" customHeight="1">
      <c r="A31" s="44" t="s">
        <v>14</v>
      </c>
      <c r="B31" s="397" t="s">
        <v>15</v>
      </c>
      <c r="C31" s="44"/>
      <c r="D31" s="63"/>
      <c r="E31" s="285"/>
    </row>
    <row r="32" spans="1:5" s="39" customFormat="1">
      <c r="A32" s="389"/>
      <c r="B32" s="44"/>
      <c r="C32" s="44"/>
      <c r="D32" s="63"/>
      <c r="E32" s="285"/>
    </row>
    <row r="33" spans="1:5" s="39" customFormat="1">
      <c r="A33" s="44" t="s">
        <v>16</v>
      </c>
      <c r="B33" s="44" t="s">
        <v>536</v>
      </c>
      <c r="C33" s="44"/>
      <c r="D33" s="63"/>
      <c r="E33" s="285"/>
    </row>
    <row r="34" spans="1:5" s="39" customFormat="1">
      <c r="A34" s="44"/>
      <c r="B34" s="44"/>
      <c r="C34" s="44"/>
      <c r="D34" s="63"/>
      <c r="E34" s="285"/>
    </row>
    <row r="35" spans="1:5" s="39" customFormat="1">
      <c r="A35" s="44"/>
      <c r="B35" s="44"/>
      <c r="C35" s="44"/>
      <c r="D35" s="63"/>
      <c r="E35" s="285"/>
    </row>
    <row r="36" spans="1:5" s="39" customFormat="1" ht="64.5" customHeight="1">
      <c r="A36" s="524" t="s">
        <v>508</v>
      </c>
      <c r="B36" s="523"/>
      <c r="C36" s="41"/>
      <c r="D36" s="41"/>
      <c r="E36" s="42"/>
    </row>
    <row r="37" spans="1:5" s="39" customFormat="1">
      <c r="A37" s="44"/>
      <c r="B37" s="45"/>
      <c r="C37" s="41"/>
      <c r="D37" s="41"/>
      <c r="E37" s="42"/>
    </row>
    <row r="38" spans="1:5" s="39" customFormat="1" ht="15" customHeight="1">
      <c r="A38" s="5"/>
      <c r="B38" s="522"/>
      <c r="C38" s="523"/>
      <c r="D38" s="41"/>
      <c r="E38" s="42"/>
    </row>
    <row r="39" spans="1:5">
      <c r="A39" s="4"/>
      <c r="B39" s="2"/>
      <c r="C39" s="2"/>
      <c r="D39" s="2"/>
      <c r="E39" s="3"/>
    </row>
    <row r="40" spans="1:5">
      <c r="A40" s="4"/>
      <c r="B40" s="2"/>
      <c r="C40" s="2"/>
      <c r="D40" s="2"/>
      <c r="E40" s="3"/>
    </row>
    <row r="41" spans="1:5">
      <c r="A41" s="4"/>
      <c r="B41" s="2"/>
      <c r="C41" s="2"/>
      <c r="D41" s="2"/>
      <c r="E41" s="3"/>
    </row>
    <row r="42" spans="1:5">
      <c r="A42" s="4"/>
      <c r="B42" s="2"/>
      <c r="C42" s="2"/>
      <c r="D42" s="2"/>
      <c r="E42" s="3"/>
    </row>
    <row r="43" spans="1:5">
      <c r="A43" s="4"/>
      <c r="B43" s="2"/>
      <c r="C43" s="2"/>
      <c r="D43" s="2"/>
      <c r="E43" s="3" t="s">
        <v>17</v>
      </c>
    </row>
    <row r="44" spans="1:5">
      <c r="A44" s="4"/>
      <c r="B44" s="2"/>
      <c r="C44" s="2"/>
      <c r="D44" s="2"/>
      <c r="E44" s="3"/>
    </row>
    <row r="45" spans="1:5">
      <c r="A45" s="4"/>
      <c r="B45" s="2"/>
      <c r="C45" s="2"/>
      <c r="D45" s="2"/>
      <c r="E45" s="3"/>
    </row>
    <row r="46" spans="1:5">
      <c r="A46" s="4"/>
      <c r="B46" s="2"/>
      <c r="C46" s="2"/>
      <c r="D46" s="2"/>
      <c r="E46" s="3"/>
    </row>
    <row r="47" spans="1:5">
      <c r="A47" s="184" t="s">
        <v>18</v>
      </c>
      <c r="B47" s="82"/>
      <c r="E47" s="3"/>
    </row>
    <row r="48" spans="1:5">
      <c r="A48" s="184"/>
      <c r="B48" s="77"/>
      <c r="C48" s="2"/>
      <c r="D48" s="2"/>
      <c r="E48" s="3"/>
    </row>
    <row r="49" spans="1:5">
      <c r="A49" s="184"/>
      <c r="B49" s="77"/>
      <c r="C49" s="2"/>
      <c r="D49" s="2"/>
      <c r="E49" s="3"/>
    </row>
    <row r="50" spans="1:5">
      <c r="A50" s="184"/>
      <c r="B50" s="77"/>
      <c r="C50" s="2"/>
      <c r="D50" s="2"/>
      <c r="E50" s="3"/>
    </row>
    <row r="51" spans="1:5">
      <c r="A51" s="185" t="s">
        <v>19</v>
      </c>
      <c r="B51" s="82"/>
    </row>
    <row r="52" spans="1:5">
      <c r="A52" s="186"/>
      <c r="B52" s="77"/>
      <c r="C52" s="2"/>
      <c r="D52" s="2"/>
      <c r="E52" s="3"/>
    </row>
    <row r="53" spans="1:5">
      <c r="A53" s="186"/>
      <c r="B53" s="77"/>
      <c r="C53" s="2"/>
      <c r="D53" s="2"/>
      <c r="E53" s="3"/>
    </row>
    <row r="54" spans="1:5">
      <c r="A54" s="186"/>
      <c r="B54" s="77"/>
      <c r="C54" s="2"/>
      <c r="D54" s="2"/>
      <c r="E54" s="3"/>
    </row>
    <row r="55" spans="1:5" ht="15.5">
      <c r="A55" s="148"/>
      <c r="B55" s="47"/>
      <c r="C55" s="2"/>
      <c r="D55" s="2"/>
      <c r="E55" s="3"/>
    </row>
    <row r="56" spans="1:5" ht="15.75" customHeight="1">
      <c r="A56" s="183" t="s">
        <v>20</v>
      </c>
      <c r="B56" s="181" t="s">
        <v>21</v>
      </c>
      <c r="C56" s="30"/>
      <c r="D56" s="30"/>
      <c r="E56" s="31"/>
    </row>
    <row r="57" spans="1:5" ht="60.75" customHeight="1">
      <c r="A57" s="149"/>
      <c r="B57" s="182" t="s">
        <v>22</v>
      </c>
      <c r="C57" s="30"/>
      <c r="D57" s="30"/>
      <c r="E57" s="31"/>
    </row>
    <row r="58" spans="1:5" ht="43.5">
      <c r="A58" s="149"/>
      <c r="B58" s="182" t="s">
        <v>23</v>
      </c>
      <c r="C58" s="30"/>
      <c r="D58" s="30"/>
      <c r="E58" s="31"/>
    </row>
    <row r="59" spans="1:5" ht="15.75" customHeight="1">
      <c r="A59" s="28"/>
      <c r="B59" s="182" t="s">
        <v>24</v>
      </c>
      <c r="C59" s="30"/>
      <c r="D59" s="33"/>
      <c r="E59" s="31"/>
    </row>
    <row r="60" spans="1:5" ht="13.5" customHeight="1">
      <c r="A60" s="28"/>
      <c r="B60" s="80"/>
      <c r="C60" s="30"/>
      <c r="D60" s="30"/>
      <c r="E60" s="31"/>
    </row>
    <row r="61" spans="1:5">
      <c r="A61" s="28"/>
      <c r="B61" s="80"/>
      <c r="C61" s="34"/>
      <c r="D61" s="34"/>
      <c r="E61" s="35"/>
    </row>
    <row r="62" spans="1:5">
      <c r="A62" s="28"/>
      <c r="B62" s="80"/>
      <c r="C62" s="34"/>
      <c r="D62" s="34"/>
      <c r="E62" s="35"/>
    </row>
    <row r="63" spans="1:5">
      <c r="A63" s="28"/>
      <c r="B63" s="34"/>
      <c r="C63" s="22"/>
      <c r="D63" s="22"/>
      <c r="E63" s="31"/>
    </row>
    <row r="64" spans="1:5">
      <c r="A64" s="28"/>
      <c r="B64" s="34"/>
      <c r="C64" s="22"/>
      <c r="D64" s="22"/>
      <c r="E64" s="31"/>
    </row>
    <row r="65" spans="1:5">
      <c r="A65" s="28"/>
      <c r="B65" s="34"/>
      <c r="C65" s="22"/>
      <c r="D65" s="36"/>
      <c r="E65" s="31"/>
    </row>
    <row r="66" spans="1:5">
      <c r="A66" s="8"/>
      <c r="B66" s="5"/>
      <c r="C66" s="2"/>
      <c r="D66" s="2"/>
      <c r="E66" s="3"/>
    </row>
    <row r="67" spans="1:5">
      <c r="A67" s="8"/>
      <c r="B67" s="5"/>
      <c r="C67" s="2"/>
      <c r="D67" s="2"/>
      <c r="E67" s="3"/>
    </row>
    <row r="68" spans="1:5">
      <c r="A68" s="8"/>
      <c r="B68" s="5"/>
      <c r="C68" s="2"/>
      <c r="D68" s="2"/>
      <c r="E68" s="3"/>
    </row>
    <row r="69" spans="1:5">
      <c r="A69" s="8"/>
      <c r="B69" s="2"/>
      <c r="C69" s="2"/>
      <c r="D69" s="2"/>
      <c r="E69" s="3"/>
    </row>
    <row r="70" spans="1:5">
      <c r="A70" s="8"/>
      <c r="B70" s="5"/>
      <c r="C70" s="2"/>
      <c r="D70" s="2"/>
      <c r="E70" s="2"/>
    </row>
    <row r="71" spans="1:5">
      <c r="A71" s="8"/>
      <c r="B71" s="2"/>
      <c r="C71" s="2"/>
      <c r="D71" s="2"/>
      <c r="E71" s="2"/>
    </row>
    <row r="72" spans="1:5">
      <c r="A72" s="8"/>
      <c r="B72" s="2"/>
      <c r="C72" s="2"/>
      <c r="D72" s="2"/>
      <c r="E72" s="3"/>
    </row>
    <row r="73" spans="1:5">
      <c r="A73" s="8"/>
      <c r="B73" s="2"/>
      <c r="C73" s="2"/>
      <c r="D73" s="2"/>
      <c r="E73" s="3"/>
    </row>
    <row r="74" spans="1:5">
      <c r="A74" s="8"/>
      <c r="B74" s="5"/>
      <c r="C74" s="2"/>
      <c r="D74" s="2"/>
      <c r="E74" s="3"/>
    </row>
    <row r="75" spans="1:5">
      <c r="A75" s="8"/>
      <c r="B75" s="5"/>
      <c r="C75" s="2"/>
      <c r="D75" s="2"/>
      <c r="E75" s="3"/>
    </row>
    <row r="76" spans="1:5">
      <c r="A76" s="8"/>
      <c r="B76" s="5"/>
      <c r="C76" s="2"/>
      <c r="D76" s="2"/>
      <c r="E76" s="3"/>
    </row>
    <row r="77" spans="1:5">
      <c r="A77" s="8"/>
      <c r="B77" s="2"/>
      <c r="C77" s="2"/>
      <c r="D77" s="2"/>
      <c r="E77" s="3"/>
    </row>
    <row r="78" spans="1:5">
      <c r="A78" s="8"/>
      <c r="B78" s="2"/>
      <c r="C78" s="2"/>
      <c r="D78" s="2"/>
      <c r="E78" s="3"/>
    </row>
    <row r="79" spans="1:5">
      <c r="A79" s="8"/>
      <c r="B79" s="5"/>
      <c r="C79" s="2"/>
      <c r="D79" s="2"/>
      <c r="E79" s="3"/>
    </row>
    <row r="80" spans="1:5">
      <c r="A80" s="8"/>
      <c r="B80" s="6"/>
      <c r="C80" s="2"/>
      <c r="D80" s="2"/>
      <c r="E80" s="3"/>
    </row>
    <row r="81" spans="1:5">
      <c r="A81" s="2"/>
      <c r="B81" s="5"/>
      <c r="C81" s="2"/>
      <c r="D81" s="2"/>
      <c r="E81" s="3"/>
    </row>
    <row r="82" spans="1:5">
      <c r="A82" s="2"/>
      <c r="B82" s="2"/>
      <c r="C82" s="2"/>
      <c r="D82" s="2"/>
      <c r="E82" s="3"/>
    </row>
    <row r="83" spans="1:5">
      <c r="A83" s="2"/>
      <c r="B83" s="2"/>
      <c r="C83" s="2"/>
      <c r="D83" s="2"/>
      <c r="E83" s="3"/>
    </row>
    <row r="84" spans="1:5">
      <c r="A84" s="2"/>
      <c r="B84" s="2"/>
      <c r="C84" s="2"/>
      <c r="D84" s="2"/>
      <c r="E84" s="3"/>
    </row>
    <row r="85" spans="1:5">
      <c r="A85" s="2"/>
      <c r="B85" s="2"/>
      <c r="C85" s="2"/>
      <c r="D85" s="2"/>
      <c r="E85" s="3"/>
    </row>
    <row r="86" spans="1:5">
      <c r="A86" s="8"/>
      <c r="B86" s="4"/>
      <c r="C86" s="2"/>
      <c r="D86" s="2"/>
      <c r="E86" s="3"/>
    </row>
    <row r="87" spans="1:5">
      <c r="A87" s="8"/>
      <c r="B87" s="8"/>
      <c r="C87" s="2"/>
      <c r="D87" s="2"/>
      <c r="E87" s="3"/>
    </row>
    <row r="88" spans="1:5">
      <c r="A88" s="8"/>
      <c r="B88" s="2"/>
      <c r="C88" s="2"/>
      <c r="D88" s="5"/>
      <c r="E88" s="5"/>
    </row>
    <row r="89" spans="1:5">
      <c r="A89" s="8"/>
      <c r="B89" s="2"/>
      <c r="C89" s="2"/>
      <c r="D89" s="5"/>
      <c r="E89" s="5"/>
    </row>
    <row r="90" spans="1:5">
      <c r="A90" s="8"/>
      <c r="B90" s="2"/>
      <c r="C90" s="2"/>
      <c r="D90" s="2"/>
      <c r="E90" s="3"/>
    </row>
    <row r="91" spans="1:5">
      <c r="A91" s="8"/>
      <c r="B91" s="8"/>
      <c r="C91" s="2"/>
      <c r="D91" s="2"/>
      <c r="E91" s="3"/>
    </row>
    <row r="92" spans="1:5">
      <c r="A92" s="8"/>
      <c r="B92" s="4"/>
      <c r="C92" s="2"/>
      <c r="D92" s="2"/>
      <c r="E92" s="3"/>
    </row>
    <row r="93" spans="1:5">
      <c r="A93" s="8"/>
      <c r="B93" s="8"/>
      <c r="C93" s="2"/>
      <c r="D93" s="2"/>
      <c r="E93" s="3"/>
    </row>
    <row r="94" spans="1:5">
      <c r="A94" s="8"/>
      <c r="B94" s="2"/>
      <c r="C94" s="2"/>
      <c r="D94" s="2"/>
      <c r="E94" s="3"/>
    </row>
    <row r="95" spans="1:5">
      <c r="A95" s="8"/>
      <c r="B95" s="2"/>
      <c r="C95" s="2"/>
      <c r="D95" s="2"/>
      <c r="E95" s="3"/>
    </row>
    <row r="96" spans="1:5" ht="15.5">
      <c r="A96" s="8"/>
      <c r="B96" s="23"/>
      <c r="C96" s="8"/>
      <c r="D96" s="4"/>
      <c r="E96" s="4"/>
    </row>
    <row r="97" spans="1:5">
      <c r="A97" s="8"/>
      <c r="B97" s="8"/>
      <c r="C97" s="4"/>
      <c r="D97" s="4"/>
      <c r="E97" s="4"/>
    </row>
    <row r="98" spans="1:5">
      <c r="B98" s="8"/>
      <c r="C98" s="4"/>
      <c r="D98" s="8"/>
      <c r="E98" s="4"/>
    </row>
    <row r="99" spans="1:5">
      <c r="A99" s="8"/>
      <c r="C99" s="2"/>
      <c r="E99" s="3"/>
    </row>
    <row r="100" spans="1:5">
      <c r="A100" s="8"/>
      <c r="B100" s="2"/>
      <c r="C100" s="2"/>
      <c r="D100" s="2"/>
      <c r="E100" s="3"/>
    </row>
    <row r="101" spans="1:5">
      <c r="A101" s="8"/>
      <c r="B101" s="2"/>
      <c r="C101" s="2"/>
      <c r="D101" s="2"/>
      <c r="E101" s="3"/>
    </row>
    <row r="102" spans="1:5">
      <c r="A102" s="8"/>
      <c r="B102" s="5"/>
      <c r="C102" s="2"/>
      <c r="D102" s="2"/>
      <c r="E102" s="3"/>
    </row>
    <row r="103" spans="1:5" ht="15.5">
      <c r="A103" s="8"/>
      <c r="B103" s="21"/>
      <c r="C103" s="2"/>
      <c r="D103" s="2"/>
      <c r="E103" s="3"/>
    </row>
    <row r="104" spans="1:5" ht="15.5">
      <c r="A104" s="8"/>
      <c r="B104" s="21"/>
      <c r="C104" s="2"/>
      <c r="D104" s="2"/>
      <c r="E104" s="3"/>
    </row>
    <row r="105" spans="1:5">
      <c r="A105" s="8"/>
      <c r="B105" s="5"/>
      <c r="C105" s="2"/>
      <c r="D105" s="2"/>
      <c r="E105" s="3"/>
    </row>
    <row r="106" spans="1:5">
      <c r="A106" s="8"/>
      <c r="B106" s="5"/>
      <c r="C106" s="2"/>
      <c r="D106" s="2"/>
      <c r="E106" s="3"/>
    </row>
    <row r="107" spans="1:5">
      <c r="A107" s="8"/>
      <c r="B107" s="5"/>
      <c r="C107" s="2"/>
      <c r="D107" s="2"/>
      <c r="E107" s="3"/>
    </row>
    <row r="108" spans="1:5">
      <c r="A108" s="8"/>
      <c r="B108" s="5"/>
      <c r="C108" s="2"/>
      <c r="D108" s="2"/>
      <c r="E108" s="3"/>
    </row>
    <row r="109" spans="1:5">
      <c r="A109" s="8"/>
      <c r="B109" s="2"/>
      <c r="C109" s="2"/>
      <c r="D109" s="2"/>
      <c r="E109" s="3"/>
    </row>
    <row r="110" spans="1:5">
      <c r="A110" s="8"/>
      <c r="B110" s="2"/>
      <c r="C110" s="2"/>
      <c r="D110" s="2"/>
      <c r="E110" s="3"/>
    </row>
    <row r="111" spans="1:5">
      <c r="A111" s="8"/>
      <c r="B111" s="2"/>
      <c r="C111" s="2"/>
      <c r="D111" s="2"/>
      <c r="E111" s="3"/>
    </row>
    <row r="112" spans="1:5">
      <c r="A112" s="8"/>
      <c r="B112" s="2"/>
      <c r="C112" s="2"/>
      <c r="D112" s="2"/>
      <c r="E112" s="3"/>
    </row>
    <row r="113" spans="1:5">
      <c r="A113" s="8"/>
      <c r="B113" s="2"/>
      <c r="C113" s="2"/>
      <c r="D113" s="2"/>
      <c r="E113" s="2"/>
    </row>
    <row r="114" spans="1:5">
      <c r="A114" s="8"/>
      <c r="B114" s="2"/>
      <c r="C114" s="2"/>
      <c r="D114" s="2"/>
      <c r="E114" s="2"/>
    </row>
    <row r="115" spans="1:5">
      <c r="A115" s="8"/>
      <c r="B115" s="2"/>
      <c r="C115" s="2"/>
      <c r="D115" s="2"/>
      <c r="E115" s="3"/>
    </row>
    <row r="116" spans="1:5">
      <c r="A116" s="8"/>
      <c r="B116" s="2"/>
      <c r="C116" s="2"/>
      <c r="D116" s="2"/>
      <c r="E116" s="3"/>
    </row>
    <row r="117" spans="1:5">
      <c r="A117" s="8"/>
      <c r="B117" s="2"/>
      <c r="C117" s="2"/>
      <c r="D117" s="2"/>
      <c r="E117" s="3"/>
    </row>
    <row r="118" spans="1:5">
      <c r="A118" s="8"/>
      <c r="B118" s="2"/>
      <c r="C118" s="2"/>
      <c r="D118" s="2"/>
      <c r="E118" s="3"/>
    </row>
    <row r="119" spans="1:5">
      <c r="A119" s="8"/>
      <c r="B119" s="2"/>
      <c r="C119" s="2"/>
      <c r="D119" s="2"/>
      <c r="E119" s="3"/>
    </row>
    <row r="120" spans="1:5">
      <c r="A120" s="8"/>
      <c r="B120" s="2"/>
      <c r="C120" s="2"/>
      <c r="D120" s="2"/>
      <c r="E120" s="3"/>
    </row>
    <row r="121" spans="1:5">
      <c r="A121" s="8"/>
      <c r="B121" s="2"/>
      <c r="C121" s="2"/>
      <c r="D121" s="2"/>
      <c r="E121" s="3"/>
    </row>
    <row r="122" spans="1:5">
      <c r="A122" s="8"/>
      <c r="B122" s="2"/>
      <c r="C122" s="2"/>
      <c r="D122" s="2"/>
      <c r="E122" s="3"/>
    </row>
    <row r="123" spans="1:5">
      <c r="A123" s="8"/>
      <c r="B123" s="6"/>
      <c r="C123" s="2"/>
      <c r="D123" s="2"/>
      <c r="E123" s="3"/>
    </row>
    <row r="124" spans="1:5">
      <c r="A124" s="2"/>
      <c r="B124" s="2"/>
      <c r="C124" s="2"/>
      <c r="D124" s="2"/>
      <c r="E124" s="3"/>
    </row>
    <row r="125" spans="1:5">
      <c r="A125" s="5"/>
      <c r="B125" s="2"/>
      <c r="C125" s="2"/>
      <c r="D125" s="2"/>
      <c r="E125" s="3"/>
    </row>
    <row r="126" spans="1:5">
      <c r="A126" s="4"/>
      <c r="B126" s="2"/>
      <c r="C126" s="2"/>
      <c r="D126" s="2"/>
      <c r="E126" s="3"/>
    </row>
    <row r="127" spans="1:5">
      <c r="A127" s="4"/>
      <c r="B127" s="2"/>
      <c r="C127" s="2"/>
      <c r="D127" s="2"/>
      <c r="E127" s="3"/>
    </row>
    <row r="128" spans="1:5">
      <c r="A128" s="4"/>
      <c r="B128" s="2"/>
      <c r="C128" s="2"/>
      <c r="D128" s="2"/>
      <c r="E128" s="3"/>
    </row>
    <row r="129" spans="1:5">
      <c r="E129" s="3"/>
    </row>
    <row r="130" spans="1:5">
      <c r="A130" s="7"/>
      <c r="B130" s="2"/>
      <c r="C130" s="2"/>
      <c r="D130" s="2"/>
      <c r="E130" s="3"/>
    </row>
    <row r="131" spans="1:5">
      <c r="A131" s="7"/>
      <c r="B131" s="2"/>
      <c r="C131" s="2"/>
      <c r="D131" s="2"/>
      <c r="E131" s="3"/>
    </row>
    <row r="132" spans="1:5">
      <c r="B132" s="2"/>
      <c r="C132" s="2"/>
      <c r="D132" s="2"/>
      <c r="E132" s="3"/>
    </row>
    <row r="134" spans="1:5">
      <c r="A134" s="8"/>
    </row>
    <row r="135" spans="1:5">
      <c r="A135" s="2"/>
      <c r="B135" s="2"/>
      <c r="C135" s="2"/>
      <c r="D135" s="2"/>
      <c r="E135" s="3"/>
    </row>
    <row r="136" spans="1:5">
      <c r="A136" s="2"/>
      <c r="B136" s="2"/>
      <c r="C136" s="2"/>
      <c r="D136" s="2"/>
      <c r="E136" s="3"/>
    </row>
    <row r="137" spans="1:5">
      <c r="A137" s="2"/>
      <c r="B137" s="2"/>
      <c r="C137" s="2"/>
      <c r="D137" s="2"/>
      <c r="E137" s="3"/>
    </row>
    <row r="138" spans="1:5">
      <c r="A138" s="30"/>
      <c r="B138" s="30"/>
      <c r="C138" s="30"/>
      <c r="D138" s="30"/>
      <c r="E138" s="31"/>
    </row>
    <row r="139" spans="1:5">
      <c r="A139" s="28"/>
      <c r="B139" s="29"/>
      <c r="C139" s="30"/>
      <c r="D139" s="30"/>
      <c r="E139" s="31"/>
    </row>
    <row r="140" spans="1:5">
      <c r="A140" s="28"/>
      <c r="B140" s="28"/>
      <c r="C140" s="30"/>
      <c r="D140" s="30"/>
      <c r="E140" s="31"/>
    </row>
    <row r="141" spans="1:5">
      <c r="A141" s="28"/>
      <c r="B141" s="30"/>
      <c r="C141" s="30"/>
      <c r="D141" s="32"/>
      <c r="E141" s="32"/>
    </row>
    <row r="142" spans="1:5">
      <c r="A142" s="28"/>
      <c r="B142" s="30"/>
      <c r="C142" s="30"/>
      <c r="D142" s="32"/>
      <c r="E142" s="32"/>
    </row>
    <row r="143" spans="1:5">
      <c r="A143" s="28"/>
      <c r="B143" s="30"/>
      <c r="C143" s="30"/>
      <c r="D143" s="30"/>
      <c r="E143" s="31"/>
    </row>
    <row r="144" spans="1:5">
      <c r="A144" s="28"/>
      <c r="B144" s="28"/>
      <c r="C144" s="30"/>
      <c r="D144" s="30"/>
      <c r="E144" s="31"/>
    </row>
    <row r="145" spans="1:5">
      <c r="A145" s="28"/>
      <c r="B145" s="29"/>
      <c r="C145" s="30"/>
      <c r="D145" s="30"/>
      <c r="E145" s="31"/>
    </row>
    <row r="146" spans="1:5">
      <c r="A146" s="28"/>
      <c r="B146" s="28"/>
      <c r="C146" s="30"/>
      <c r="D146" s="30"/>
      <c r="E146" s="31"/>
    </row>
    <row r="147" spans="1:5">
      <c r="A147" s="28"/>
      <c r="B147" s="30"/>
      <c r="C147" s="30"/>
      <c r="D147" s="30"/>
      <c r="E147" s="31"/>
    </row>
    <row r="148" spans="1:5">
      <c r="A148" s="28"/>
      <c r="B148" s="30"/>
      <c r="C148" s="30"/>
      <c r="D148" s="30"/>
      <c r="E148" s="31"/>
    </row>
    <row r="149" spans="1:5" ht="15.5">
      <c r="A149" s="28"/>
      <c r="B149" s="37"/>
      <c r="C149" s="29"/>
      <c r="D149" s="29"/>
      <c r="E149" s="29"/>
    </row>
    <row r="150" spans="1:5">
      <c r="A150" s="28"/>
      <c r="B150" s="28"/>
      <c r="C150" s="29"/>
      <c r="D150" s="29"/>
      <c r="E150" s="29"/>
    </row>
    <row r="151" spans="1:5">
      <c r="A151" s="33"/>
      <c r="B151" s="28"/>
      <c r="C151" s="29"/>
      <c r="D151" s="29"/>
      <c r="E151" s="29"/>
    </row>
    <row r="152" spans="1:5">
      <c r="A152" s="8"/>
      <c r="C152" s="2"/>
      <c r="E152" s="3"/>
    </row>
    <row r="153" spans="1:5">
      <c r="A153" s="8"/>
      <c r="C153" s="2"/>
      <c r="E153" s="3"/>
    </row>
    <row r="154" spans="1:5">
      <c r="A154" s="8"/>
      <c r="C154" s="2"/>
      <c r="E154" s="3"/>
    </row>
    <row r="155" spans="1:5">
      <c r="A155" s="8"/>
      <c r="C155" s="2"/>
      <c r="E155" s="3"/>
    </row>
    <row r="156" spans="1:5">
      <c r="A156" s="8"/>
      <c r="C156" s="2"/>
      <c r="E156" s="3"/>
    </row>
    <row r="157" spans="1:5">
      <c r="A157" s="8"/>
      <c r="C157" s="2"/>
      <c r="E157" s="3"/>
    </row>
    <row r="158" spans="1:5">
      <c r="A158" s="8"/>
      <c r="B158" s="2"/>
      <c r="C158" s="2"/>
      <c r="D158" s="2"/>
      <c r="E158" s="3"/>
    </row>
    <row r="159" spans="1:5">
      <c r="A159" s="28"/>
      <c r="B159" s="34"/>
      <c r="C159" s="34"/>
      <c r="D159" s="34"/>
      <c r="E159" s="35"/>
    </row>
    <row r="160" spans="1:5">
      <c r="A160" s="28"/>
      <c r="B160" s="34"/>
      <c r="C160" s="34"/>
      <c r="D160" s="34"/>
      <c r="E160" s="35"/>
    </row>
    <row r="161" spans="1:5">
      <c r="A161" s="28"/>
      <c r="B161" s="34"/>
      <c r="C161" s="22"/>
      <c r="D161" s="22"/>
      <c r="E161" s="31"/>
    </row>
    <row r="162" spans="1:5">
      <c r="A162" s="28"/>
      <c r="B162" s="34"/>
      <c r="C162" s="22"/>
      <c r="D162" s="22"/>
      <c r="E162" s="31"/>
    </row>
    <row r="163" spans="1:5">
      <c r="A163" s="28"/>
      <c r="B163" s="34"/>
      <c r="C163" s="22"/>
      <c r="D163" s="22"/>
      <c r="E163" s="31"/>
    </row>
    <row r="164" spans="1:5">
      <c r="A164" s="28"/>
      <c r="B164" s="34"/>
      <c r="C164" s="22"/>
      <c r="D164" s="22"/>
      <c r="E164" s="31"/>
    </row>
    <row r="165" spans="1:5">
      <c r="A165" s="28"/>
      <c r="B165" s="34"/>
      <c r="C165" s="22"/>
      <c r="D165" s="22"/>
      <c r="E165" s="31"/>
    </row>
    <row r="166" spans="1:5">
      <c r="A166" s="28"/>
      <c r="B166" s="34"/>
      <c r="C166" s="22"/>
      <c r="D166" s="36"/>
      <c r="E166" s="31"/>
    </row>
    <row r="167" spans="1:5">
      <c r="A167" s="8"/>
      <c r="B167" s="5"/>
      <c r="C167" s="2"/>
      <c r="D167" s="2"/>
      <c r="E167" s="3"/>
    </row>
    <row r="168" spans="1:5">
      <c r="A168" s="8"/>
      <c r="B168" s="5"/>
      <c r="C168" s="2"/>
      <c r="D168" s="2"/>
      <c r="E168" s="3"/>
    </row>
    <row r="169" spans="1:5">
      <c r="A169" s="8"/>
      <c r="B169" s="5"/>
      <c r="C169" s="2"/>
      <c r="D169" s="2"/>
      <c r="E169" s="3"/>
    </row>
    <row r="170" spans="1:5">
      <c r="A170" s="8"/>
      <c r="B170" s="2"/>
      <c r="C170" s="2"/>
      <c r="D170" s="2"/>
      <c r="E170" s="3"/>
    </row>
    <row r="171" spans="1:5">
      <c r="A171" s="8"/>
      <c r="B171" s="5"/>
      <c r="C171" s="2"/>
      <c r="D171" s="2"/>
      <c r="E171" s="2"/>
    </row>
    <row r="172" spans="1:5">
      <c r="A172" s="8"/>
      <c r="B172" s="2"/>
      <c r="C172" s="2"/>
      <c r="D172" s="2"/>
      <c r="E172" s="2"/>
    </row>
    <row r="173" spans="1:5">
      <c r="A173" s="8"/>
      <c r="B173" s="2"/>
      <c r="C173" s="2"/>
      <c r="D173" s="2"/>
      <c r="E173" s="3"/>
    </row>
    <row r="174" spans="1:5">
      <c r="A174" s="8"/>
      <c r="B174" s="2"/>
      <c r="C174" s="2"/>
      <c r="D174" s="2"/>
      <c r="E174" s="3"/>
    </row>
    <row r="175" spans="1:5">
      <c r="A175" s="8"/>
      <c r="B175" s="5"/>
      <c r="C175" s="2"/>
      <c r="D175" s="2"/>
      <c r="E175" s="3"/>
    </row>
    <row r="176" spans="1:5">
      <c r="A176" s="8"/>
      <c r="B176" s="5"/>
      <c r="C176" s="2"/>
      <c r="D176" s="2"/>
      <c r="E176" s="3"/>
    </row>
    <row r="177" spans="1:5">
      <c r="A177" s="8"/>
      <c r="B177" s="5"/>
      <c r="C177" s="2"/>
      <c r="D177" s="2"/>
      <c r="E177" s="3"/>
    </row>
    <row r="178" spans="1:5">
      <c r="A178" s="8"/>
      <c r="B178" s="2"/>
      <c r="C178" s="2"/>
      <c r="D178" s="2"/>
      <c r="E178" s="3"/>
    </row>
    <row r="179" spans="1:5">
      <c r="A179" s="8"/>
      <c r="B179" s="2"/>
      <c r="C179" s="2"/>
      <c r="D179" s="2"/>
      <c r="E179" s="3"/>
    </row>
    <row r="180" spans="1:5">
      <c r="A180" s="8"/>
      <c r="B180" s="5"/>
      <c r="C180" s="2"/>
      <c r="D180" s="2"/>
      <c r="E180" s="3"/>
    </row>
    <row r="181" spans="1:5">
      <c r="A181" s="8"/>
      <c r="B181" s="6"/>
      <c r="C181" s="2"/>
      <c r="D181" s="2"/>
      <c r="E181" s="3"/>
    </row>
    <row r="182" spans="1:5">
      <c r="A182" s="2"/>
      <c r="B182" s="5"/>
      <c r="C182" s="2"/>
      <c r="D182" s="2"/>
      <c r="E182" s="3"/>
    </row>
    <row r="183" spans="1:5">
      <c r="A183" s="2"/>
      <c r="B183" s="2"/>
      <c r="C183" s="2"/>
      <c r="D183" s="2"/>
      <c r="E183" s="3"/>
    </row>
  </sheetData>
  <sheetProtection algorithmName="SHA-512" hashValue="e3GO2t8OyYGT4vfUt4Xt9/mdj7+qeSzoROh6OTL1urlF+9jfnJU4LKHBmgFC+fHZPYRoJvjt7HN6nqrtSTllvg==" saltValue="iGqnlRhChwy5CiwiC9aj4Q==" spinCount="100000" sheet="1" objects="1" scenarios="1"/>
  <mergeCells count="3">
    <mergeCell ref="B38:C38"/>
    <mergeCell ref="A36:B36"/>
    <mergeCell ref="B8:B9"/>
  </mergeCells>
  <phoneticPr fontId="28" type="noConversion"/>
  <pageMargins left="0.70866141732283472" right="0.70866141732283472" top="0.74803149606299213" bottom="0.74803149606299213" header="0.31496062992125984" footer="0.31496062992125984"/>
  <pageSetup paperSize="9" fitToHeight="0" orientation="portrait" r:id="rId1"/>
  <headerFooter alignWithMargins="0">
    <oddFooter>&amp;L&amp;"Calibri,Uobičajeno"&amp;9&amp;K000000Zagreb, travanj 2024. godine&amp;R&amp;9&amp;K00-012&amp;P/&amp;N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2:J91"/>
  <sheetViews>
    <sheetView view="pageBreakPreview" topLeftCell="A16" zoomScale="90" zoomScaleNormal="90" zoomScaleSheetLayoutView="90" workbookViewId="0">
      <selection activeCell="F22" sqref="F22"/>
    </sheetView>
  </sheetViews>
  <sheetFormatPr defaultColWidth="8.81640625" defaultRowHeight="14.5"/>
  <cols>
    <col min="1" max="1" width="11.7265625" customWidth="1"/>
    <col min="2" max="4" width="15.26953125" customWidth="1"/>
    <col min="5" max="5" width="9.453125" customWidth="1"/>
    <col min="6" max="6" width="18.1796875" customWidth="1"/>
    <col min="8" max="8" width="8.81640625" customWidth="1"/>
  </cols>
  <sheetData>
    <row r="2" spans="1:6">
      <c r="B2" s="89"/>
    </row>
    <row r="3" spans="1:6">
      <c r="B3" s="89"/>
    </row>
    <row r="4" spans="1:6">
      <c r="B4" s="89"/>
    </row>
    <row r="5" spans="1:6">
      <c r="B5" s="89"/>
    </row>
    <row r="6" spans="1:6">
      <c r="A6" s="1"/>
      <c r="B6" s="1"/>
      <c r="C6" s="1"/>
      <c r="D6" s="1"/>
      <c r="E6" s="1"/>
      <c r="F6" s="1"/>
    </row>
    <row r="7" spans="1:6" ht="121.5" customHeight="1">
      <c r="A7" s="63" t="s">
        <v>0</v>
      </c>
      <c r="B7" s="531" t="s">
        <v>551</v>
      </c>
      <c r="C7" s="532"/>
      <c r="D7" s="532"/>
      <c r="E7" s="532"/>
      <c r="F7" s="532"/>
    </row>
    <row r="8" spans="1:6">
      <c r="A8" s="63"/>
      <c r="B8" s="532"/>
      <c r="C8" s="532"/>
      <c r="D8" s="178"/>
      <c r="E8" s="178"/>
      <c r="F8" s="82"/>
    </row>
    <row r="9" spans="1:6">
      <c r="C9" s="50"/>
      <c r="D9" s="47"/>
      <c r="E9" s="48"/>
      <c r="F9" s="82"/>
    </row>
    <row r="10" spans="1:6" ht="29.25" customHeight="1">
      <c r="A10" s="63" t="s">
        <v>1</v>
      </c>
      <c r="B10" s="533" t="s">
        <v>552</v>
      </c>
      <c r="C10" s="533"/>
      <c r="D10" s="533"/>
      <c r="E10" s="533"/>
      <c r="F10" s="533"/>
    </row>
    <row r="11" spans="1:6">
      <c r="A11" s="63"/>
      <c r="B11" s="39"/>
      <c r="C11" s="190"/>
      <c r="D11" s="47"/>
      <c r="E11" s="48"/>
      <c r="F11" s="82"/>
    </row>
    <row r="12" spans="1:6">
      <c r="A12" s="63" t="s">
        <v>2</v>
      </c>
      <c r="B12" s="534" t="s">
        <v>537</v>
      </c>
      <c r="C12" s="534"/>
      <c r="D12" s="534"/>
      <c r="E12" s="534"/>
      <c r="F12" s="534"/>
    </row>
    <row r="13" spans="1:6">
      <c r="A13" s="63"/>
      <c r="B13" t="s">
        <v>546</v>
      </c>
      <c r="C13" s="47"/>
      <c r="D13" s="47"/>
      <c r="E13" s="48"/>
      <c r="F13" s="82"/>
    </row>
    <row r="14" spans="1:6" ht="15.5">
      <c r="A14" s="187"/>
      <c r="B14" s="52"/>
      <c r="C14" s="51" t="s">
        <v>17</v>
      </c>
      <c r="D14" s="51"/>
      <c r="E14" s="51"/>
      <c r="F14" s="82"/>
    </row>
    <row r="15" spans="1:6">
      <c r="A15" s="187"/>
      <c r="B15" s="53"/>
      <c r="C15" s="47"/>
      <c r="D15" s="82"/>
      <c r="E15" s="48"/>
      <c r="F15" s="82"/>
    </row>
    <row r="16" spans="1:6" ht="27.75" customHeight="1">
      <c r="A16" s="188" t="s">
        <v>13</v>
      </c>
      <c r="B16" s="535" t="s">
        <v>543</v>
      </c>
      <c r="C16" s="535"/>
      <c r="D16" s="535"/>
      <c r="E16" s="535"/>
      <c r="F16" s="82"/>
    </row>
    <row r="17" spans="1:10">
      <c r="A17" s="49"/>
      <c r="B17" s="536"/>
      <c r="C17" s="537"/>
      <c r="D17" s="47"/>
      <c r="E17" s="48"/>
      <c r="F17" s="426"/>
    </row>
    <row r="18" spans="1:10">
      <c r="A18" s="47"/>
      <c r="B18" s="51"/>
      <c r="C18" s="47"/>
      <c r="D18" s="47"/>
      <c r="E18" s="47"/>
      <c r="F18" s="48"/>
    </row>
    <row r="19" spans="1:10" s="40" customFormat="1" ht="43.5" customHeight="1">
      <c r="A19" s="54"/>
      <c r="B19" s="528" t="s">
        <v>544</v>
      </c>
      <c r="C19" s="528"/>
      <c r="D19" s="528"/>
      <c r="E19" s="528"/>
      <c r="F19" s="529"/>
    </row>
    <row r="20" spans="1:10">
      <c r="A20" s="47"/>
      <c r="B20" s="51"/>
      <c r="C20" s="56"/>
      <c r="D20" s="47"/>
      <c r="E20" s="47"/>
      <c r="F20" s="48"/>
    </row>
    <row r="21" spans="1:10" ht="18" customHeight="1">
      <c r="A21" s="47"/>
      <c r="B21" s="431" t="s">
        <v>711</v>
      </c>
      <c r="C21" s="56"/>
      <c r="D21" s="47"/>
      <c r="E21" s="47"/>
      <c r="F21" s="437">
        <f>'rekap+stolarija'!F22</f>
        <v>0</v>
      </c>
    </row>
    <row r="22" spans="1:10" ht="18" customHeight="1">
      <c r="A22" s="47"/>
      <c r="B22" s="431" t="s">
        <v>710</v>
      </c>
      <c r="C22" s="56"/>
      <c r="D22" s="47"/>
      <c r="E22" s="47"/>
      <c r="F22" s="437">
        <f>'rekap+stolarija'!F33</f>
        <v>0</v>
      </c>
    </row>
    <row r="23" spans="1:10" ht="18" customHeight="1">
      <c r="A23" s="434"/>
      <c r="B23" s="435" t="s">
        <v>712</v>
      </c>
      <c r="C23" s="85"/>
      <c r="D23" s="85"/>
      <c r="E23" s="85"/>
      <c r="F23" s="436">
        <f>'rekap+stolarija'!F39</f>
        <v>0</v>
      </c>
    </row>
    <row r="24" spans="1:10" s="39" customFormat="1" ht="18.5">
      <c r="A24" s="55"/>
      <c r="B24" s="55"/>
      <c r="C24" s="55"/>
      <c r="D24" s="55"/>
      <c r="E24" s="69" t="s">
        <v>507</v>
      </c>
      <c r="F24" s="465">
        <f>SUM(F21:F23)</f>
        <v>0</v>
      </c>
    </row>
    <row r="25" spans="1:10" s="39" customFormat="1" ht="20.149999999999999" customHeight="1">
      <c r="A25" s="62"/>
      <c r="B25" s="46"/>
      <c r="C25" s="83"/>
      <c r="D25" s="83"/>
      <c r="E25" s="83"/>
      <c r="F25" s="151"/>
    </row>
    <row r="26" spans="1:10" s="93" customFormat="1" ht="13">
      <c r="A26" s="90"/>
      <c r="B26" s="91"/>
      <c r="C26" s="139" t="s">
        <v>28</v>
      </c>
      <c r="D26" s="90"/>
      <c r="E26" s="92" t="s">
        <v>507</v>
      </c>
      <c r="F26" s="154">
        <f>F24</f>
        <v>0</v>
      </c>
      <c r="H26" s="139"/>
      <c r="I26" s="90"/>
      <c r="J26" s="92"/>
    </row>
    <row r="27" spans="1:10" s="93" customFormat="1" ht="12.75" customHeight="1">
      <c r="A27" s="90"/>
      <c r="B27" s="90"/>
      <c r="C27" s="530" t="s">
        <v>545</v>
      </c>
      <c r="D27" s="530"/>
      <c r="E27" s="432" t="s">
        <v>507</v>
      </c>
      <c r="F27" s="480">
        <f>(F21+F22)*0.25</f>
        <v>0</v>
      </c>
      <c r="H27" s="94"/>
      <c r="I27" s="90"/>
      <c r="J27" s="92"/>
    </row>
    <row r="28" spans="1:10" s="93" customFormat="1" ht="12.75" customHeight="1">
      <c r="A28" s="90"/>
      <c r="B28" s="90"/>
      <c r="C28" s="527" t="s">
        <v>815</v>
      </c>
      <c r="D28" s="527"/>
      <c r="E28" s="527"/>
      <c r="F28" s="521"/>
      <c r="H28" s="94"/>
      <c r="I28" s="90"/>
      <c r="J28" s="92"/>
    </row>
    <row r="29" spans="1:10" s="93" customFormat="1" ht="13">
      <c r="A29" s="90"/>
      <c r="B29" s="90"/>
      <c r="C29" s="139" t="s">
        <v>30</v>
      </c>
      <c r="D29" s="90"/>
      <c r="E29" s="92" t="s">
        <v>507</v>
      </c>
      <c r="F29" s="154">
        <f>F26+F27</f>
        <v>0</v>
      </c>
      <c r="H29" s="139"/>
      <c r="I29" s="90"/>
      <c r="J29" s="92"/>
    </row>
    <row r="30" spans="1:10" s="93" customFormat="1" ht="13">
      <c r="A30" s="90"/>
      <c r="B30" s="90"/>
      <c r="C30" s="139"/>
      <c r="D30" s="90"/>
      <c r="E30" s="92"/>
      <c r="F30" s="154"/>
    </row>
    <row r="31" spans="1:10" s="93" customFormat="1" ht="13">
      <c r="A31" s="90"/>
      <c r="B31" s="90"/>
      <c r="C31" s="139"/>
      <c r="D31" s="90"/>
      <c r="E31" s="92"/>
      <c r="F31" s="154"/>
    </row>
    <row r="32" spans="1:10" ht="20.149999999999999" customHeight="1">
      <c r="A32" s="70"/>
      <c r="B32" s="51"/>
      <c r="C32" s="425"/>
      <c r="D32" s="71"/>
      <c r="E32" s="433"/>
      <c r="F32" s="76"/>
    </row>
    <row r="33" spans="1:6">
      <c r="A33" s="47"/>
      <c r="B33" s="51"/>
      <c r="C33" s="56"/>
      <c r="D33" s="47"/>
      <c r="E33" s="47"/>
      <c r="F33" s="48"/>
    </row>
    <row r="34" spans="1:6" ht="15.5">
      <c r="A34" s="45"/>
      <c r="B34" s="82"/>
      <c r="C34" s="71"/>
      <c r="D34" s="71"/>
      <c r="E34" s="71"/>
      <c r="F34" s="72"/>
    </row>
    <row r="35" spans="1:6" ht="23.25" customHeight="1"/>
    <row r="36" spans="1:6" ht="15.5">
      <c r="A36" s="44"/>
      <c r="B36" s="47"/>
      <c r="C36" s="71"/>
      <c r="D36" s="71"/>
      <c r="E36" s="75"/>
      <c r="F36" s="76"/>
    </row>
    <row r="37" spans="1:6" ht="15.5">
      <c r="A37" s="38"/>
      <c r="B37" s="12"/>
      <c r="C37" s="9"/>
      <c r="D37" s="9"/>
      <c r="E37" s="13"/>
      <c r="F37" s="27"/>
    </row>
    <row r="38" spans="1:6" ht="15.5">
      <c r="A38" s="38"/>
      <c r="B38" s="12"/>
      <c r="C38" s="9"/>
      <c r="D38" s="9"/>
      <c r="E38" s="13"/>
      <c r="F38" s="27"/>
    </row>
    <row r="39" spans="1:6" ht="15.5">
      <c r="A39" s="38"/>
      <c r="B39" s="12"/>
      <c r="C39" s="9"/>
      <c r="D39" s="9"/>
      <c r="E39" s="13"/>
      <c r="F39" s="27"/>
    </row>
    <row r="40" spans="1:6" ht="15.5">
      <c r="A40" s="38"/>
      <c r="B40" s="12"/>
      <c r="C40" s="9"/>
      <c r="D40" s="9"/>
      <c r="E40" s="13"/>
      <c r="F40" s="27"/>
    </row>
    <row r="41" spans="1:6" ht="15.5">
      <c r="A41" s="38"/>
      <c r="B41" s="12"/>
      <c r="C41" s="9"/>
      <c r="D41" s="9"/>
      <c r="E41" s="13"/>
      <c r="F41" s="27"/>
    </row>
    <row r="42" spans="1:6">
      <c r="A42" s="38"/>
      <c r="B42" s="12"/>
      <c r="E42" s="13"/>
      <c r="F42" s="27"/>
    </row>
    <row r="43" spans="1:6">
      <c r="A43" s="38"/>
      <c r="B43" s="12"/>
      <c r="E43" s="13"/>
      <c r="F43" s="27"/>
    </row>
    <row r="44" spans="1:6">
      <c r="A44" s="38"/>
      <c r="B44" s="12"/>
      <c r="E44" s="13"/>
      <c r="F44" s="27"/>
    </row>
    <row r="45" spans="1:6">
      <c r="A45" s="38"/>
      <c r="B45" s="12"/>
      <c r="E45" s="13"/>
      <c r="F45" s="27"/>
    </row>
    <row r="46" spans="1:6" ht="15.5">
      <c r="A46" s="38"/>
      <c r="B46" s="12"/>
      <c r="C46" s="9"/>
      <c r="D46" s="9"/>
      <c r="E46" s="13"/>
      <c r="F46" s="27"/>
    </row>
    <row r="47" spans="1:6" ht="15.5">
      <c r="A47" s="14"/>
      <c r="B47" s="5"/>
      <c r="C47" s="9"/>
      <c r="D47" s="9"/>
      <c r="E47" s="13"/>
      <c r="F47" s="15"/>
    </row>
    <row r="48" spans="1:6" ht="15.5">
      <c r="A48" s="9"/>
      <c r="B48" s="9"/>
      <c r="C48" s="9"/>
      <c r="D48" s="9"/>
      <c r="E48" s="9"/>
      <c r="F48" s="10"/>
    </row>
    <row r="49" spans="1:6" ht="15.5">
      <c r="A49" s="9"/>
      <c r="B49" s="9"/>
      <c r="C49" s="9"/>
      <c r="D49" s="9"/>
      <c r="E49" s="9"/>
      <c r="F49" s="10"/>
    </row>
    <row r="50" spans="1:6">
      <c r="A50" s="11"/>
      <c r="B50" s="17"/>
      <c r="C50" s="11"/>
      <c r="D50" s="11"/>
      <c r="E50" s="11"/>
      <c r="F50" s="24"/>
    </row>
    <row r="51" spans="1:6" ht="15.5">
      <c r="A51" s="12"/>
      <c r="B51" s="12"/>
      <c r="C51" s="11"/>
      <c r="D51" s="9"/>
      <c r="E51" s="13"/>
      <c r="F51" s="25"/>
    </row>
    <row r="52" spans="1:6" ht="15.5">
      <c r="A52" s="12"/>
      <c r="B52" s="12"/>
      <c r="C52" s="11"/>
      <c r="D52" s="9"/>
      <c r="E52" s="13"/>
      <c r="F52" s="26"/>
    </row>
    <row r="53" spans="1:6">
      <c r="A53" s="12"/>
      <c r="B53" s="12"/>
      <c r="C53" s="11"/>
      <c r="D53" s="11"/>
      <c r="E53" s="13"/>
      <c r="F53" s="25"/>
    </row>
    <row r="54" spans="1:6" ht="15.5">
      <c r="A54" s="12"/>
      <c r="B54" s="12"/>
      <c r="C54" s="11"/>
      <c r="D54" s="9"/>
      <c r="E54" s="13"/>
      <c r="F54" s="26"/>
    </row>
    <row r="55" spans="1:6" ht="15.5">
      <c r="A55" s="12"/>
      <c r="B55" s="12"/>
      <c r="C55" s="11"/>
      <c r="D55" s="9"/>
      <c r="E55" s="13"/>
      <c r="F55" s="26"/>
    </row>
    <row r="56" spans="1:6" ht="15.5">
      <c r="A56" s="12"/>
      <c r="B56" s="12"/>
      <c r="C56" s="11"/>
      <c r="D56" s="9"/>
      <c r="E56" s="13"/>
      <c r="F56" s="26"/>
    </row>
    <row r="57" spans="1:6" ht="15.5">
      <c r="B57" s="5"/>
      <c r="C57" s="11"/>
      <c r="D57" s="9"/>
      <c r="E57" s="13"/>
      <c r="F57" s="27"/>
    </row>
    <row r="58" spans="1:6" ht="15.5">
      <c r="A58" s="9"/>
      <c r="B58" s="9"/>
      <c r="C58" s="9"/>
      <c r="D58" s="9"/>
      <c r="E58" s="9"/>
      <c r="F58" s="10"/>
    </row>
    <row r="59" spans="1:6" ht="15.5">
      <c r="A59" s="9"/>
      <c r="B59" s="9"/>
      <c r="C59" s="9"/>
      <c r="D59" s="9"/>
      <c r="E59" s="9"/>
      <c r="F59" s="10"/>
    </row>
    <row r="60" spans="1:6" ht="15.5">
      <c r="A60" s="13"/>
      <c r="B60" s="17"/>
      <c r="C60" s="9"/>
      <c r="D60" s="9"/>
      <c r="E60" s="9"/>
      <c r="F60" s="10"/>
    </row>
    <row r="61" spans="1:6" ht="15.5">
      <c r="A61" s="12"/>
      <c r="B61" s="12"/>
      <c r="C61" s="9"/>
      <c r="D61" s="9"/>
      <c r="E61" s="13"/>
      <c r="F61" s="26"/>
    </row>
    <row r="62" spans="1:6">
      <c r="A62" s="12"/>
      <c r="B62" s="12"/>
      <c r="E62" s="13"/>
      <c r="F62" s="26"/>
    </row>
    <row r="63" spans="1:6">
      <c r="A63" s="12"/>
      <c r="B63" s="12"/>
      <c r="E63" s="13"/>
      <c r="F63" s="26"/>
    </row>
    <row r="64" spans="1:6" ht="15.5">
      <c r="A64" s="12"/>
      <c r="B64" s="12"/>
      <c r="C64" s="9"/>
      <c r="D64" s="9"/>
      <c r="E64" s="13"/>
    </row>
    <row r="65" spans="1:6" ht="15.5">
      <c r="A65" s="14"/>
      <c r="B65" s="5"/>
      <c r="C65" s="9"/>
      <c r="D65" s="9"/>
      <c r="E65" s="13"/>
      <c r="F65" s="15"/>
    </row>
    <row r="66" spans="1:6" ht="15.5">
      <c r="A66" s="14"/>
      <c r="B66" s="5"/>
      <c r="C66" s="9"/>
      <c r="D66" s="9"/>
      <c r="E66" s="13"/>
      <c r="F66" s="15"/>
    </row>
    <row r="67" spans="1:6" ht="15.5">
      <c r="A67" s="12"/>
      <c r="B67" s="5"/>
      <c r="C67" s="9"/>
      <c r="D67" s="9"/>
      <c r="E67" s="13"/>
      <c r="F67" s="15"/>
    </row>
    <row r="68" spans="1:6" ht="15.5">
      <c r="A68" s="12"/>
      <c r="B68" s="12"/>
      <c r="C68" s="9"/>
      <c r="D68" s="9"/>
      <c r="E68" s="13"/>
      <c r="F68" s="15"/>
    </row>
    <row r="69" spans="1:6" ht="15.5">
      <c r="A69" s="14"/>
      <c r="B69" s="5"/>
      <c r="C69" s="9"/>
      <c r="D69" s="9"/>
      <c r="E69" s="13"/>
      <c r="F69" s="15"/>
    </row>
    <row r="70" spans="1:6" ht="15.5">
      <c r="A70" s="14"/>
      <c r="C70" s="9"/>
      <c r="D70" s="9"/>
      <c r="E70" s="9"/>
      <c r="F70" s="10"/>
    </row>
    <row r="71" spans="1:6" ht="15.5">
      <c r="A71" s="16"/>
      <c r="B71" s="17"/>
      <c r="C71" s="9"/>
      <c r="D71" s="9"/>
      <c r="E71" s="16"/>
      <c r="F71" s="15"/>
    </row>
    <row r="72" spans="1:6" ht="15.5">
      <c r="A72" s="12"/>
      <c r="B72" s="12"/>
      <c r="C72" s="9"/>
      <c r="D72" s="9"/>
      <c r="E72" s="9"/>
      <c r="F72" s="10"/>
    </row>
    <row r="73" spans="1:6" ht="15.5">
      <c r="A73" s="12"/>
      <c r="B73" s="12"/>
      <c r="C73" s="9"/>
      <c r="D73" s="9"/>
      <c r="E73" s="9"/>
      <c r="F73" s="10"/>
    </row>
    <row r="74" spans="1:6" ht="15.5">
      <c r="A74" s="12"/>
      <c r="B74" s="12"/>
      <c r="C74" s="9"/>
      <c r="D74" s="9"/>
      <c r="E74" s="9"/>
      <c r="F74" s="10"/>
    </row>
    <row r="75" spans="1:6" ht="15.5">
      <c r="A75" s="12"/>
      <c r="B75" s="12"/>
      <c r="C75" s="9"/>
      <c r="D75" s="9"/>
      <c r="E75" s="9"/>
      <c r="F75" s="10"/>
    </row>
    <row r="76" spans="1:6" ht="15.5">
      <c r="A76" s="12"/>
      <c r="B76" s="12"/>
      <c r="C76" s="9"/>
      <c r="D76" s="9"/>
      <c r="E76" s="9"/>
      <c r="F76" s="10"/>
    </row>
    <row r="77" spans="1:6" ht="15.5">
      <c r="A77" s="12"/>
      <c r="B77" s="12"/>
      <c r="C77" s="9"/>
      <c r="D77" s="9"/>
      <c r="E77" s="9"/>
      <c r="F77" s="10"/>
    </row>
    <row r="78" spans="1:6" ht="15.5">
      <c r="A78" s="12"/>
      <c r="B78" s="12"/>
      <c r="C78" s="9"/>
      <c r="D78" s="9"/>
      <c r="E78" s="9"/>
      <c r="F78" s="10"/>
    </row>
    <row r="79" spans="1:6" ht="15.5">
      <c r="A79" s="12"/>
      <c r="B79" s="12"/>
      <c r="C79" s="9"/>
      <c r="D79" s="9"/>
      <c r="E79" s="9"/>
      <c r="F79" s="10"/>
    </row>
    <row r="80" spans="1:6" ht="15.5">
      <c r="A80" s="12"/>
      <c r="B80" s="12"/>
      <c r="C80" s="9"/>
      <c r="D80" s="9"/>
      <c r="E80" s="9"/>
      <c r="F80" s="10"/>
    </row>
    <row r="81" spans="1:6" ht="15.5">
      <c r="A81" s="12"/>
      <c r="B81" s="12"/>
      <c r="C81" s="9"/>
      <c r="D81" s="9"/>
      <c r="E81" s="9"/>
      <c r="F81" s="10"/>
    </row>
    <row r="82" spans="1:6" ht="15.5">
      <c r="A82" s="12"/>
      <c r="B82" s="12"/>
      <c r="C82" s="9"/>
      <c r="D82" s="9"/>
      <c r="E82" s="9"/>
      <c r="F82" s="10"/>
    </row>
    <row r="83" spans="1:6" ht="15.5">
      <c r="A83" s="12"/>
      <c r="B83" s="12"/>
      <c r="C83" s="9"/>
      <c r="D83" s="9"/>
      <c r="E83" s="9"/>
      <c r="F83" s="10"/>
    </row>
    <row r="84" spans="1:6" ht="15.5">
      <c r="A84" s="14"/>
      <c r="B84" s="5"/>
      <c r="C84" s="9"/>
      <c r="D84" s="9"/>
      <c r="E84" s="9"/>
      <c r="F84" s="15"/>
    </row>
    <row r="85" spans="1:6" ht="15.5">
      <c r="A85" s="14"/>
      <c r="C85" s="9"/>
      <c r="D85" s="9"/>
      <c r="E85" s="9"/>
      <c r="F85" s="10"/>
    </row>
    <row r="86" spans="1:6" ht="15.5">
      <c r="A86" s="16"/>
      <c r="B86" s="17"/>
      <c r="C86" s="9"/>
      <c r="D86" s="9"/>
      <c r="E86" s="9"/>
      <c r="F86" s="20"/>
    </row>
    <row r="89" spans="1:6">
      <c r="A89" s="18"/>
      <c r="B89" s="19"/>
      <c r="F89" s="20"/>
    </row>
    <row r="90" spans="1:6">
      <c r="A90" s="18"/>
      <c r="B90" s="19"/>
      <c r="F90" s="20"/>
    </row>
    <row r="91" spans="1:6">
      <c r="B91" s="19"/>
      <c r="F91" s="15"/>
    </row>
  </sheetData>
  <sheetProtection algorithmName="SHA-512" hashValue="+duB8VMOCmxqHLZo6cbXis0erRtMXxbVvNulITL3479acENya4QyFNBi80W1xWJ44OL+XRzv6kOXGvqfDW0zlg==" saltValue="INXi+w06+LmOsxUTud3vCw==" spinCount="100000" sheet="1" objects="1" scenarios="1"/>
  <mergeCells count="9">
    <mergeCell ref="C28:E28"/>
    <mergeCell ref="B19:F19"/>
    <mergeCell ref="C27:D27"/>
    <mergeCell ref="B7:F7"/>
    <mergeCell ref="B8:C8"/>
    <mergeCell ref="B10:F10"/>
    <mergeCell ref="B12:F12"/>
    <mergeCell ref="B16:E16"/>
    <mergeCell ref="B17:C17"/>
  </mergeCells>
  <pageMargins left="0.70866141732283505" right="0.70866141732283505" top="0.74803149606299202" bottom="0.74803149606299202" header="0.31496062992126" footer="0.31496062992126"/>
  <pageSetup paperSize="9" orientation="portrait" r:id="rId1"/>
  <headerFooter alignWithMargins="0">
    <oddHeader>&amp;L&amp;"Calibri,Regular"&amp;8&amp;K000000Projektantski ured: SAEPTUM d.o.o. Travnička 50/a, Čakovec, Kružna ulica 81, Zagreb
Građevina: SZ Tijardovićeva ulica 28, 30, 32, Zagreb, k.č. 5616/2, k.o. Vrapče</oddHeader>
    <oddFooter>&amp;L&amp;"Calibri,Regular"&amp;9&amp;K000000Zagreb, travanj 2024. godine&amp;R&amp;9&amp;K000000&amp;P/&amp;N</oddFooter>
  </headerFooter>
  <rowBreaks count="1" manualBreakCount="1">
    <brk id="81"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88"/>
  <sheetViews>
    <sheetView view="pageBreakPreview" zoomScaleNormal="90" zoomScaleSheetLayoutView="100" workbookViewId="0">
      <selection activeCell="B7" sqref="B7:F7"/>
    </sheetView>
  </sheetViews>
  <sheetFormatPr defaultColWidth="8.81640625" defaultRowHeight="14.5"/>
  <cols>
    <col min="1" max="1" width="13" customWidth="1"/>
    <col min="2" max="2" width="13.453125" customWidth="1"/>
    <col min="3" max="3" width="15.26953125" customWidth="1"/>
    <col min="4" max="4" width="16.81640625" customWidth="1"/>
    <col min="5" max="5" width="12.26953125" customWidth="1"/>
    <col min="6" max="6" width="15.7265625" customWidth="1"/>
  </cols>
  <sheetData>
    <row r="2" spans="1:6">
      <c r="B2" s="89"/>
    </row>
    <row r="3" spans="1:6">
      <c r="B3" s="89"/>
    </row>
    <row r="4" spans="1:6">
      <c r="B4" s="89"/>
    </row>
    <row r="5" spans="1:6">
      <c r="B5" s="89"/>
    </row>
    <row r="6" spans="1:6">
      <c r="A6" s="1"/>
      <c r="B6" s="1"/>
      <c r="C6" s="1"/>
      <c r="D6" s="1"/>
      <c r="E6" s="1"/>
      <c r="F6" s="1"/>
    </row>
    <row r="7" spans="1:6" ht="120.75" customHeight="1">
      <c r="A7" s="77" t="s">
        <v>0</v>
      </c>
      <c r="B7" s="538" t="s">
        <v>553</v>
      </c>
      <c r="C7" s="538"/>
      <c r="D7" s="538"/>
      <c r="E7" s="538"/>
      <c r="F7" s="538"/>
    </row>
    <row r="8" spans="1:6">
      <c r="C8" s="50"/>
      <c r="D8" s="47"/>
      <c r="E8" s="48"/>
      <c r="F8" s="82"/>
    </row>
    <row r="9" spans="1:6" ht="29.25" customHeight="1">
      <c r="A9" s="77" t="s">
        <v>1</v>
      </c>
      <c r="B9" s="539" t="s">
        <v>554</v>
      </c>
      <c r="C9" s="540"/>
      <c r="D9" s="540"/>
      <c r="E9" s="540"/>
      <c r="F9" s="82"/>
    </row>
    <row r="10" spans="1:6">
      <c r="A10" s="63"/>
      <c r="B10" s="39"/>
      <c r="C10" s="190"/>
      <c r="D10" s="47"/>
      <c r="E10" s="48"/>
      <c r="F10" s="82"/>
    </row>
    <row r="11" spans="1:6">
      <c r="A11" s="63" t="s">
        <v>2</v>
      </c>
      <c r="B11" s="179" t="s">
        <v>537</v>
      </c>
      <c r="C11" s="47"/>
      <c r="D11" s="47"/>
      <c r="E11" s="48"/>
      <c r="F11" s="82"/>
    </row>
    <row r="12" spans="1:6">
      <c r="A12" s="63"/>
      <c r="B12" t="s">
        <v>546</v>
      </c>
      <c r="C12" s="47"/>
      <c r="D12" s="47"/>
      <c r="E12" s="48"/>
      <c r="F12" s="82"/>
    </row>
    <row r="13" spans="1:6" ht="15.75" customHeight="1">
      <c r="A13" s="63"/>
      <c r="B13" s="189"/>
      <c r="C13" s="189"/>
      <c r="D13" s="189"/>
      <c r="E13" s="51"/>
      <c r="F13" s="82"/>
    </row>
    <row r="14" spans="1:6" ht="15.5">
      <c r="A14" s="187"/>
      <c r="B14" s="52"/>
      <c r="C14" s="51"/>
      <c r="D14" s="51"/>
      <c r="E14" s="51"/>
      <c r="F14" s="82"/>
    </row>
    <row r="15" spans="1:6">
      <c r="A15" s="187"/>
      <c r="B15" s="53"/>
      <c r="C15" s="47"/>
      <c r="D15" s="82"/>
      <c r="E15" s="48"/>
      <c r="F15" s="82"/>
    </row>
    <row r="16" spans="1:6" ht="27.75" customHeight="1">
      <c r="A16" s="188" t="s">
        <v>13</v>
      </c>
      <c r="B16" s="535" t="s">
        <v>506</v>
      </c>
      <c r="C16" s="535"/>
      <c r="D16" s="535"/>
      <c r="E16" s="535"/>
      <c r="F16" s="82"/>
    </row>
    <row r="17" spans="1:10">
      <c r="A17" s="49"/>
      <c r="B17" s="536"/>
      <c r="C17" s="537"/>
      <c r="D17" s="47"/>
      <c r="E17" s="48"/>
      <c r="F17" s="82"/>
    </row>
    <row r="18" spans="1:10">
      <c r="A18" s="47"/>
      <c r="B18" s="51"/>
      <c r="C18" s="47"/>
      <c r="D18" s="47"/>
      <c r="E18" s="47"/>
      <c r="F18" s="48"/>
    </row>
    <row r="19" spans="1:10" s="40" customFormat="1" ht="54" customHeight="1">
      <c r="A19" s="54"/>
      <c r="B19" s="528" t="s">
        <v>714</v>
      </c>
      <c r="C19" s="528"/>
      <c r="D19" s="528"/>
      <c r="E19" s="528"/>
      <c r="F19" s="529"/>
    </row>
    <row r="20" spans="1:10">
      <c r="A20" s="47"/>
      <c r="B20" s="51"/>
      <c r="C20" s="56"/>
      <c r="D20" s="47"/>
      <c r="E20" s="47"/>
      <c r="F20" s="48"/>
    </row>
    <row r="21" spans="1:10" s="39" customFormat="1" ht="26.25" customHeight="1" thickBot="1">
      <c r="A21" s="58" t="s">
        <v>25</v>
      </c>
      <c r="B21" s="59"/>
      <c r="C21" s="59"/>
      <c r="D21" s="59"/>
      <c r="E21" s="59"/>
      <c r="F21" s="60"/>
    </row>
    <row r="22" spans="1:10" s="39" customFormat="1" ht="13.5" customHeight="1">
      <c r="A22" s="55"/>
      <c r="B22" s="55"/>
      <c r="C22" s="55"/>
      <c r="D22" s="55"/>
      <c r="E22" s="55"/>
      <c r="F22" s="61"/>
    </row>
    <row r="23" spans="1:10" s="39" customFormat="1" ht="20.149999999999999" customHeight="1">
      <c r="A23" s="62" t="s">
        <v>26</v>
      </c>
      <c r="B23" s="46" t="s">
        <v>716</v>
      </c>
      <c r="C23" s="83"/>
      <c r="D23" s="83"/>
      <c r="E23" s="69" t="s">
        <v>507</v>
      </c>
      <c r="F23" s="150">
        <f>rekap!F19</f>
        <v>0</v>
      </c>
    </row>
    <row r="24" spans="1:10" s="39" customFormat="1" ht="20.149999999999999" customHeight="1">
      <c r="A24" s="62"/>
      <c r="B24" s="46" t="s">
        <v>717</v>
      </c>
      <c r="C24" s="83"/>
      <c r="D24" s="64"/>
      <c r="E24" s="69" t="s">
        <v>507</v>
      </c>
      <c r="F24" s="150">
        <f>rekap!F28</f>
        <v>0</v>
      </c>
    </row>
    <row r="25" spans="1:10" s="39" customFormat="1" ht="15" customHeight="1">
      <c r="A25" s="65"/>
      <c r="B25" s="65" t="s">
        <v>718</v>
      </c>
      <c r="C25" s="84"/>
      <c r="D25" s="67"/>
      <c r="E25" s="481" t="s">
        <v>507</v>
      </c>
      <c r="F25" s="150">
        <f>rekap!F34</f>
        <v>0</v>
      </c>
    </row>
    <row r="26" spans="1:10" s="39" customFormat="1" ht="20.149999999999999" customHeight="1">
      <c r="A26" s="44"/>
      <c r="B26" s="44"/>
      <c r="C26" s="83"/>
      <c r="D26" s="83"/>
      <c r="E26" s="63"/>
      <c r="F26" s="153"/>
    </row>
    <row r="27" spans="1:10" s="93" customFormat="1" ht="13">
      <c r="A27" s="90"/>
      <c r="B27" s="91"/>
      <c r="C27" s="139" t="s">
        <v>28</v>
      </c>
      <c r="D27" s="90"/>
      <c r="E27" s="92" t="s">
        <v>507</v>
      </c>
      <c r="F27" s="154">
        <f>F23+F24+F25</f>
        <v>0</v>
      </c>
    </row>
    <row r="28" spans="1:10" s="93" customFormat="1" ht="13">
      <c r="A28" s="90"/>
      <c r="B28" s="90"/>
      <c r="C28" s="94" t="s">
        <v>29</v>
      </c>
      <c r="D28" s="90"/>
      <c r="E28" s="92" t="s">
        <v>507</v>
      </c>
      <c r="F28" s="155">
        <f>(F23+F24)*0.25</f>
        <v>0</v>
      </c>
    </row>
    <row r="29" spans="1:10" s="93" customFormat="1" ht="13">
      <c r="A29" s="90"/>
      <c r="B29" s="90"/>
      <c r="C29" s="517" t="s">
        <v>815</v>
      </c>
      <c r="D29" s="518"/>
      <c r="E29" s="519"/>
      <c r="F29" s="520"/>
    </row>
    <row r="30" spans="1:10" s="93" customFormat="1" ht="13">
      <c r="A30" s="90"/>
      <c r="B30" s="90"/>
      <c r="C30" s="139" t="s">
        <v>30</v>
      </c>
      <c r="D30" s="90"/>
      <c r="E30" s="92" t="s">
        <v>507</v>
      </c>
      <c r="F30" s="154">
        <f>F27+F28</f>
        <v>0</v>
      </c>
      <c r="J30" s="424"/>
    </row>
    <row r="31" spans="1:10" ht="15.5">
      <c r="A31" s="71"/>
      <c r="B31" s="71"/>
      <c r="C31" s="71"/>
      <c r="D31" s="71"/>
      <c r="E31" s="71"/>
      <c r="F31" s="72"/>
    </row>
    <row r="32" spans="1:10" ht="23.25" customHeight="1">
      <c r="A32" s="66" t="s">
        <v>31</v>
      </c>
      <c r="B32" s="85"/>
      <c r="C32" s="73"/>
      <c r="D32" s="73"/>
      <c r="E32" s="73"/>
      <c r="F32" s="74"/>
    </row>
    <row r="33" spans="1:6" ht="15.5">
      <c r="A33" s="44" t="s">
        <v>32</v>
      </c>
      <c r="B33" s="47"/>
      <c r="C33" s="71"/>
      <c r="D33" s="71"/>
      <c r="E33" s="75"/>
      <c r="F33" s="76"/>
    </row>
    <row r="34" spans="1:6" ht="15.5">
      <c r="A34" s="38"/>
      <c r="B34" s="12"/>
      <c r="C34" s="9"/>
      <c r="D34" s="9"/>
      <c r="E34" s="13"/>
      <c r="F34" s="27"/>
    </row>
    <row r="35" spans="1:6" ht="15.5">
      <c r="A35" s="38"/>
      <c r="B35" s="12"/>
      <c r="C35" s="9"/>
      <c r="D35" s="9"/>
      <c r="E35" s="13"/>
      <c r="F35" s="27"/>
    </row>
    <row r="36" spans="1:6" ht="15.5">
      <c r="A36" s="38"/>
      <c r="B36" s="12"/>
      <c r="C36" s="9"/>
      <c r="D36" s="9"/>
      <c r="E36" s="13"/>
      <c r="F36" s="27"/>
    </row>
    <row r="37" spans="1:6" ht="15.5">
      <c r="A37" s="38"/>
      <c r="B37" s="12"/>
      <c r="C37" s="9"/>
      <c r="D37" s="9"/>
      <c r="E37" s="13"/>
      <c r="F37" s="27"/>
    </row>
    <row r="38" spans="1:6" ht="15.5">
      <c r="A38" s="38"/>
      <c r="B38" s="12"/>
      <c r="C38" s="9"/>
      <c r="D38" s="9"/>
      <c r="E38" s="13"/>
      <c r="F38" s="27"/>
    </row>
    <row r="39" spans="1:6">
      <c r="A39" s="38"/>
      <c r="B39" s="12"/>
      <c r="E39" s="13"/>
      <c r="F39" s="27"/>
    </row>
    <row r="40" spans="1:6">
      <c r="A40" s="38"/>
      <c r="B40" s="12"/>
      <c r="E40" s="13"/>
      <c r="F40" s="27"/>
    </row>
    <row r="41" spans="1:6">
      <c r="A41" s="38"/>
      <c r="B41" s="12"/>
      <c r="E41" s="13"/>
      <c r="F41" s="27"/>
    </row>
    <row r="42" spans="1:6">
      <c r="A42" s="38"/>
      <c r="B42" s="12"/>
      <c r="E42" s="13"/>
      <c r="F42" s="27"/>
    </row>
    <row r="43" spans="1:6" ht="15.5">
      <c r="A43" s="38"/>
      <c r="B43" s="12"/>
      <c r="C43" s="9"/>
      <c r="D43" s="9"/>
      <c r="E43" s="13"/>
      <c r="F43" s="27"/>
    </row>
    <row r="44" spans="1:6" ht="15.5">
      <c r="A44" s="14"/>
      <c r="B44" s="5"/>
      <c r="C44" s="9"/>
      <c r="D44" s="9"/>
      <c r="E44" s="13"/>
      <c r="F44" s="15"/>
    </row>
    <row r="45" spans="1:6" ht="15.5">
      <c r="A45" s="9"/>
      <c r="B45" s="9"/>
      <c r="C45" s="9"/>
      <c r="D45" s="9"/>
      <c r="E45" s="9"/>
      <c r="F45" s="15"/>
    </row>
    <row r="46" spans="1:6" ht="15.5">
      <c r="A46" s="9"/>
      <c r="B46" s="9"/>
      <c r="C46" s="9"/>
      <c r="D46" s="9"/>
      <c r="E46" s="9"/>
      <c r="F46" s="10"/>
    </row>
    <row r="47" spans="1:6">
      <c r="A47" s="11"/>
      <c r="B47" s="17"/>
      <c r="C47" s="11"/>
      <c r="D47" s="11"/>
      <c r="E47" s="11"/>
      <c r="F47" s="24"/>
    </row>
    <row r="48" spans="1:6" ht="15.5">
      <c r="A48" s="12"/>
      <c r="B48" s="12"/>
      <c r="C48" s="11"/>
      <c r="D48" s="9"/>
      <c r="E48" s="13"/>
      <c r="F48" s="25"/>
    </row>
    <row r="49" spans="1:6" ht="15.5">
      <c r="A49" s="12"/>
      <c r="B49" s="12"/>
      <c r="C49" s="11"/>
      <c r="D49" s="9"/>
      <c r="E49" s="13"/>
      <c r="F49" s="26"/>
    </row>
    <row r="50" spans="1:6">
      <c r="A50" s="12"/>
      <c r="B50" s="12"/>
      <c r="C50" s="11"/>
      <c r="D50" s="11"/>
      <c r="E50" s="13"/>
      <c r="F50" s="25"/>
    </row>
    <row r="51" spans="1:6" ht="15.5">
      <c r="A51" s="12"/>
      <c r="B51" s="12"/>
      <c r="C51" s="11"/>
      <c r="D51" s="9"/>
      <c r="E51" s="13"/>
      <c r="F51" s="26"/>
    </row>
    <row r="52" spans="1:6" ht="15.5">
      <c r="A52" s="12"/>
      <c r="B52" s="12"/>
      <c r="C52" s="11"/>
      <c r="D52" s="9"/>
      <c r="E52" s="13"/>
      <c r="F52" s="26"/>
    </row>
    <row r="53" spans="1:6" ht="15.5">
      <c r="A53" s="12"/>
      <c r="B53" s="12"/>
      <c r="C53" s="11"/>
      <c r="D53" s="9"/>
      <c r="E53" s="13"/>
      <c r="F53" s="26"/>
    </row>
    <row r="54" spans="1:6" ht="15.5">
      <c r="B54" s="5"/>
      <c r="C54" s="11"/>
      <c r="D54" s="9"/>
      <c r="E54" s="13"/>
      <c r="F54" s="27"/>
    </row>
    <row r="55" spans="1:6" ht="15.5">
      <c r="A55" s="9"/>
      <c r="B55" s="9"/>
      <c r="C55" s="9"/>
      <c r="D55" s="9"/>
      <c r="E55" s="9"/>
      <c r="F55" s="10"/>
    </row>
    <row r="56" spans="1:6" ht="15.5">
      <c r="A56" s="9"/>
      <c r="B56" s="9"/>
      <c r="C56" s="9"/>
      <c r="D56" s="9"/>
      <c r="E56" s="9"/>
      <c r="F56" s="10"/>
    </row>
    <row r="57" spans="1:6" ht="15.5">
      <c r="A57" s="13"/>
      <c r="B57" s="17"/>
      <c r="C57" s="9"/>
      <c r="D57" s="9"/>
      <c r="E57" s="9"/>
      <c r="F57" s="10"/>
    </row>
    <row r="58" spans="1:6" ht="15.5">
      <c r="A58" s="12"/>
      <c r="B58" s="12"/>
      <c r="C58" s="9"/>
      <c r="D58" s="9"/>
      <c r="E58" s="13"/>
      <c r="F58" s="26"/>
    </row>
    <row r="59" spans="1:6">
      <c r="A59" s="12"/>
      <c r="B59" s="12"/>
      <c r="E59" s="13"/>
      <c r="F59" s="26"/>
    </row>
    <row r="60" spans="1:6">
      <c r="A60" s="12"/>
      <c r="B60" s="12"/>
      <c r="E60" s="13"/>
      <c r="F60" s="26"/>
    </row>
    <row r="61" spans="1:6" ht="15.5">
      <c r="A61" s="12"/>
      <c r="B61" s="12"/>
      <c r="C61" s="9"/>
      <c r="D61" s="9"/>
      <c r="E61" s="13"/>
    </row>
    <row r="62" spans="1:6" ht="15.5">
      <c r="A62" s="14"/>
      <c r="B62" s="5"/>
      <c r="C62" s="9"/>
      <c r="D62" s="9"/>
      <c r="E62" s="13"/>
      <c r="F62" s="15"/>
    </row>
    <row r="63" spans="1:6" ht="15.5">
      <c r="A63" s="14"/>
      <c r="B63" s="5"/>
      <c r="C63" s="9"/>
      <c r="D63" s="9"/>
      <c r="E63" s="13"/>
      <c r="F63" s="15"/>
    </row>
    <row r="64" spans="1:6" ht="15.5">
      <c r="A64" s="12"/>
      <c r="B64" s="5"/>
      <c r="C64" s="9"/>
      <c r="D64" s="9"/>
      <c r="E64" s="13"/>
      <c r="F64" s="15"/>
    </row>
    <row r="65" spans="1:6" ht="15.5">
      <c r="A65" s="12"/>
      <c r="B65" s="12"/>
      <c r="C65" s="9"/>
      <c r="D65" s="9"/>
      <c r="E65" s="13"/>
      <c r="F65" s="15"/>
    </row>
    <row r="66" spans="1:6" ht="15.5">
      <c r="A66" s="14"/>
      <c r="B66" s="5"/>
      <c r="C66" s="9"/>
      <c r="D66" s="9"/>
      <c r="E66" s="13"/>
      <c r="F66" s="15"/>
    </row>
    <row r="67" spans="1:6" ht="15.5">
      <c r="A67" s="14"/>
      <c r="C67" s="9"/>
      <c r="D67" s="9"/>
      <c r="E67" s="9"/>
      <c r="F67" s="10"/>
    </row>
    <row r="68" spans="1:6" ht="15.5">
      <c r="A68" s="16"/>
      <c r="B68" s="17"/>
      <c r="C68" s="9"/>
      <c r="D68" s="9"/>
      <c r="E68" s="16"/>
      <c r="F68" s="15"/>
    </row>
    <row r="69" spans="1:6" ht="15.5">
      <c r="A69" s="12"/>
      <c r="B69" s="12"/>
      <c r="C69" s="9"/>
      <c r="D69" s="9"/>
      <c r="E69" s="9"/>
      <c r="F69" s="10"/>
    </row>
    <row r="70" spans="1:6" ht="15.5">
      <c r="A70" s="12"/>
      <c r="B70" s="12"/>
      <c r="C70" s="9"/>
      <c r="D70" s="9"/>
      <c r="E70" s="9"/>
      <c r="F70" s="10"/>
    </row>
    <row r="71" spans="1:6" ht="15.5">
      <c r="A71" s="12"/>
      <c r="B71" s="12"/>
      <c r="C71" s="9"/>
      <c r="D71" s="9"/>
      <c r="E71" s="9"/>
      <c r="F71" s="10"/>
    </row>
    <row r="72" spans="1:6" ht="15.5">
      <c r="A72" s="12"/>
      <c r="B72" s="12"/>
      <c r="C72" s="9"/>
      <c r="D72" s="9"/>
      <c r="E72" s="9"/>
      <c r="F72" s="10"/>
    </row>
    <row r="73" spans="1:6" ht="15.5">
      <c r="A73" s="12"/>
      <c r="B73" s="12"/>
      <c r="C73" s="9"/>
      <c r="D73" s="9"/>
      <c r="E73" s="9"/>
      <c r="F73" s="10"/>
    </row>
    <row r="74" spans="1:6" ht="15.5">
      <c r="A74" s="12"/>
      <c r="B74" s="12"/>
      <c r="C74" s="9"/>
      <c r="D74" s="9"/>
      <c r="E74" s="9"/>
      <c r="F74" s="10"/>
    </row>
    <row r="75" spans="1:6" ht="15.5">
      <c r="A75" s="12"/>
      <c r="B75" s="12"/>
      <c r="C75" s="9"/>
      <c r="D75" s="9"/>
      <c r="E75" s="9"/>
      <c r="F75" s="10"/>
    </row>
    <row r="76" spans="1:6" ht="15.5">
      <c r="A76" s="12"/>
      <c r="B76" s="12"/>
      <c r="C76" s="9"/>
      <c r="D76" s="9"/>
      <c r="E76" s="9"/>
      <c r="F76" s="10"/>
    </row>
    <row r="77" spans="1:6" ht="15.5">
      <c r="A77" s="12"/>
      <c r="B77" s="12"/>
      <c r="C77" s="9"/>
      <c r="D77" s="9"/>
      <c r="E77" s="9"/>
      <c r="F77" s="10"/>
    </row>
    <row r="78" spans="1:6" ht="15.5">
      <c r="A78" s="12"/>
      <c r="B78" s="12"/>
      <c r="C78" s="9"/>
      <c r="D78" s="9"/>
      <c r="E78" s="9"/>
      <c r="F78" s="10"/>
    </row>
    <row r="79" spans="1:6" ht="15.5">
      <c r="A79" s="12"/>
      <c r="B79" s="12"/>
      <c r="C79" s="9"/>
      <c r="D79" s="9"/>
      <c r="E79" s="9"/>
      <c r="F79" s="10"/>
    </row>
    <row r="80" spans="1:6" ht="15.5">
      <c r="A80" s="12"/>
      <c r="B80" s="12"/>
      <c r="C80" s="9"/>
      <c r="D80" s="9"/>
      <c r="E80" s="9"/>
      <c r="F80" s="10"/>
    </row>
    <row r="81" spans="1:6" ht="15.5">
      <c r="A81" s="14"/>
      <c r="B81" s="5"/>
      <c r="C81" s="9"/>
      <c r="D81" s="9"/>
      <c r="E81" s="9"/>
      <c r="F81" s="15"/>
    </row>
    <row r="82" spans="1:6" ht="15.5">
      <c r="A82" s="14"/>
      <c r="C82" s="9"/>
      <c r="D82" s="9"/>
      <c r="E82" s="9"/>
      <c r="F82" s="10"/>
    </row>
    <row r="83" spans="1:6" ht="15.5">
      <c r="A83" s="16"/>
      <c r="B83" s="17"/>
      <c r="C83" s="9"/>
      <c r="D83" s="9"/>
      <c r="E83" s="9"/>
      <c r="F83" s="20"/>
    </row>
    <row r="86" spans="1:6">
      <c r="A86" s="18"/>
      <c r="B86" s="19"/>
      <c r="F86" s="20"/>
    </row>
    <row r="87" spans="1:6">
      <c r="A87" s="18"/>
      <c r="B87" s="19"/>
      <c r="F87" s="20"/>
    </row>
    <row r="88" spans="1:6">
      <c r="B88" s="19"/>
      <c r="F88" s="15"/>
    </row>
  </sheetData>
  <sheetProtection algorithmName="SHA-512" hashValue="TFznEFaFW2uAfdnpZk/mkdY57B5DomWRO94bMwahSpR1nxhsO3Efaf3firf+jyIAImYe0IyU9I+tIFtjlb9z9A==" saltValue="Ih3sJ6Qwdb4EuLzfbWbksQ==" spinCount="100000" sheet="1" objects="1" scenarios="1"/>
  <mergeCells count="5">
    <mergeCell ref="B7:F7"/>
    <mergeCell ref="B16:E16"/>
    <mergeCell ref="B17:C17"/>
    <mergeCell ref="B19:F19"/>
    <mergeCell ref="B9:E9"/>
  </mergeCells>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1" manualBreakCount="1">
    <brk id="78"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2:F89"/>
  <sheetViews>
    <sheetView view="pageBreakPreview" topLeftCell="A19" zoomScaleNormal="90" zoomScaleSheetLayoutView="100" workbookViewId="0">
      <selection activeCell="E31" sqref="E31"/>
    </sheetView>
  </sheetViews>
  <sheetFormatPr defaultRowHeight="14.5"/>
  <cols>
    <col min="1" max="1" width="13" customWidth="1"/>
    <col min="2" max="2" width="13.26953125" customWidth="1"/>
    <col min="3" max="3" width="15.26953125" customWidth="1"/>
    <col min="4" max="4" width="18" customWidth="1"/>
    <col min="5" max="5" width="9.54296875" customWidth="1"/>
    <col min="6" max="6" width="15.7265625" customWidth="1"/>
    <col min="9" max="9" width="9.81640625" bestFit="1" customWidth="1"/>
  </cols>
  <sheetData>
    <row r="2" spans="1:6">
      <c r="B2" s="89"/>
    </row>
    <row r="3" spans="1:6">
      <c r="B3" s="89"/>
    </row>
    <row r="4" spans="1:6">
      <c r="B4" s="89"/>
    </row>
    <row r="5" spans="1:6">
      <c r="B5" s="89"/>
    </row>
    <row r="6" spans="1:6">
      <c r="A6" s="1"/>
      <c r="B6" s="1"/>
      <c r="C6" s="1"/>
      <c r="D6" s="1"/>
      <c r="E6" s="1"/>
      <c r="F6" s="1"/>
    </row>
    <row r="7" spans="1:6" ht="108.65" customHeight="1">
      <c r="A7" s="77" t="s">
        <v>0</v>
      </c>
      <c r="B7" s="541" t="s">
        <v>551</v>
      </c>
      <c r="C7" s="542"/>
      <c r="D7" s="542"/>
      <c r="E7" s="542"/>
      <c r="F7" s="542"/>
    </row>
    <row r="8" spans="1:6">
      <c r="C8" s="50"/>
      <c r="D8" s="47"/>
      <c r="E8" s="48"/>
      <c r="F8" s="82"/>
    </row>
    <row r="9" spans="1:6" ht="29.25" customHeight="1">
      <c r="A9" s="77" t="s">
        <v>1</v>
      </c>
      <c r="B9" s="539" t="s">
        <v>532</v>
      </c>
      <c r="C9" s="540"/>
      <c r="D9" s="540"/>
      <c r="E9" s="540"/>
      <c r="F9" s="82"/>
    </row>
    <row r="10" spans="1:6">
      <c r="A10" s="63"/>
      <c r="B10" s="39"/>
      <c r="C10" s="190"/>
      <c r="D10" s="47"/>
      <c r="E10" s="48"/>
      <c r="F10" s="82"/>
    </row>
    <row r="11" spans="1:6">
      <c r="A11" s="63" t="s">
        <v>2</v>
      </c>
      <c r="B11" s="179" t="s">
        <v>537</v>
      </c>
      <c r="C11" s="47"/>
      <c r="D11" s="47"/>
      <c r="E11" s="48"/>
      <c r="F11" s="82"/>
    </row>
    <row r="12" spans="1:6" ht="14.5" customHeight="1">
      <c r="A12" s="63"/>
      <c r="B12" t="s">
        <v>546</v>
      </c>
      <c r="C12" s="47"/>
      <c r="D12" s="47"/>
      <c r="E12" s="48"/>
      <c r="F12" s="82"/>
    </row>
    <row r="13" spans="1:6" ht="10.5" customHeight="1">
      <c r="A13" s="63"/>
      <c r="B13" s="189"/>
      <c r="C13" s="189"/>
      <c r="D13" s="189"/>
      <c r="E13" s="51"/>
      <c r="F13" s="82"/>
    </row>
    <row r="14" spans="1:6" ht="15.5">
      <c r="A14" s="187"/>
      <c r="B14" s="52"/>
      <c r="C14" s="51"/>
      <c r="D14" s="51"/>
      <c r="E14" s="51"/>
      <c r="F14" s="82"/>
    </row>
    <row r="15" spans="1:6" ht="11.25" customHeight="1">
      <c r="A15" s="187"/>
      <c r="B15" s="53"/>
      <c r="C15" s="47"/>
      <c r="D15" s="82"/>
      <c r="E15" s="48"/>
      <c r="F15" s="82"/>
    </row>
    <row r="16" spans="1:6" ht="27.75" customHeight="1">
      <c r="A16" s="188" t="s">
        <v>13</v>
      </c>
      <c r="B16" s="535" t="s">
        <v>506</v>
      </c>
      <c r="C16" s="535"/>
      <c r="D16" s="535"/>
      <c r="E16" s="535"/>
      <c r="F16" s="82"/>
    </row>
    <row r="17" spans="1:6">
      <c r="A17" s="49"/>
      <c r="B17" s="536"/>
      <c r="C17" s="537"/>
      <c r="D17" s="47"/>
      <c r="E17" s="48"/>
      <c r="F17" s="82"/>
    </row>
    <row r="18" spans="1:6">
      <c r="A18" s="47"/>
      <c r="B18" s="51"/>
      <c r="C18" s="47"/>
      <c r="D18" s="47"/>
      <c r="E18" s="47"/>
      <c r="F18" s="48"/>
    </row>
    <row r="19" spans="1:6" s="40" customFormat="1" ht="51.75" customHeight="1">
      <c r="A19" s="54"/>
      <c r="B19" s="528" t="s">
        <v>713</v>
      </c>
      <c r="C19" s="528"/>
      <c r="D19" s="528"/>
      <c r="E19" s="528"/>
      <c r="F19" s="529"/>
    </row>
    <row r="20" spans="1:6">
      <c r="A20" s="47"/>
      <c r="B20" s="51"/>
      <c r="C20" s="56"/>
      <c r="D20" s="47"/>
      <c r="E20" s="47"/>
      <c r="F20" s="48"/>
    </row>
    <row r="21" spans="1:6">
      <c r="A21" s="47"/>
      <c r="B21" s="51"/>
      <c r="C21" s="56"/>
      <c r="D21" s="47"/>
      <c r="E21" s="47"/>
      <c r="F21" s="48"/>
    </row>
    <row r="22" spans="1:6" s="39" customFormat="1" ht="26.25" customHeight="1" thickBot="1">
      <c r="A22" s="58" t="s">
        <v>25</v>
      </c>
      <c r="B22" s="59"/>
      <c r="C22" s="59"/>
      <c r="D22" s="59"/>
      <c r="E22" s="59"/>
      <c r="F22" s="60"/>
    </row>
    <row r="23" spans="1:6" s="39" customFormat="1" ht="18.5">
      <c r="A23" s="55"/>
      <c r="B23" s="55"/>
      <c r="C23" s="55"/>
      <c r="D23" s="55"/>
      <c r="E23" s="55"/>
      <c r="F23" s="61"/>
    </row>
    <row r="24" spans="1:6" s="39" customFormat="1" ht="20.149999999999999" customHeight="1">
      <c r="A24" s="62" t="s">
        <v>26</v>
      </c>
      <c r="B24" s="45" t="s">
        <v>715</v>
      </c>
      <c r="C24" s="83"/>
      <c r="D24" s="83"/>
      <c r="E24" s="69" t="s">
        <v>507</v>
      </c>
      <c r="F24" s="150">
        <f>'rekap+stolarija'!F41</f>
        <v>0</v>
      </c>
    </row>
    <row r="25" spans="1:6" s="39" customFormat="1" ht="20.149999999999999" customHeight="1">
      <c r="A25" s="62"/>
      <c r="B25" s="46"/>
      <c r="C25" s="83"/>
      <c r="D25" s="83"/>
      <c r="E25" s="83"/>
      <c r="F25" s="151"/>
    </row>
    <row r="26" spans="1:6" s="39" customFormat="1" ht="20.149999999999999" customHeight="1">
      <c r="A26" s="65"/>
      <c r="B26" s="66"/>
      <c r="C26" s="84"/>
      <c r="D26" s="67"/>
      <c r="E26" s="68"/>
      <c r="F26" s="152"/>
    </row>
    <row r="27" spans="1:6" s="39" customFormat="1" ht="20.149999999999999" customHeight="1">
      <c r="A27" s="44"/>
      <c r="B27" s="44"/>
      <c r="C27" s="83"/>
      <c r="D27" s="83"/>
      <c r="E27" s="63"/>
      <c r="F27" s="153"/>
    </row>
    <row r="28" spans="1:6" s="93" customFormat="1" ht="13">
      <c r="A28" s="90"/>
      <c r="B28" s="91"/>
      <c r="C28" s="139" t="s">
        <v>28</v>
      </c>
      <c r="D28" s="90"/>
      <c r="E28" s="92" t="s">
        <v>507</v>
      </c>
      <c r="F28" s="154">
        <f>F24</f>
        <v>0</v>
      </c>
    </row>
    <row r="29" spans="1:6" s="93" customFormat="1" ht="13">
      <c r="A29" s="90"/>
      <c r="B29" s="90"/>
      <c r="C29" s="94" t="s">
        <v>29</v>
      </c>
      <c r="D29" s="90"/>
      <c r="E29" s="92" t="s">
        <v>507</v>
      </c>
      <c r="F29" s="155">
        <f>'uk rek'!F27</f>
        <v>0</v>
      </c>
    </row>
    <row r="30" spans="1:6" s="93" customFormat="1" ht="13">
      <c r="A30" s="90"/>
      <c r="B30" s="90"/>
      <c r="C30" s="517" t="s">
        <v>815</v>
      </c>
      <c r="D30" s="518"/>
      <c r="E30" s="519"/>
      <c r="F30" s="520"/>
    </row>
    <row r="31" spans="1:6" s="93" customFormat="1" ht="13">
      <c r="A31" s="90"/>
      <c r="B31" s="90"/>
      <c r="C31" s="139" t="s">
        <v>30</v>
      </c>
      <c r="D31" s="90"/>
      <c r="E31" s="92" t="s">
        <v>507</v>
      </c>
      <c r="F31" s="154">
        <f>F28+F29</f>
        <v>0</v>
      </c>
    </row>
    <row r="32" spans="1:6" ht="15.5">
      <c r="A32" s="71"/>
      <c r="B32" s="71"/>
      <c r="C32" s="71"/>
      <c r="D32" s="71"/>
      <c r="E32" s="71"/>
      <c r="F32" s="72"/>
    </row>
    <row r="33" spans="1:6" ht="23.25" customHeight="1">
      <c r="A33" s="66" t="s">
        <v>31</v>
      </c>
      <c r="B33" s="85"/>
      <c r="C33" s="73"/>
      <c r="D33" s="73"/>
      <c r="E33" s="73"/>
      <c r="F33" s="74"/>
    </row>
    <row r="34" spans="1:6" ht="15.5">
      <c r="A34" s="44" t="s">
        <v>32</v>
      </c>
      <c r="B34" s="47"/>
      <c r="C34" s="71"/>
      <c r="D34" s="71"/>
      <c r="E34" s="75"/>
      <c r="F34" s="76"/>
    </row>
    <row r="35" spans="1:6" ht="15.5">
      <c r="A35" s="38"/>
      <c r="B35" s="12"/>
      <c r="C35" s="9"/>
      <c r="D35" s="9"/>
      <c r="E35" s="13"/>
      <c r="F35" s="27"/>
    </row>
    <row r="36" spans="1:6" ht="15.5">
      <c r="A36" s="38"/>
      <c r="B36" s="12"/>
      <c r="C36" s="9"/>
      <c r="D36" s="9"/>
      <c r="E36" s="13"/>
      <c r="F36" s="27"/>
    </row>
    <row r="37" spans="1:6" ht="15.5">
      <c r="A37" s="38"/>
      <c r="B37" s="12"/>
      <c r="C37" s="9"/>
      <c r="D37" s="9"/>
      <c r="E37" s="13"/>
      <c r="F37" s="27"/>
    </row>
    <row r="38" spans="1:6" ht="15.5">
      <c r="A38" s="38"/>
      <c r="B38" s="12"/>
      <c r="C38" s="9"/>
      <c r="D38" s="9"/>
      <c r="E38" s="13"/>
      <c r="F38" s="27"/>
    </row>
    <row r="39" spans="1:6" ht="15.5">
      <c r="A39" s="38"/>
      <c r="B39" s="12"/>
      <c r="C39" s="9"/>
      <c r="D39" s="9"/>
      <c r="E39" s="13"/>
      <c r="F39" s="27"/>
    </row>
    <row r="40" spans="1:6">
      <c r="A40" s="38"/>
      <c r="B40" s="12"/>
      <c r="E40" s="13"/>
      <c r="F40" s="27"/>
    </row>
    <row r="41" spans="1:6">
      <c r="A41" s="38"/>
      <c r="B41" s="12"/>
      <c r="E41" s="13"/>
      <c r="F41" s="27"/>
    </row>
    <row r="42" spans="1:6">
      <c r="A42" s="38"/>
      <c r="B42" s="12"/>
      <c r="E42" s="13"/>
      <c r="F42" s="27"/>
    </row>
    <row r="43" spans="1:6">
      <c r="A43" s="38"/>
      <c r="B43" s="12"/>
      <c r="E43" s="13"/>
      <c r="F43" s="27"/>
    </row>
    <row r="44" spans="1:6" ht="15.5">
      <c r="A44" s="38"/>
      <c r="B44" s="12"/>
      <c r="C44" s="9"/>
      <c r="D44" s="9"/>
      <c r="E44" s="13"/>
      <c r="F44" s="27"/>
    </row>
    <row r="45" spans="1:6" ht="15.5">
      <c r="A45" s="14"/>
      <c r="B45" s="5"/>
      <c r="C45" s="9"/>
      <c r="D45" s="9"/>
      <c r="E45" s="13"/>
      <c r="F45" s="15"/>
    </row>
    <row r="46" spans="1:6" ht="15.5">
      <c r="A46" s="9"/>
      <c r="B46" s="9"/>
      <c r="C46" s="9"/>
      <c r="D46" s="9"/>
      <c r="E46" s="9"/>
      <c r="F46" s="10"/>
    </row>
    <row r="47" spans="1:6" ht="15.5">
      <c r="A47" s="9"/>
      <c r="B47" s="9"/>
      <c r="C47" s="9"/>
      <c r="D47" s="9"/>
      <c r="E47" s="9"/>
      <c r="F47" s="10"/>
    </row>
    <row r="48" spans="1:6">
      <c r="A48" s="11"/>
      <c r="B48" s="17"/>
      <c r="C48" s="11"/>
      <c r="D48" s="11"/>
      <c r="E48" s="11"/>
      <c r="F48" s="24"/>
    </row>
    <row r="49" spans="1:6" ht="15.5">
      <c r="A49" s="12"/>
      <c r="B49" s="12"/>
      <c r="C49" s="11"/>
      <c r="D49" s="9"/>
      <c r="E49" s="13"/>
      <c r="F49" s="25"/>
    </row>
    <row r="50" spans="1:6" ht="15.5">
      <c r="A50" s="12"/>
      <c r="B50" s="12"/>
      <c r="C50" s="11"/>
      <c r="D50" s="9"/>
      <c r="E50" s="13"/>
      <c r="F50" s="26"/>
    </row>
    <row r="51" spans="1:6">
      <c r="A51" s="12"/>
      <c r="B51" s="12"/>
      <c r="C51" s="11"/>
      <c r="D51" s="11"/>
      <c r="E51" s="13"/>
      <c r="F51" s="25"/>
    </row>
    <row r="52" spans="1:6" ht="15.5">
      <c r="A52" s="12"/>
      <c r="B52" s="12"/>
      <c r="C52" s="11"/>
      <c r="D52" s="9"/>
      <c r="E52" s="13"/>
      <c r="F52" s="26"/>
    </row>
    <row r="53" spans="1:6" ht="15.5">
      <c r="A53" s="12"/>
      <c r="B53" s="12"/>
      <c r="C53" s="11"/>
      <c r="D53" s="9"/>
      <c r="E53" s="13"/>
      <c r="F53" s="26"/>
    </row>
    <row r="54" spans="1:6" ht="15.5">
      <c r="A54" s="12"/>
      <c r="B54" s="12"/>
      <c r="C54" s="11"/>
      <c r="D54" s="9"/>
      <c r="E54" s="13"/>
      <c r="F54" s="26"/>
    </row>
    <row r="55" spans="1:6" ht="15.5">
      <c r="B55" s="5"/>
      <c r="C55" s="11"/>
      <c r="D55" s="9"/>
      <c r="E55" s="13"/>
      <c r="F55" s="27"/>
    </row>
    <row r="56" spans="1:6" ht="15.5">
      <c r="A56" s="9"/>
      <c r="B56" s="9"/>
      <c r="C56" s="9"/>
      <c r="D56" s="9"/>
      <c r="E56" s="9"/>
      <c r="F56" s="10"/>
    </row>
    <row r="57" spans="1:6" ht="15.5">
      <c r="A57" s="9"/>
      <c r="B57" s="9"/>
      <c r="C57" s="9"/>
      <c r="D57" s="9"/>
      <c r="E57" s="9"/>
      <c r="F57" s="10"/>
    </row>
    <row r="58" spans="1:6" ht="15.5">
      <c r="A58" s="13"/>
      <c r="B58" s="17"/>
      <c r="C58" s="9"/>
      <c r="D58" s="9"/>
      <c r="E58" s="9"/>
      <c r="F58" s="10"/>
    </row>
    <row r="59" spans="1:6" ht="15.5">
      <c r="A59" s="12"/>
      <c r="B59" s="12"/>
      <c r="C59" s="9"/>
      <c r="D59" s="9"/>
      <c r="E59" s="13"/>
      <c r="F59" s="26"/>
    </row>
    <row r="60" spans="1:6">
      <c r="A60" s="12"/>
      <c r="B60" s="12"/>
      <c r="E60" s="13"/>
      <c r="F60" s="26"/>
    </row>
    <row r="61" spans="1:6">
      <c r="A61" s="12"/>
      <c r="B61" s="12"/>
      <c r="E61" s="13"/>
      <c r="F61" s="26"/>
    </row>
    <row r="62" spans="1:6" ht="15.5">
      <c r="A62" s="12"/>
      <c r="B62" s="12"/>
      <c r="C62" s="9"/>
      <c r="D62" s="9"/>
      <c r="E62" s="13"/>
    </row>
    <row r="63" spans="1:6" ht="15.5">
      <c r="A63" s="14"/>
      <c r="B63" s="5"/>
      <c r="C63" s="9"/>
      <c r="D63" s="9"/>
      <c r="E63" s="13"/>
      <c r="F63" s="15"/>
    </row>
    <row r="64" spans="1:6" ht="15.5">
      <c r="A64" s="14"/>
      <c r="B64" s="5"/>
      <c r="C64" s="9"/>
      <c r="D64" s="9"/>
      <c r="E64" s="13"/>
      <c r="F64" s="15"/>
    </row>
    <row r="65" spans="1:6" ht="15.5">
      <c r="A65" s="12"/>
      <c r="B65" s="5"/>
      <c r="C65" s="9"/>
      <c r="D65" s="9"/>
      <c r="E65" s="13"/>
      <c r="F65" s="15"/>
    </row>
    <row r="66" spans="1:6" ht="15.5">
      <c r="A66" s="12"/>
      <c r="B66" s="12"/>
      <c r="C66" s="9"/>
      <c r="D66" s="9"/>
      <c r="E66" s="13"/>
      <c r="F66" s="15"/>
    </row>
    <row r="67" spans="1:6" ht="15.5">
      <c r="A67" s="14"/>
      <c r="B67" s="5"/>
      <c r="C67" s="9"/>
      <c r="D67" s="9"/>
      <c r="E67" s="13"/>
      <c r="F67" s="15"/>
    </row>
    <row r="68" spans="1:6" ht="15.5">
      <c r="A68" s="14"/>
      <c r="C68" s="9"/>
      <c r="D68" s="9"/>
      <c r="E68" s="9"/>
      <c r="F68" s="10"/>
    </row>
    <row r="69" spans="1:6" ht="15.5">
      <c r="A69" s="16"/>
      <c r="B69" s="17"/>
      <c r="C69" s="9"/>
      <c r="D69" s="9"/>
      <c r="E69" s="16"/>
      <c r="F69" s="15"/>
    </row>
    <row r="70" spans="1:6" ht="15.5">
      <c r="A70" s="12"/>
      <c r="B70" s="12"/>
      <c r="C70" s="9"/>
      <c r="D70" s="9"/>
      <c r="E70" s="9"/>
      <c r="F70" s="10"/>
    </row>
    <row r="71" spans="1:6" ht="15.5">
      <c r="A71" s="12"/>
      <c r="B71" s="12"/>
      <c r="C71" s="9"/>
      <c r="D71" s="9"/>
      <c r="E71" s="9"/>
      <c r="F71" s="10"/>
    </row>
    <row r="72" spans="1:6" ht="15.5">
      <c r="A72" s="12"/>
      <c r="B72" s="12"/>
      <c r="C72" s="9"/>
      <c r="D72" s="9"/>
      <c r="E72" s="9"/>
      <c r="F72" s="10"/>
    </row>
    <row r="73" spans="1:6" ht="15.5">
      <c r="A73" s="12"/>
      <c r="B73" s="12"/>
      <c r="C73" s="9"/>
      <c r="D73" s="9"/>
      <c r="E73" s="9"/>
      <c r="F73" s="10"/>
    </row>
    <row r="74" spans="1:6" ht="15.5">
      <c r="A74" s="12"/>
      <c r="B74" s="12"/>
      <c r="C74" s="9"/>
      <c r="D74" s="9"/>
      <c r="E74" s="9"/>
      <c r="F74" s="10"/>
    </row>
    <row r="75" spans="1:6" ht="15.5">
      <c r="A75" s="12"/>
      <c r="B75" s="12"/>
      <c r="C75" s="9"/>
      <c r="D75" s="9"/>
      <c r="E75" s="9"/>
      <c r="F75" s="10"/>
    </row>
    <row r="76" spans="1:6" ht="15.5">
      <c r="A76" s="12"/>
      <c r="B76" s="12"/>
      <c r="C76" s="9"/>
      <c r="D76" s="9"/>
      <c r="E76" s="9"/>
      <c r="F76" s="10"/>
    </row>
    <row r="77" spans="1:6" ht="15.5">
      <c r="A77" s="12"/>
      <c r="B77" s="12"/>
      <c r="C77" s="9"/>
      <c r="D77" s="9"/>
      <c r="E77" s="9"/>
      <c r="F77" s="10"/>
    </row>
    <row r="78" spans="1:6" ht="15.5">
      <c r="A78" s="12"/>
      <c r="B78" s="12"/>
      <c r="C78" s="9"/>
      <c r="D78" s="9"/>
      <c r="E78" s="9"/>
      <c r="F78" s="10"/>
    </row>
    <row r="79" spans="1:6" ht="15.5">
      <c r="A79" s="12"/>
      <c r="B79" s="12"/>
      <c r="C79" s="9"/>
      <c r="D79" s="9"/>
      <c r="E79" s="9"/>
      <c r="F79" s="10"/>
    </row>
    <row r="80" spans="1:6" ht="15.5">
      <c r="A80" s="12"/>
      <c r="B80" s="12"/>
      <c r="C80" s="9"/>
      <c r="D80" s="9"/>
      <c r="E80" s="9"/>
      <c r="F80" s="10"/>
    </row>
    <row r="81" spans="1:6" ht="15.5">
      <c r="A81" s="12"/>
      <c r="B81" s="12"/>
      <c r="C81" s="9"/>
      <c r="D81" s="9"/>
      <c r="E81" s="9"/>
      <c r="F81" s="10"/>
    </row>
    <row r="82" spans="1:6" ht="15.5">
      <c r="A82" s="14"/>
      <c r="B82" s="5"/>
      <c r="C82" s="9"/>
      <c r="D82" s="9"/>
      <c r="E82" s="9"/>
      <c r="F82" s="15"/>
    </row>
    <row r="83" spans="1:6" ht="15.5">
      <c r="A83" s="14"/>
      <c r="C83" s="9"/>
      <c r="D83" s="9"/>
      <c r="E83" s="9"/>
      <c r="F83" s="10"/>
    </row>
    <row r="84" spans="1:6" ht="15.5">
      <c r="A84" s="16"/>
      <c r="B84" s="17"/>
      <c r="C84" s="9"/>
      <c r="D84" s="9"/>
      <c r="E84" s="9"/>
      <c r="F84" s="20"/>
    </row>
    <row r="87" spans="1:6">
      <c r="A87" s="18"/>
      <c r="B87" s="19"/>
      <c r="F87" s="20"/>
    </row>
    <row r="88" spans="1:6">
      <c r="A88" s="18"/>
      <c r="B88" s="19"/>
      <c r="F88" s="20"/>
    </row>
    <row r="89" spans="1:6">
      <c r="B89" s="19"/>
      <c r="F89" s="15"/>
    </row>
  </sheetData>
  <sheetProtection algorithmName="SHA-512" hashValue="IUPAj9vDP3FKxHCEgLr9qoEa3m+1rNuhPgUVeK0Y8boZBKQ3nqS6Rrc1Q85msB3XD2CEvmxiG7nio+MUcitQwQ==" saltValue="nqC2zzY9u4goWOVssch3zw==" spinCount="100000" sheet="1" objects="1" scenarios="1"/>
  <mergeCells count="5">
    <mergeCell ref="B7:F7"/>
    <mergeCell ref="B17:C17"/>
    <mergeCell ref="B19:F19"/>
    <mergeCell ref="B16:E16"/>
    <mergeCell ref="B9:E9"/>
  </mergeCells>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G74"/>
  <sheetViews>
    <sheetView view="pageBreakPreview" zoomScaleNormal="90" zoomScaleSheetLayoutView="100" workbookViewId="0">
      <selection activeCell="D20" sqref="D20"/>
    </sheetView>
  </sheetViews>
  <sheetFormatPr defaultRowHeight="14.5"/>
  <cols>
    <col min="2" max="2" width="34.26953125" customWidth="1"/>
    <col min="3" max="3" width="7.26953125" customWidth="1"/>
    <col min="4" max="4" width="12.453125" customWidth="1"/>
    <col min="5" max="5" width="8.453125" customWidth="1"/>
    <col min="6" max="6" width="14.7265625" customWidth="1"/>
  </cols>
  <sheetData>
    <row r="1" spans="1:7">
      <c r="A1" s="136"/>
      <c r="B1" s="136"/>
      <c r="C1" s="136"/>
      <c r="D1" s="136"/>
      <c r="E1" s="136"/>
      <c r="F1" s="136"/>
    </row>
    <row r="2" spans="1:7">
      <c r="A2" s="136"/>
      <c r="B2" s="136"/>
      <c r="C2" s="136"/>
      <c r="D2" s="136"/>
      <c r="E2" s="136"/>
      <c r="F2" s="136"/>
    </row>
    <row r="3" spans="1:7">
      <c r="A3" s="136"/>
      <c r="B3" s="136"/>
      <c r="C3" s="136"/>
      <c r="D3" s="136"/>
      <c r="E3" s="136"/>
      <c r="F3" s="136"/>
    </row>
    <row r="4" spans="1:7">
      <c r="A4" s="2"/>
      <c r="B4" s="4"/>
      <c r="C4" s="2"/>
      <c r="D4" s="2"/>
      <c r="E4" s="2"/>
      <c r="F4" s="3"/>
    </row>
    <row r="5" spans="1:7" ht="39" customHeight="1">
      <c r="A5" s="543" t="s">
        <v>709</v>
      </c>
      <c r="B5" s="544"/>
      <c r="C5" s="544"/>
      <c r="D5" s="544"/>
      <c r="E5" s="544"/>
      <c r="F5" s="48"/>
    </row>
    <row r="6" spans="1:7">
      <c r="A6" s="47"/>
      <c r="B6" s="51"/>
      <c r="C6" s="56"/>
      <c r="D6" s="47"/>
      <c r="E6" s="47"/>
      <c r="F6" s="48"/>
    </row>
    <row r="7" spans="1:7">
      <c r="A7" s="47"/>
      <c r="B7" s="51"/>
      <c r="C7" s="56"/>
      <c r="D7" s="47"/>
      <c r="E7" s="47"/>
      <c r="F7" s="48"/>
    </row>
    <row r="8" spans="1:7" ht="18.5">
      <c r="A8" s="57"/>
      <c r="B8" s="133"/>
      <c r="C8" s="133"/>
      <c r="D8" s="133"/>
      <c r="E8" s="133"/>
      <c r="F8" s="133"/>
    </row>
    <row r="9" spans="1:7" ht="18.5">
      <c r="A9" s="218" t="s">
        <v>708</v>
      </c>
      <c r="B9" s="57"/>
      <c r="C9" s="57"/>
      <c r="D9" s="57"/>
      <c r="E9" s="57"/>
      <c r="F9" s="160"/>
    </row>
    <row r="10" spans="1:7" ht="18.5">
      <c r="A10" s="57"/>
      <c r="B10" s="218"/>
      <c r="C10" s="57"/>
      <c r="D10" s="57"/>
      <c r="E10" s="57"/>
      <c r="F10" s="160"/>
    </row>
    <row r="11" spans="1:7">
      <c r="A11" s="77"/>
      <c r="B11" s="56"/>
      <c r="C11" s="77"/>
      <c r="D11" s="77"/>
      <c r="E11" s="77"/>
      <c r="F11" s="161"/>
    </row>
    <row r="12" spans="1:7" ht="15" thickBot="1">
      <c r="A12" s="162" t="s">
        <v>33</v>
      </c>
      <c r="B12" s="163" t="s">
        <v>34</v>
      </c>
      <c r="C12" s="164"/>
      <c r="D12" s="164"/>
      <c r="E12" s="165"/>
      <c r="F12" s="166"/>
    </row>
    <row r="13" spans="1:7">
      <c r="A13" s="167"/>
      <c r="B13" s="56"/>
      <c r="C13" s="77"/>
      <c r="D13" s="77"/>
      <c r="E13" s="75"/>
      <c r="F13" s="168"/>
      <c r="G13" s="425"/>
    </row>
    <row r="14" spans="1:7">
      <c r="A14" s="47" t="s">
        <v>35</v>
      </c>
      <c r="B14" s="47" t="s">
        <v>36</v>
      </c>
      <c r="C14" s="77"/>
      <c r="D14" s="77"/>
      <c r="E14" s="75" t="s">
        <v>507</v>
      </c>
      <c r="F14" s="169">
        <f>A.I.1!F71</f>
        <v>0</v>
      </c>
      <c r="G14" s="425"/>
    </row>
    <row r="15" spans="1:7">
      <c r="A15" s="47" t="s">
        <v>37</v>
      </c>
      <c r="B15" s="47" t="s">
        <v>38</v>
      </c>
      <c r="C15" s="136"/>
      <c r="D15" s="47"/>
      <c r="E15" s="75" t="s">
        <v>507</v>
      </c>
      <c r="F15" s="169">
        <f>A.II.1!F81</f>
        <v>0</v>
      </c>
      <c r="G15" s="425"/>
    </row>
    <row r="16" spans="1:7">
      <c r="A16" s="47" t="s">
        <v>39</v>
      </c>
      <c r="B16" s="47" t="s">
        <v>40</v>
      </c>
      <c r="C16" s="136"/>
      <c r="D16" s="47"/>
      <c r="E16" s="75" t="s">
        <v>507</v>
      </c>
      <c r="F16" s="169">
        <f>'A. III. zemlj.'!F29</f>
        <v>0</v>
      </c>
      <c r="G16" s="425"/>
    </row>
    <row r="17" spans="1:7">
      <c r="A17" s="47" t="s">
        <v>41</v>
      </c>
      <c r="B17" s="47" t="s">
        <v>42</v>
      </c>
      <c r="C17" s="136"/>
      <c r="D17" s="47"/>
      <c r="E17" s="75" t="s">
        <v>507</v>
      </c>
      <c r="F17" s="169">
        <f>A.IV.1.zid!F64</f>
        <v>0</v>
      </c>
      <c r="G17" s="425"/>
    </row>
    <row r="18" spans="1:7" ht="15" thickBot="1">
      <c r="A18" s="47" t="s">
        <v>43</v>
      </c>
      <c r="B18" s="47" t="s">
        <v>44</v>
      </c>
      <c r="C18" s="136"/>
      <c r="D18" s="47"/>
      <c r="E18" s="75" t="s">
        <v>507</v>
      </c>
      <c r="F18" s="169">
        <f>A.V.izo!F82</f>
        <v>0</v>
      </c>
      <c r="G18" s="425"/>
    </row>
    <row r="19" spans="1:7" ht="16" thickBot="1">
      <c r="A19" s="70" t="s">
        <v>33</v>
      </c>
      <c r="B19" s="51" t="s">
        <v>45</v>
      </c>
      <c r="C19" s="77"/>
      <c r="D19" s="71"/>
      <c r="E19" s="75" t="s">
        <v>507</v>
      </c>
      <c r="F19" s="159">
        <f>SUM(F14:F18)</f>
        <v>0</v>
      </c>
      <c r="G19" s="425"/>
    </row>
    <row r="20" spans="1:7" ht="15.5">
      <c r="A20" s="71"/>
      <c r="B20" s="71"/>
      <c r="C20" s="71"/>
      <c r="D20" s="71"/>
      <c r="E20" s="71"/>
      <c r="F20" s="72"/>
      <c r="G20" s="71"/>
    </row>
    <row r="21" spans="1:7" ht="16" thickBot="1">
      <c r="A21" s="162" t="s">
        <v>46</v>
      </c>
      <c r="B21" s="163" t="s">
        <v>47</v>
      </c>
      <c r="C21" s="170"/>
      <c r="D21" s="170"/>
      <c r="E21" s="170"/>
      <c r="F21" s="171"/>
      <c r="G21" s="71"/>
    </row>
    <row r="22" spans="1:7" ht="15.5">
      <c r="A22" s="167"/>
      <c r="B22" s="56"/>
      <c r="C22" s="71"/>
      <c r="D22" s="71"/>
      <c r="E22" s="71"/>
      <c r="F22" s="172"/>
      <c r="G22" s="88"/>
    </row>
    <row r="23" spans="1:7" ht="15.5">
      <c r="A23" s="47" t="s">
        <v>48</v>
      </c>
      <c r="B23" s="47" t="s">
        <v>49</v>
      </c>
      <c r="C23" s="136"/>
      <c r="D23" s="47"/>
      <c r="E23" s="75" t="s">
        <v>507</v>
      </c>
      <c r="F23" s="169">
        <f>B.I.lim!F62</f>
        <v>0</v>
      </c>
      <c r="G23" s="88"/>
    </row>
    <row r="24" spans="1:7" ht="15.5">
      <c r="A24" s="47" t="s">
        <v>50</v>
      </c>
      <c r="B24" s="47" t="s">
        <v>541</v>
      </c>
      <c r="C24" s="71"/>
      <c r="D24" s="47"/>
      <c r="E24" s="75" t="s">
        <v>507</v>
      </c>
      <c r="F24" s="169">
        <f>'B.II.1. brav'!F180</f>
        <v>0</v>
      </c>
      <c r="G24" s="88"/>
    </row>
    <row r="25" spans="1:7" ht="15" customHeight="1">
      <c r="A25" s="47" t="s">
        <v>51</v>
      </c>
      <c r="B25" s="47" t="s">
        <v>52</v>
      </c>
      <c r="C25" s="71"/>
      <c r="D25" s="71"/>
      <c r="E25" s="75" t="s">
        <v>507</v>
      </c>
      <c r="F25" s="169">
        <f>B.III.zz!F110</f>
        <v>0</v>
      </c>
      <c r="G25" s="88"/>
    </row>
    <row r="26" spans="1:7" ht="15" customHeight="1">
      <c r="A26" s="47" t="s">
        <v>53</v>
      </c>
      <c r="B26" s="47" t="s">
        <v>54</v>
      </c>
      <c r="C26" s="71"/>
      <c r="D26" s="71"/>
      <c r="E26" s="75" t="s">
        <v>507</v>
      </c>
      <c r="F26" s="169">
        <f>'B.IV.brav '!F52</f>
        <v>0</v>
      </c>
      <c r="G26" s="88"/>
    </row>
    <row r="27" spans="1:7" ht="16" thickBot="1">
      <c r="A27" s="47" t="s">
        <v>55</v>
      </c>
      <c r="B27" s="47" t="s">
        <v>56</v>
      </c>
      <c r="C27" s="71"/>
      <c r="D27" s="71"/>
      <c r="E27" s="75" t="s">
        <v>507</v>
      </c>
      <c r="F27" s="169">
        <f>B.V.1.lič!F96</f>
        <v>0</v>
      </c>
      <c r="G27" s="88"/>
    </row>
    <row r="28" spans="1:7" ht="16" thickBot="1">
      <c r="A28" s="70" t="s">
        <v>46</v>
      </c>
      <c r="B28" s="51" t="s">
        <v>57</v>
      </c>
      <c r="C28" s="71"/>
      <c r="D28" s="71"/>
      <c r="E28" s="75" t="s">
        <v>507</v>
      </c>
      <c r="F28" s="159">
        <f>SUM(F23:F27)</f>
        <v>0</v>
      </c>
      <c r="G28" s="88"/>
    </row>
    <row r="29" spans="1:7" ht="15.5">
      <c r="A29" s="77"/>
      <c r="B29" s="56"/>
      <c r="C29" s="71"/>
      <c r="D29" s="71"/>
      <c r="E29" s="75"/>
      <c r="F29" s="173"/>
    </row>
    <row r="30" spans="1:7" ht="16" thickBot="1">
      <c r="A30" s="162" t="s">
        <v>702</v>
      </c>
      <c r="B30" s="163" t="s">
        <v>704</v>
      </c>
      <c r="C30" s="170"/>
      <c r="D30" s="170"/>
      <c r="E30" s="170"/>
      <c r="F30" s="171"/>
    </row>
    <row r="31" spans="1:7" s="43" customFormat="1" ht="15.5">
      <c r="A31" s="167"/>
      <c r="B31" s="56"/>
      <c r="C31" s="71"/>
      <c r="D31" s="71"/>
      <c r="E31" s="71"/>
      <c r="F31" s="172"/>
      <c r="G31" s="33"/>
    </row>
    <row r="32" spans="1:7" s="43" customFormat="1">
      <c r="A32" s="47" t="s">
        <v>558</v>
      </c>
      <c r="B32" s="47" t="s">
        <v>805</v>
      </c>
      <c r="C32" s="136"/>
      <c r="D32" s="47"/>
      <c r="E32" s="75" t="s">
        <v>507</v>
      </c>
      <c r="F32" s="169">
        <f>'C.I.1 '!F134</f>
        <v>0</v>
      </c>
      <c r="G32" s="33"/>
    </row>
    <row r="33" spans="1:6" ht="16" thickBot="1">
      <c r="A33" s="47" t="s">
        <v>703</v>
      </c>
      <c r="B33" s="47" t="s">
        <v>806</v>
      </c>
      <c r="C33" s="71"/>
      <c r="D33" s="47"/>
      <c r="E33" s="75" t="s">
        <v>507</v>
      </c>
      <c r="F33" s="169">
        <f>'C.I.2.'!F22</f>
        <v>0</v>
      </c>
    </row>
    <row r="34" spans="1:6" ht="16" thickBot="1">
      <c r="A34" s="70" t="s">
        <v>702</v>
      </c>
      <c r="B34" s="51" t="s">
        <v>705</v>
      </c>
      <c r="C34" s="71"/>
      <c r="D34" s="71"/>
      <c r="E34" s="75" t="s">
        <v>507</v>
      </c>
      <c r="F34" s="159">
        <f>SUM(F32:F33)</f>
        <v>0</v>
      </c>
    </row>
    <row r="35" spans="1:6" ht="16" thickBot="1">
      <c r="A35" s="12"/>
      <c r="B35" s="12"/>
      <c r="C35" s="11"/>
      <c r="D35" s="9"/>
      <c r="E35" s="13"/>
      <c r="F35" s="26"/>
    </row>
    <row r="36" spans="1:6" ht="16" thickBot="1">
      <c r="A36" s="174"/>
      <c r="B36" s="175" t="s">
        <v>701</v>
      </c>
      <c r="C36" s="176"/>
      <c r="D36" s="176"/>
      <c r="E36" s="177" t="s">
        <v>507</v>
      </c>
      <c r="F36" s="159">
        <f>SUM(F19+F28+F34)</f>
        <v>0</v>
      </c>
    </row>
    <row r="37" spans="1:6" ht="15.5">
      <c r="A37" s="12"/>
      <c r="B37" s="12"/>
      <c r="C37" s="11"/>
      <c r="D37" s="9"/>
      <c r="E37" s="13"/>
      <c r="F37" s="26"/>
    </row>
    <row r="38" spans="1:6" ht="15.5">
      <c r="A38" s="12"/>
      <c r="B38" s="12"/>
      <c r="C38" s="11"/>
      <c r="D38" s="9"/>
      <c r="E38" s="13"/>
      <c r="F38" s="26"/>
    </row>
    <row r="39" spans="1:6" ht="15.5">
      <c r="A39" s="12"/>
      <c r="B39" s="12"/>
      <c r="C39" s="11"/>
      <c r="D39" s="9"/>
      <c r="E39" s="13"/>
      <c r="F39" s="26"/>
    </row>
    <row r="40" spans="1:6" ht="15.5">
      <c r="B40" s="5"/>
      <c r="C40" s="11"/>
      <c r="D40" s="9"/>
      <c r="E40" s="13"/>
      <c r="F40" s="27"/>
    </row>
    <row r="41" spans="1:6" ht="15.5">
      <c r="A41" s="9"/>
      <c r="B41" s="9"/>
      <c r="C41" s="9"/>
      <c r="D41" s="9"/>
      <c r="E41" s="9"/>
      <c r="F41" s="10"/>
    </row>
    <row r="42" spans="1:6" ht="15.5">
      <c r="A42" s="9"/>
      <c r="B42" s="9"/>
      <c r="C42" s="9"/>
      <c r="D42" s="9"/>
      <c r="E42" s="9"/>
      <c r="F42" s="10"/>
    </row>
    <row r="43" spans="1:6" ht="15.5">
      <c r="A43" s="13"/>
      <c r="B43" s="17"/>
      <c r="C43" s="9"/>
      <c r="D43" s="9"/>
      <c r="E43" s="9"/>
      <c r="F43" s="10"/>
    </row>
    <row r="44" spans="1:6" ht="15.5">
      <c r="A44" s="12"/>
      <c r="B44" s="12"/>
      <c r="C44" s="9"/>
      <c r="D44" s="9"/>
      <c r="E44" s="13"/>
      <c r="F44" s="26"/>
    </row>
    <row r="45" spans="1:6">
      <c r="A45" s="12"/>
      <c r="B45" s="12"/>
      <c r="E45" s="13"/>
      <c r="F45" s="26"/>
    </row>
    <row r="46" spans="1:6">
      <c r="A46" s="12"/>
      <c r="B46" s="12"/>
      <c r="E46" s="13"/>
      <c r="F46" s="26"/>
    </row>
    <row r="47" spans="1:6" ht="15.5">
      <c r="A47" s="12"/>
      <c r="B47" s="12"/>
      <c r="C47" s="9"/>
      <c r="D47" s="9"/>
      <c r="E47" s="13"/>
    </row>
    <row r="48" spans="1:6" ht="15.5">
      <c r="A48" s="14"/>
      <c r="B48" s="5"/>
      <c r="C48" s="9"/>
      <c r="D48" s="9"/>
      <c r="E48" s="13"/>
      <c r="F48" s="15"/>
    </row>
    <row r="49" spans="1:6" ht="15.5">
      <c r="A49" s="14"/>
      <c r="B49" s="5"/>
      <c r="C49" s="9"/>
      <c r="D49" s="9"/>
      <c r="E49" s="13"/>
      <c r="F49" s="15"/>
    </row>
    <row r="50" spans="1:6" ht="15.5">
      <c r="A50" s="12"/>
      <c r="B50" s="5"/>
      <c r="C50" s="9"/>
      <c r="D50" s="9"/>
      <c r="E50" s="13"/>
      <c r="F50" s="15"/>
    </row>
    <row r="51" spans="1:6" ht="15.5">
      <c r="A51" s="12"/>
      <c r="B51" s="12"/>
      <c r="C51" s="9"/>
      <c r="D51" s="9"/>
      <c r="E51" s="13"/>
      <c r="F51" s="15"/>
    </row>
    <row r="52" spans="1:6" ht="15.5">
      <c r="A52" s="14"/>
      <c r="B52" s="5"/>
      <c r="C52" s="9"/>
      <c r="D52" s="9"/>
      <c r="E52" s="13"/>
      <c r="F52" s="15"/>
    </row>
    <row r="53" spans="1:6" ht="15.5">
      <c r="A53" s="14"/>
      <c r="C53" s="9"/>
      <c r="D53" s="9"/>
      <c r="E53" s="9"/>
      <c r="F53" s="10"/>
    </row>
    <row r="54" spans="1:6" ht="15.5">
      <c r="A54" s="16"/>
      <c r="B54" s="17"/>
      <c r="C54" s="9"/>
      <c r="D54" s="9"/>
      <c r="E54" s="16"/>
      <c r="F54" s="15"/>
    </row>
    <row r="55" spans="1:6" ht="15.5">
      <c r="A55" s="12"/>
      <c r="B55" s="12"/>
      <c r="C55" s="9"/>
      <c r="D55" s="9"/>
      <c r="E55" s="9"/>
      <c r="F55" s="10"/>
    </row>
    <row r="56" spans="1:6" ht="15.5">
      <c r="A56" s="12"/>
      <c r="B56" s="12"/>
      <c r="C56" s="9"/>
      <c r="D56" s="9"/>
      <c r="E56" s="9"/>
      <c r="F56" s="10"/>
    </row>
    <row r="57" spans="1:6" ht="15.5">
      <c r="A57" s="12"/>
      <c r="B57" s="12"/>
      <c r="C57" s="9"/>
      <c r="D57" s="9"/>
      <c r="E57" s="9"/>
      <c r="F57" s="10"/>
    </row>
    <row r="58" spans="1:6" ht="15.5">
      <c r="A58" s="12"/>
      <c r="B58" s="12"/>
      <c r="C58" s="9"/>
      <c r="D58" s="9"/>
      <c r="E58" s="9"/>
      <c r="F58" s="10"/>
    </row>
    <row r="59" spans="1:6" ht="15.5">
      <c r="A59" s="12"/>
      <c r="B59" s="12"/>
      <c r="C59" s="9"/>
      <c r="D59" s="9"/>
      <c r="E59" s="9"/>
      <c r="F59" s="10"/>
    </row>
    <row r="60" spans="1:6" ht="15.5">
      <c r="A60" s="12"/>
      <c r="B60" s="12"/>
      <c r="C60" s="9"/>
      <c r="D60" s="9"/>
      <c r="E60" s="9"/>
      <c r="F60" s="10"/>
    </row>
    <row r="61" spans="1:6" ht="15.5">
      <c r="A61" s="12"/>
      <c r="B61" s="12"/>
      <c r="C61" s="9"/>
      <c r="D61" s="9"/>
      <c r="E61" s="9"/>
      <c r="F61" s="10"/>
    </row>
    <row r="62" spans="1:6" ht="15.5">
      <c r="A62" s="12"/>
      <c r="B62" s="12"/>
      <c r="C62" s="9"/>
      <c r="D62" s="9"/>
      <c r="E62" s="9"/>
      <c r="F62" s="10"/>
    </row>
    <row r="63" spans="1:6" ht="15.5">
      <c r="A63" s="12"/>
      <c r="B63" s="12"/>
      <c r="C63" s="9"/>
      <c r="D63" s="9"/>
      <c r="E63" s="9"/>
      <c r="F63" s="10"/>
    </row>
    <row r="64" spans="1:6" ht="15.5">
      <c r="A64" s="12"/>
      <c r="B64" s="12"/>
      <c r="C64" s="9"/>
      <c r="D64" s="9"/>
      <c r="E64" s="9"/>
      <c r="F64" s="10"/>
    </row>
    <row r="65" spans="1:6" ht="15.5">
      <c r="A65" s="12"/>
      <c r="B65" s="12"/>
      <c r="C65" s="9"/>
      <c r="D65" s="9"/>
      <c r="E65" s="9"/>
      <c r="F65" s="10"/>
    </row>
    <row r="66" spans="1:6" ht="15.5">
      <c r="A66" s="12"/>
      <c r="B66" s="12"/>
      <c r="C66" s="9"/>
      <c r="D66" s="9"/>
      <c r="E66" s="9"/>
      <c r="F66" s="10"/>
    </row>
    <row r="67" spans="1:6" ht="15.5">
      <c r="A67" s="14"/>
      <c r="B67" s="5"/>
      <c r="C67" s="9"/>
      <c r="D67" s="9"/>
      <c r="E67" s="9"/>
      <c r="F67" s="15"/>
    </row>
    <row r="68" spans="1:6" ht="15.5">
      <c r="A68" s="14"/>
      <c r="C68" s="9"/>
      <c r="D68" s="9"/>
      <c r="E68" s="9"/>
      <c r="F68" s="10"/>
    </row>
    <row r="69" spans="1:6" ht="15.5">
      <c r="A69" s="16"/>
      <c r="B69" s="17"/>
      <c r="C69" s="9"/>
      <c r="D69" s="9"/>
      <c r="E69" s="9"/>
      <c r="F69" s="20"/>
    </row>
    <row r="72" spans="1:6">
      <c r="A72" s="18"/>
      <c r="B72" s="19"/>
      <c r="F72" s="20"/>
    </row>
    <row r="73" spans="1:6">
      <c r="A73" s="18"/>
      <c r="B73" s="19"/>
      <c r="F73" s="20"/>
    </row>
    <row r="74" spans="1:6">
      <c r="B74" s="19"/>
      <c r="F74" s="15"/>
    </row>
  </sheetData>
  <sheetProtection algorithmName="SHA-512" hashValue="EU2rcFt9jlxikZ0c2uWYtVZzzHBX0UpwB/qRbFuf+H1i8FbFBo41MljyULw9txLO5jnVNzpXHnXtARdqbxFi9g==" saltValue="hu+A2dZzxWOf7HTPURqoUA==" spinCount="100000" sheet="1" objects="1" scenarios="1"/>
  <mergeCells count="1">
    <mergeCell ref="A5:E5"/>
  </mergeCells>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1" manualBreakCount="1">
    <brk id="64" max="16383" man="1"/>
  </rowBreaks>
  <colBreaks count="1" manualBreakCount="1">
    <brk id="6"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80"/>
  <sheetViews>
    <sheetView view="pageBreakPreview" topLeftCell="A12" zoomScaleNormal="90" zoomScaleSheetLayoutView="100" workbookViewId="0">
      <selection activeCell="D33" sqref="D33"/>
    </sheetView>
  </sheetViews>
  <sheetFormatPr defaultColWidth="8.81640625" defaultRowHeight="14.5"/>
  <cols>
    <col min="2" max="2" width="34.26953125" customWidth="1"/>
    <col min="3" max="3" width="7.26953125" customWidth="1"/>
    <col min="4" max="4" width="12.453125" customWidth="1"/>
    <col min="5" max="5" width="8.453125" customWidth="1"/>
    <col min="6" max="6" width="14.7265625" customWidth="1"/>
  </cols>
  <sheetData>
    <row r="1" spans="1:7">
      <c r="A1" s="136"/>
      <c r="B1" s="136"/>
      <c r="C1" s="136"/>
      <c r="D1" s="136"/>
      <c r="E1" s="136"/>
      <c r="F1" s="136"/>
    </row>
    <row r="2" spans="1:7">
      <c r="A2" s="136"/>
      <c r="B2" s="136"/>
      <c r="C2" s="136"/>
      <c r="D2" s="136"/>
      <c r="E2" s="136"/>
      <c r="F2" s="136"/>
    </row>
    <row r="3" spans="1:7">
      <c r="A3" s="136"/>
      <c r="B3" s="136"/>
      <c r="C3" s="136"/>
      <c r="D3" s="136"/>
      <c r="E3" s="136"/>
      <c r="F3" s="136"/>
    </row>
    <row r="4" spans="1:7">
      <c r="A4" s="2"/>
      <c r="B4" s="4"/>
      <c r="C4" s="2"/>
      <c r="D4" s="2"/>
      <c r="E4" s="2"/>
      <c r="F4" s="3"/>
    </row>
    <row r="5" spans="1:7" ht="38.25" customHeight="1">
      <c r="A5" s="543" t="s">
        <v>707</v>
      </c>
      <c r="B5" s="544"/>
      <c r="C5" s="544"/>
      <c r="D5" s="544"/>
      <c r="E5" s="544"/>
      <c r="F5" s="48"/>
    </row>
    <row r="6" spans="1:7">
      <c r="A6" s="47"/>
      <c r="B6" s="51"/>
      <c r="C6" s="56"/>
      <c r="D6" s="47"/>
      <c r="E6" s="47"/>
      <c r="F6" s="48"/>
    </row>
    <row r="7" spans="1:7">
      <c r="A7" s="47"/>
      <c r="B7" s="51"/>
      <c r="C7" s="56"/>
      <c r="D7" s="47"/>
      <c r="E7" s="47"/>
      <c r="F7" s="48"/>
    </row>
    <row r="8" spans="1:7" ht="18.5">
      <c r="A8" s="57"/>
      <c r="B8" s="133"/>
      <c r="C8" s="133"/>
      <c r="D8" s="133"/>
      <c r="E8" s="133"/>
      <c r="F8" s="133"/>
    </row>
    <row r="9" spans="1:7" ht="18.5">
      <c r="A9" s="218" t="s">
        <v>708</v>
      </c>
      <c r="B9" s="57"/>
      <c r="C9" s="57"/>
      <c r="D9" s="57"/>
      <c r="E9" s="57"/>
      <c r="F9" s="160"/>
    </row>
    <row r="10" spans="1:7" ht="18.5">
      <c r="A10" s="57"/>
      <c r="B10" s="218" t="s">
        <v>58</v>
      </c>
      <c r="C10" s="57"/>
      <c r="D10" s="57"/>
      <c r="E10" s="57"/>
      <c r="F10" s="160"/>
    </row>
    <row r="11" spans="1:7">
      <c r="A11" s="77"/>
      <c r="B11" s="56"/>
      <c r="C11" s="77"/>
      <c r="D11" s="77"/>
      <c r="E11" s="77"/>
      <c r="F11" s="161"/>
    </row>
    <row r="12" spans="1:7" ht="15" thickBot="1">
      <c r="A12" s="162" t="s">
        <v>33</v>
      </c>
      <c r="B12" s="163" t="s">
        <v>34</v>
      </c>
      <c r="C12" s="164"/>
      <c r="D12" s="164"/>
      <c r="E12" s="165"/>
      <c r="F12" s="166"/>
    </row>
    <row r="13" spans="1:7">
      <c r="A13" s="167"/>
      <c r="B13" s="56"/>
      <c r="C13" s="77"/>
      <c r="D13" s="77"/>
      <c r="E13" s="75"/>
      <c r="F13" s="168"/>
      <c r="G13" s="425"/>
    </row>
    <row r="14" spans="1:7">
      <c r="A14" s="47" t="s">
        <v>35</v>
      </c>
      <c r="B14" s="47" t="s">
        <v>59</v>
      </c>
      <c r="C14" s="77"/>
      <c r="D14" s="77"/>
      <c r="E14" s="75" t="s">
        <v>507</v>
      </c>
      <c r="F14" s="169">
        <f>A.I.1!F71</f>
        <v>0</v>
      </c>
      <c r="G14" s="425"/>
    </row>
    <row r="15" spans="1:7">
      <c r="A15" s="47" t="s">
        <v>60</v>
      </c>
      <c r="B15" s="47" t="s">
        <v>61</v>
      </c>
      <c r="C15" s="77"/>
      <c r="D15" s="77"/>
      <c r="E15" s="75" t="s">
        <v>507</v>
      </c>
      <c r="F15" s="169">
        <f>A.I.2!F34</f>
        <v>0</v>
      </c>
      <c r="G15" s="425"/>
    </row>
    <row r="16" spans="1:7">
      <c r="A16" s="47" t="s">
        <v>37</v>
      </c>
      <c r="B16" s="47" t="s">
        <v>62</v>
      </c>
      <c r="C16" s="136"/>
      <c r="D16" s="47"/>
      <c r="E16" s="75" t="s">
        <v>507</v>
      </c>
      <c r="F16" s="169">
        <f>A.II.1!F81</f>
        <v>0</v>
      </c>
      <c r="G16" s="425"/>
    </row>
    <row r="17" spans="1:7">
      <c r="A17" s="47" t="s">
        <v>63</v>
      </c>
      <c r="B17" s="47" t="s">
        <v>64</v>
      </c>
      <c r="C17" s="136"/>
      <c r="D17" s="47"/>
      <c r="E17" s="75" t="s">
        <v>507</v>
      </c>
      <c r="F17" s="169">
        <f>A.II.2!F33</f>
        <v>0</v>
      </c>
      <c r="G17" s="425"/>
    </row>
    <row r="18" spans="1:7">
      <c r="A18" s="47" t="s">
        <v>39</v>
      </c>
      <c r="B18" s="47" t="s">
        <v>65</v>
      </c>
      <c r="C18" s="136"/>
      <c r="D18" s="47"/>
      <c r="E18" s="75" t="s">
        <v>507</v>
      </c>
      <c r="F18" s="169">
        <f>'A. III. zemlj.'!F29</f>
        <v>0</v>
      </c>
      <c r="G18" s="425"/>
    </row>
    <row r="19" spans="1:7">
      <c r="A19" s="47" t="s">
        <v>41</v>
      </c>
      <c r="B19" s="47" t="s">
        <v>66</v>
      </c>
      <c r="C19" s="136"/>
      <c r="D19" s="47"/>
      <c r="E19" s="75" t="s">
        <v>507</v>
      </c>
      <c r="F19" s="169">
        <f>A.IV.1.zid!F64</f>
        <v>0</v>
      </c>
      <c r="G19" s="425"/>
    </row>
    <row r="20" spans="1:7">
      <c r="A20" s="47" t="s">
        <v>67</v>
      </c>
      <c r="B20" s="47" t="s">
        <v>68</v>
      </c>
      <c r="C20" s="136"/>
      <c r="D20" s="47"/>
      <c r="E20" s="75" t="s">
        <v>507</v>
      </c>
      <c r="F20" s="169">
        <f>A.IV.2.zid!F37</f>
        <v>0</v>
      </c>
      <c r="G20" s="425"/>
    </row>
    <row r="21" spans="1:7" ht="15" thickBot="1">
      <c r="A21" s="47" t="s">
        <v>43</v>
      </c>
      <c r="B21" s="47" t="s">
        <v>44</v>
      </c>
      <c r="C21" s="136"/>
      <c r="D21" s="47"/>
      <c r="E21" s="75" t="s">
        <v>507</v>
      </c>
      <c r="F21" s="169">
        <f>A.V.izo!F82</f>
        <v>0</v>
      </c>
      <c r="G21" s="425"/>
    </row>
    <row r="22" spans="1:7" ht="16" thickBot="1">
      <c r="A22" s="70" t="s">
        <v>33</v>
      </c>
      <c r="B22" s="51" t="s">
        <v>45</v>
      </c>
      <c r="C22" s="77"/>
      <c r="D22" s="71"/>
      <c r="E22" s="75" t="s">
        <v>507</v>
      </c>
      <c r="F22" s="159">
        <f>SUM(F14:F21)</f>
        <v>0</v>
      </c>
      <c r="G22" s="425"/>
    </row>
    <row r="23" spans="1:7" ht="15.5">
      <c r="A23" s="71"/>
      <c r="B23" s="71"/>
      <c r="C23" s="71"/>
      <c r="D23" s="71"/>
      <c r="E23" s="71"/>
      <c r="F23" s="72"/>
      <c r="G23" s="71"/>
    </row>
    <row r="24" spans="1:7" ht="16" thickBot="1">
      <c r="A24" s="162" t="s">
        <v>46</v>
      </c>
      <c r="B24" s="163" t="s">
        <v>47</v>
      </c>
      <c r="C24" s="170"/>
      <c r="D24" s="170"/>
      <c r="E24" s="170"/>
      <c r="F24" s="171"/>
      <c r="G24" s="71"/>
    </row>
    <row r="25" spans="1:7" ht="15.5">
      <c r="A25" s="167"/>
      <c r="B25" s="56"/>
      <c r="C25" s="71"/>
      <c r="D25" s="71"/>
      <c r="E25" s="71"/>
      <c r="F25" s="172"/>
      <c r="G25" s="88"/>
    </row>
    <row r="26" spans="1:7" ht="15.5">
      <c r="A26" s="47" t="s">
        <v>48</v>
      </c>
      <c r="B26" s="47" t="s">
        <v>49</v>
      </c>
      <c r="C26" s="136"/>
      <c r="D26" s="47"/>
      <c r="E26" s="75" t="s">
        <v>507</v>
      </c>
      <c r="F26" s="169">
        <f>B.I.lim!F62</f>
        <v>0</v>
      </c>
      <c r="G26" s="88"/>
    </row>
    <row r="27" spans="1:7" ht="15.5">
      <c r="A27" s="47" t="s">
        <v>69</v>
      </c>
      <c r="B27" s="47" t="s">
        <v>542</v>
      </c>
      <c r="C27" s="71"/>
      <c r="D27" s="47"/>
      <c r="E27" s="75" t="s">
        <v>507</v>
      </c>
      <c r="F27" s="169">
        <f>'B.II.1. brav'!F180</f>
        <v>0</v>
      </c>
      <c r="G27" s="88"/>
    </row>
    <row r="28" spans="1:7" ht="15.5">
      <c r="A28" s="47" t="s">
        <v>70</v>
      </c>
      <c r="B28" s="47" t="s">
        <v>71</v>
      </c>
      <c r="C28" s="71"/>
      <c r="D28" s="47"/>
      <c r="E28" s="75" t="s">
        <v>507</v>
      </c>
      <c r="F28" s="169">
        <f>'B.II.2. sto'!F230</f>
        <v>0</v>
      </c>
      <c r="G28" s="88"/>
    </row>
    <row r="29" spans="1:7" ht="15.5">
      <c r="A29" s="47" t="s">
        <v>51</v>
      </c>
      <c r="B29" s="47" t="s">
        <v>52</v>
      </c>
      <c r="C29" s="71"/>
      <c r="D29" s="71"/>
      <c r="E29" s="75" t="s">
        <v>507</v>
      </c>
      <c r="F29" s="169">
        <f>B.III.zz!F110</f>
        <v>0</v>
      </c>
      <c r="G29" s="88"/>
    </row>
    <row r="30" spans="1:7" ht="15.5">
      <c r="A30" s="47" t="s">
        <v>53</v>
      </c>
      <c r="B30" s="47" t="s">
        <v>72</v>
      </c>
      <c r="C30" s="71"/>
      <c r="D30" s="71"/>
      <c r="E30" s="75" t="s">
        <v>507</v>
      </c>
      <c r="F30" s="169">
        <f>'B.IV.brav '!F52</f>
        <v>0</v>
      </c>
      <c r="G30" s="88"/>
    </row>
    <row r="31" spans="1:7" ht="15.5">
      <c r="A31" s="47" t="s">
        <v>55</v>
      </c>
      <c r="B31" s="47" t="s">
        <v>56</v>
      </c>
      <c r="C31" s="71"/>
      <c r="D31" s="71"/>
      <c r="E31" s="75" t="s">
        <v>507</v>
      </c>
      <c r="F31" s="169">
        <f>B.V.1.lič!F96</f>
        <v>0</v>
      </c>
      <c r="G31" s="88"/>
    </row>
    <row r="32" spans="1:7" ht="16" thickBot="1">
      <c r="A32" s="47" t="s">
        <v>73</v>
      </c>
      <c r="B32" s="47" t="s">
        <v>74</v>
      </c>
      <c r="C32" s="71"/>
      <c r="D32" s="71"/>
      <c r="E32" s="75" t="s">
        <v>507</v>
      </c>
      <c r="F32" s="169">
        <f>B.V.2.lič!F32</f>
        <v>0</v>
      </c>
      <c r="G32" s="88"/>
    </row>
    <row r="33" spans="1:7" ht="16" thickBot="1">
      <c r="A33" s="70" t="s">
        <v>46</v>
      </c>
      <c r="B33" s="51" t="s">
        <v>57</v>
      </c>
      <c r="C33" s="71"/>
      <c r="D33" s="71"/>
      <c r="E33" s="75" t="s">
        <v>507</v>
      </c>
      <c r="F33" s="159">
        <f>SUM(F26:F32)</f>
        <v>0</v>
      </c>
      <c r="G33" s="88"/>
    </row>
    <row r="34" spans="1:7" ht="15.5">
      <c r="A34" s="70"/>
      <c r="B34" s="51"/>
      <c r="C34" s="71"/>
      <c r="D34" s="71"/>
      <c r="E34" s="75"/>
      <c r="F34" s="78"/>
      <c r="G34" s="88"/>
    </row>
    <row r="35" spans="1:7" ht="16" thickBot="1">
      <c r="A35" s="162" t="s">
        <v>702</v>
      </c>
      <c r="B35" s="163" t="s">
        <v>704</v>
      </c>
      <c r="C35" s="170"/>
      <c r="D35" s="170"/>
      <c r="E35" s="170"/>
      <c r="F35" s="171"/>
    </row>
    <row r="36" spans="1:7" ht="15.5">
      <c r="A36" s="167"/>
      <c r="B36" s="56"/>
      <c r="C36" s="71"/>
      <c r="D36" s="71"/>
      <c r="E36" s="71"/>
      <c r="F36" s="172"/>
    </row>
    <row r="37" spans="1:7" s="43" customFormat="1">
      <c r="A37" s="47" t="s">
        <v>558</v>
      </c>
      <c r="B37" s="47" t="s">
        <v>805</v>
      </c>
      <c r="C37" s="136"/>
      <c r="D37" s="47"/>
      <c r="E37" s="75" t="s">
        <v>507</v>
      </c>
      <c r="F37" s="169">
        <f>'C.I.1 '!F134</f>
        <v>0</v>
      </c>
      <c r="G37" s="33"/>
    </row>
    <row r="38" spans="1:7" s="43" customFormat="1" ht="16" thickBot="1">
      <c r="A38" s="47" t="s">
        <v>703</v>
      </c>
      <c r="B38" s="47" t="s">
        <v>806</v>
      </c>
      <c r="C38" s="71"/>
      <c r="D38" s="47"/>
      <c r="E38" s="75" t="s">
        <v>507</v>
      </c>
      <c r="F38" s="169">
        <f>'C.I.2.'!F22</f>
        <v>0</v>
      </c>
      <c r="G38" s="33"/>
    </row>
    <row r="39" spans="1:7" ht="16" thickBot="1">
      <c r="A39" s="70" t="s">
        <v>702</v>
      </c>
      <c r="B39" s="51" t="s">
        <v>705</v>
      </c>
      <c r="C39" s="71"/>
      <c r="D39" s="71"/>
      <c r="E39" s="75" t="s">
        <v>507</v>
      </c>
      <c r="F39" s="159">
        <f>SUM(F37:F38)</f>
        <v>0</v>
      </c>
    </row>
    <row r="40" spans="1:7" ht="15" thickBot="1"/>
    <row r="41" spans="1:7" ht="16" thickBot="1">
      <c r="A41" s="174"/>
      <c r="B41" s="175" t="s">
        <v>701</v>
      </c>
      <c r="C41" s="176"/>
      <c r="D41" s="176"/>
      <c r="E41" s="177" t="s">
        <v>507</v>
      </c>
      <c r="F41" s="159">
        <f>SUM(F22+F33+F39)</f>
        <v>0</v>
      </c>
    </row>
    <row r="42" spans="1:7">
      <c r="A42" s="12"/>
      <c r="B42" s="12"/>
      <c r="C42" s="11"/>
      <c r="D42" s="11"/>
      <c r="E42" s="13"/>
      <c r="F42" s="25"/>
    </row>
    <row r="43" spans="1:7" ht="15.5">
      <c r="A43" s="12"/>
      <c r="B43" s="12"/>
      <c r="C43" s="11"/>
      <c r="D43" s="9"/>
      <c r="E43" s="13"/>
      <c r="F43" s="26"/>
    </row>
    <row r="44" spans="1:7" ht="15.5">
      <c r="A44" s="12"/>
      <c r="B44" s="12"/>
      <c r="C44" s="11"/>
      <c r="D44" s="9"/>
      <c r="E44" s="13"/>
      <c r="F44" s="26"/>
    </row>
    <row r="45" spans="1:7" ht="15.5">
      <c r="A45" s="12"/>
      <c r="B45" s="12"/>
      <c r="C45" s="11"/>
      <c r="D45" s="9"/>
      <c r="E45" s="13"/>
      <c r="F45" s="26"/>
    </row>
    <row r="46" spans="1:7" ht="15.5">
      <c r="B46" s="5"/>
      <c r="C46" s="11"/>
      <c r="D46" s="9"/>
      <c r="E46" s="13"/>
      <c r="F46" s="27"/>
    </row>
    <row r="47" spans="1:7" ht="15.5">
      <c r="A47" s="9"/>
      <c r="B47" s="9"/>
      <c r="C47" s="9"/>
      <c r="D47" s="9"/>
      <c r="E47" s="9"/>
      <c r="F47" s="10"/>
    </row>
    <row r="48" spans="1:7" ht="15.5">
      <c r="A48" s="9"/>
      <c r="B48" s="9"/>
      <c r="C48" s="9"/>
      <c r="D48" s="9"/>
      <c r="E48" s="9"/>
      <c r="F48" s="10"/>
    </row>
    <row r="49" spans="1:6" ht="15.5">
      <c r="A49" s="13"/>
      <c r="B49" s="17"/>
      <c r="C49" s="9"/>
      <c r="D49" s="9"/>
      <c r="E49" s="9"/>
      <c r="F49" s="10"/>
    </row>
    <row r="50" spans="1:6" ht="15.5">
      <c r="A50" s="12"/>
      <c r="B50" s="12"/>
      <c r="C50" s="9"/>
      <c r="D50" s="9"/>
      <c r="E50" s="13"/>
      <c r="F50" s="26"/>
    </row>
    <row r="51" spans="1:6">
      <c r="A51" s="12"/>
      <c r="B51" s="12"/>
      <c r="E51" s="13"/>
      <c r="F51" s="26"/>
    </row>
    <row r="52" spans="1:6">
      <c r="A52" s="12"/>
      <c r="B52" s="12"/>
      <c r="E52" s="13"/>
      <c r="F52" s="26"/>
    </row>
    <row r="53" spans="1:6" ht="15.5">
      <c r="A53" s="12"/>
      <c r="B53" s="12"/>
      <c r="C53" s="9"/>
      <c r="D53" s="9"/>
      <c r="E53" s="13"/>
    </row>
    <row r="54" spans="1:6" ht="15.5">
      <c r="A54" s="14"/>
      <c r="B54" s="5"/>
      <c r="C54" s="9"/>
      <c r="D54" s="9"/>
      <c r="E54" s="13"/>
      <c r="F54" s="15"/>
    </row>
    <row r="55" spans="1:6" ht="15.5">
      <c r="A55" s="14"/>
      <c r="B55" s="5"/>
      <c r="C55" s="9"/>
      <c r="D55" s="9"/>
      <c r="E55" s="13"/>
      <c r="F55" s="15"/>
    </row>
    <row r="56" spans="1:6" ht="15.5">
      <c r="A56" s="12"/>
      <c r="B56" s="5"/>
      <c r="C56" s="9"/>
      <c r="D56" s="9"/>
      <c r="E56" s="13"/>
      <c r="F56" s="15"/>
    </row>
    <row r="57" spans="1:6" ht="15.5">
      <c r="A57" s="12"/>
      <c r="B57" s="12"/>
      <c r="C57" s="9"/>
      <c r="D57" s="9"/>
      <c r="E57" s="13"/>
      <c r="F57" s="15"/>
    </row>
    <row r="58" spans="1:6" ht="15.5">
      <c r="A58" s="14"/>
      <c r="B58" s="5"/>
      <c r="C58" s="9"/>
      <c r="D58" s="9"/>
      <c r="E58" s="13"/>
      <c r="F58" s="15"/>
    </row>
    <row r="59" spans="1:6" ht="15.5">
      <c r="A59" s="14"/>
      <c r="C59" s="9"/>
      <c r="D59" s="9"/>
      <c r="E59" s="9"/>
      <c r="F59" s="10"/>
    </row>
    <row r="60" spans="1:6" ht="15.5">
      <c r="A60" s="16"/>
      <c r="B60" s="17"/>
      <c r="C60" s="9"/>
      <c r="D60" s="9"/>
      <c r="E60" s="16"/>
      <c r="F60" s="15"/>
    </row>
    <row r="61" spans="1:6" ht="15.5">
      <c r="A61" s="12"/>
      <c r="B61" s="12"/>
      <c r="C61" s="9"/>
      <c r="D61" s="9"/>
      <c r="E61" s="9"/>
      <c r="F61" s="10"/>
    </row>
    <row r="62" spans="1:6" ht="15.5">
      <c r="A62" s="12"/>
      <c r="B62" s="12"/>
      <c r="C62" s="9"/>
      <c r="D62" s="9"/>
      <c r="E62" s="9"/>
      <c r="F62" s="10"/>
    </row>
    <row r="63" spans="1:6" ht="15.5">
      <c r="A63" s="12"/>
      <c r="B63" s="12"/>
      <c r="C63" s="9"/>
      <c r="D63" s="9"/>
      <c r="E63" s="9"/>
      <c r="F63" s="10"/>
    </row>
    <row r="64" spans="1:6" ht="15.5">
      <c r="A64" s="12"/>
      <c r="B64" s="12"/>
      <c r="C64" s="9"/>
      <c r="D64" s="9"/>
      <c r="E64" s="9"/>
      <c r="F64" s="10"/>
    </row>
    <row r="65" spans="1:6" ht="15.5">
      <c r="A65" s="12"/>
      <c r="B65" s="12"/>
      <c r="C65" s="9"/>
      <c r="D65" s="9"/>
      <c r="E65" s="9"/>
      <c r="F65" s="10"/>
    </row>
    <row r="66" spans="1:6" ht="15.5">
      <c r="A66" s="12"/>
      <c r="B66" s="12"/>
      <c r="C66" s="9"/>
      <c r="D66" s="9"/>
      <c r="E66" s="9"/>
      <c r="F66" s="10"/>
    </row>
    <row r="67" spans="1:6" ht="15.5">
      <c r="A67" s="12"/>
      <c r="B67" s="12"/>
      <c r="C67" s="9"/>
      <c r="D67" s="9"/>
      <c r="E67" s="9"/>
      <c r="F67" s="10"/>
    </row>
    <row r="68" spans="1:6" ht="15.5">
      <c r="A68" s="12"/>
      <c r="B68" s="12"/>
      <c r="C68" s="9"/>
      <c r="D68" s="9"/>
      <c r="E68" s="9"/>
      <c r="F68" s="10"/>
    </row>
    <row r="69" spans="1:6" ht="15.5">
      <c r="A69" s="12"/>
      <c r="B69" s="12"/>
      <c r="C69" s="9"/>
      <c r="D69" s="9"/>
      <c r="E69" s="9"/>
      <c r="F69" s="10"/>
    </row>
    <row r="70" spans="1:6" ht="15.5">
      <c r="A70" s="12"/>
      <c r="B70" s="12"/>
      <c r="C70" s="9"/>
      <c r="D70" s="9"/>
      <c r="E70" s="9"/>
      <c r="F70" s="10"/>
    </row>
    <row r="71" spans="1:6" ht="15.5">
      <c r="A71" s="12"/>
      <c r="B71" s="12"/>
      <c r="C71" s="9"/>
      <c r="D71" s="9"/>
      <c r="E71" s="9"/>
      <c r="F71" s="10"/>
    </row>
    <row r="72" spans="1:6" ht="15.5">
      <c r="A72" s="12"/>
      <c r="B72" s="12"/>
      <c r="C72" s="9"/>
      <c r="D72" s="9"/>
      <c r="E72" s="9"/>
      <c r="F72" s="10"/>
    </row>
    <row r="73" spans="1:6" ht="15.5">
      <c r="A73" s="14"/>
      <c r="B73" s="5"/>
      <c r="C73" s="9"/>
      <c r="D73" s="9"/>
      <c r="E73" s="9"/>
      <c r="F73" s="15"/>
    </row>
    <row r="74" spans="1:6" ht="15.5">
      <c r="A74" s="14"/>
      <c r="C74" s="9"/>
      <c r="D74" s="9"/>
      <c r="E74" s="9"/>
      <c r="F74" s="10"/>
    </row>
    <row r="75" spans="1:6" ht="15.5">
      <c r="A75" s="16"/>
      <c r="B75" s="17"/>
      <c r="C75" s="9"/>
      <c r="D75" s="9"/>
      <c r="E75" s="9"/>
      <c r="F75" s="20"/>
    </row>
    <row r="78" spans="1:6">
      <c r="A78" s="18"/>
      <c r="B78" s="19"/>
      <c r="F78" s="20"/>
    </row>
    <row r="79" spans="1:6">
      <c r="A79" s="18"/>
      <c r="B79" s="19"/>
      <c r="F79" s="20"/>
    </row>
    <row r="80" spans="1:6">
      <c r="B80" s="19"/>
      <c r="F80" s="15"/>
    </row>
  </sheetData>
  <sheetProtection algorithmName="SHA-512" hashValue="N+T/a0iAI9EXu/PCs134xnif92NYvX2hams2Af+LGzNhFus0MnfPh4AjaPmnIm9XnS0kF7fRMKI1PI+M+Qs6/w==" saltValue="E+7y/pfk5GpRKHIakXx1Ew==" spinCount="100000" sheet="1" objects="1" scenarios="1"/>
  <mergeCells count="1">
    <mergeCell ref="A5:E5"/>
  </mergeCells>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1" manualBreakCount="1">
    <brk id="70" max="16383" man="1"/>
  </rowBreaks>
  <colBreaks count="1" manualBreakCount="1">
    <brk id="6"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2:F63"/>
  <sheetViews>
    <sheetView view="pageBreakPreview" topLeftCell="A43" zoomScaleNormal="100" zoomScaleSheetLayoutView="100" workbookViewId="0">
      <selection activeCell="B50" sqref="B50:F50"/>
    </sheetView>
  </sheetViews>
  <sheetFormatPr defaultColWidth="9.26953125" defaultRowHeight="14.5"/>
  <cols>
    <col min="1" max="1" width="5.453125" style="136" customWidth="1"/>
    <col min="2" max="2" width="20.453125" style="136" customWidth="1"/>
    <col min="3" max="3" width="16.26953125" style="136" customWidth="1"/>
    <col min="4" max="5" width="9.26953125" style="136"/>
    <col min="6" max="6" width="23.453125" style="136" customWidth="1"/>
    <col min="7" max="16384" width="9.26953125" style="136"/>
  </cols>
  <sheetData>
    <row r="2" spans="1:6">
      <c r="A2" s="2"/>
      <c r="B2" s="2"/>
      <c r="C2" s="2"/>
      <c r="D2" s="2"/>
      <c r="E2" s="2"/>
      <c r="F2" s="3"/>
    </row>
    <row r="3" spans="1:6" ht="21">
      <c r="A3" s="2"/>
      <c r="B3" s="156" t="s">
        <v>75</v>
      </c>
      <c r="C3" s="47"/>
      <c r="D3" s="47"/>
      <c r="E3" s="47"/>
      <c r="F3" s="48"/>
    </row>
    <row r="4" spans="1:6">
      <c r="A4" s="2"/>
      <c r="B4" s="47"/>
      <c r="C4" s="47"/>
      <c r="D4" s="47"/>
      <c r="E4" s="47"/>
      <c r="F4" s="48"/>
    </row>
    <row r="5" spans="1:6">
      <c r="A5" s="2"/>
      <c r="B5" s="157" t="s">
        <v>76</v>
      </c>
      <c r="C5" s="47"/>
      <c r="D5" s="47"/>
      <c r="E5" s="47"/>
      <c r="F5" s="48"/>
    </row>
    <row r="6" spans="1:6">
      <c r="A6" s="2"/>
      <c r="B6" s="157"/>
      <c r="C6" s="47"/>
      <c r="D6" s="47"/>
      <c r="E6" s="47"/>
      <c r="F6" s="48"/>
    </row>
    <row r="7" spans="1:6" s="126" customFormat="1" ht="75" customHeight="1">
      <c r="A7" s="158"/>
      <c r="B7" s="549" t="s">
        <v>77</v>
      </c>
      <c r="C7" s="550"/>
      <c r="D7" s="550"/>
      <c r="E7" s="550"/>
      <c r="F7" s="550"/>
    </row>
    <row r="8" spans="1:6" s="126" customFormat="1" ht="14">
      <c r="A8" s="158"/>
      <c r="B8" s="358"/>
      <c r="C8" s="359"/>
      <c r="D8" s="359"/>
      <c r="E8" s="359"/>
      <c r="F8" s="359"/>
    </row>
    <row r="9" spans="1:6" s="126" customFormat="1" ht="75.75" customHeight="1">
      <c r="A9" s="158"/>
      <c r="B9" s="545" t="s">
        <v>78</v>
      </c>
      <c r="C9" s="547"/>
      <c r="D9" s="547"/>
      <c r="E9" s="547"/>
      <c r="F9" s="547"/>
    </row>
    <row r="10" spans="1:6" s="126" customFormat="1" ht="14">
      <c r="A10" s="158"/>
      <c r="B10" s="358"/>
      <c r="C10" s="359"/>
      <c r="D10" s="359"/>
      <c r="E10" s="359"/>
      <c r="F10" s="359"/>
    </row>
    <row r="11" spans="1:6" s="126" customFormat="1" ht="55.5" customHeight="1">
      <c r="A11" s="158"/>
      <c r="B11" s="545" t="s">
        <v>79</v>
      </c>
      <c r="C11" s="546"/>
      <c r="D11" s="546"/>
      <c r="E11" s="546"/>
      <c r="F11" s="546"/>
    </row>
    <row r="12" spans="1:6" s="126" customFormat="1" ht="15.75" customHeight="1">
      <c r="A12" s="158"/>
      <c r="B12" s="358"/>
      <c r="C12" s="359"/>
      <c r="D12" s="359"/>
      <c r="E12" s="359"/>
      <c r="F12" s="359"/>
    </row>
    <row r="13" spans="1:6" s="126" customFormat="1" ht="93.75" customHeight="1">
      <c r="A13" s="158"/>
      <c r="B13" s="545" t="s">
        <v>80</v>
      </c>
      <c r="C13" s="546"/>
      <c r="D13" s="546"/>
      <c r="E13" s="546"/>
      <c r="F13" s="546"/>
    </row>
    <row r="14" spans="1:6" s="126" customFormat="1" ht="14">
      <c r="A14" s="158"/>
      <c r="B14" s="358"/>
      <c r="C14" s="360"/>
      <c r="D14" s="360"/>
      <c r="E14" s="360"/>
      <c r="F14" s="360"/>
    </row>
    <row r="15" spans="1:6" s="126" customFormat="1" ht="51.75" customHeight="1">
      <c r="A15" s="158"/>
      <c r="B15" s="545" t="s">
        <v>81</v>
      </c>
      <c r="C15" s="546"/>
      <c r="D15" s="546"/>
      <c r="E15" s="546"/>
      <c r="F15" s="546"/>
    </row>
    <row r="16" spans="1:6" s="126" customFormat="1" ht="13.15" customHeight="1">
      <c r="A16" s="158"/>
      <c r="B16" s="358"/>
      <c r="C16" s="358"/>
      <c r="D16" s="358"/>
      <c r="E16" s="358"/>
      <c r="F16" s="358"/>
    </row>
    <row r="17" spans="1:6" s="126" customFormat="1" ht="83.25" customHeight="1">
      <c r="A17" s="158"/>
      <c r="B17" s="545" t="s">
        <v>763</v>
      </c>
      <c r="C17" s="546"/>
      <c r="D17" s="546"/>
      <c r="E17" s="546"/>
      <c r="F17" s="546"/>
    </row>
    <row r="18" spans="1:6" s="126" customFormat="1" ht="14">
      <c r="A18" s="158"/>
      <c r="B18" s="357"/>
      <c r="C18" s="291"/>
      <c r="D18" s="291"/>
      <c r="E18" s="291"/>
      <c r="F18" s="291"/>
    </row>
    <row r="19" spans="1:6" s="126" customFormat="1" ht="14">
      <c r="A19" s="158"/>
      <c r="B19" s="357"/>
      <c r="C19" s="291"/>
      <c r="D19" s="291"/>
      <c r="E19" s="291"/>
      <c r="F19" s="291"/>
    </row>
    <row r="20" spans="1:6" s="126" customFormat="1" ht="204.75" customHeight="1">
      <c r="A20" s="158"/>
      <c r="B20" s="545" t="s">
        <v>82</v>
      </c>
      <c r="C20" s="548"/>
      <c r="D20" s="548"/>
      <c r="E20" s="548"/>
      <c r="F20" s="548"/>
    </row>
    <row r="21" spans="1:6" s="126" customFormat="1" ht="15" customHeight="1">
      <c r="A21" s="158"/>
      <c r="B21" s="358"/>
      <c r="C21" s="359"/>
      <c r="D21" s="359"/>
      <c r="E21" s="359"/>
      <c r="F21" s="359"/>
    </row>
    <row r="22" spans="1:6" s="126" customFormat="1" ht="81.75" customHeight="1">
      <c r="A22" s="158"/>
      <c r="B22" s="545" t="s">
        <v>767</v>
      </c>
      <c r="C22" s="545"/>
      <c r="D22" s="545"/>
      <c r="E22" s="545"/>
      <c r="F22" s="545"/>
    </row>
    <row r="23" spans="1:6" s="126" customFormat="1" ht="15" customHeight="1">
      <c r="A23" s="158"/>
      <c r="B23" s="358"/>
      <c r="C23" s="358"/>
      <c r="D23" s="358"/>
      <c r="E23" s="358"/>
      <c r="F23" s="358"/>
    </row>
    <row r="24" spans="1:6" s="126" customFormat="1" ht="93.75" customHeight="1">
      <c r="A24" s="158"/>
      <c r="B24" s="545" t="s">
        <v>83</v>
      </c>
      <c r="C24" s="545"/>
      <c r="D24" s="545"/>
      <c r="E24" s="545"/>
      <c r="F24" s="545"/>
    </row>
    <row r="25" spans="1:6" s="126" customFormat="1" ht="15" customHeight="1">
      <c r="A25" s="158"/>
      <c r="B25" s="358"/>
      <c r="C25" s="358"/>
      <c r="D25" s="358"/>
      <c r="E25" s="358"/>
      <c r="F25" s="358"/>
    </row>
    <row r="26" spans="1:6" s="126" customFormat="1" ht="57" customHeight="1">
      <c r="A26" s="158"/>
      <c r="B26" s="545" t="s">
        <v>764</v>
      </c>
      <c r="C26" s="546"/>
      <c r="D26" s="546"/>
      <c r="E26" s="546"/>
      <c r="F26" s="546"/>
    </row>
    <row r="27" spans="1:6" s="126" customFormat="1" ht="14.25" customHeight="1">
      <c r="A27" s="158"/>
      <c r="B27" s="358"/>
      <c r="C27" s="359"/>
      <c r="D27" s="359"/>
      <c r="E27" s="359"/>
      <c r="F27" s="359"/>
    </row>
    <row r="28" spans="1:6" s="126" customFormat="1" ht="53.25" customHeight="1">
      <c r="A28" s="158"/>
      <c r="B28" s="545" t="s">
        <v>765</v>
      </c>
      <c r="C28" s="546"/>
      <c r="D28" s="546"/>
      <c r="E28" s="546"/>
      <c r="F28" s="546"/>
    </row>
    <row r="29" spans="1:6" s="126" customFormat="1" ht="15" customHeight="1">
      <c r="A29" s="158"/>
      <c r="B29" s="358"/>
      <c r="C29" s="359"/>
      <c r="D29" s="359"/>
      <c r="E29" s="359"/>
      <c r="F29" s="359"/>
    </row>
    <row r="30" spans="1:6" s="126" customFormat="1" ht="30.75" customHeight="1">
      <c r="A30" s="158"/>
      <c r="B30" s="545" t="s">
        <v>84</v>
      </c>
      <c r="C30" s="546"/>
      <c r="D30" s="546"/>
      <c r="E30" s="546"/>
      <c r="F30" s="546"/>
    </row>
    <row r="31" spans="1:6" s="126" customFormat="1" ht="14">
      <c r="A31" s="158"/>
      <c r="B31" s="358"/>
      <c r="C31" s="359"/>
      <c r="D31" s="359"/>
      <c r="E31" s="359"/>
      <c r="F31" s="359"/>
    </row>
    <row r="32" spans="1:6" s="126" customFormat="1" ht="59.25" customHeight="1">
      <c r="A32" s="158"/>
      <c r="B32" s="545" t="s">
        <v>85</v>
      </c>
      <c r="C32" s="546"/>
      <c r="D32" s="546"/>
      <c r="E32" s="546"/>
      <c r="F32" s="546"/>
    </row>
    <row r="33" spans="1:6" s="126" customFormat="1" ht="14">
      <c r="A33" s="158"/>
      <c r="B33" s="358"/>
      <c r="C33" s="359"/>
      <c r="D33" s="359"/>
      <c r="E33" s="359"/>
      <c r="F33" s="359"/>
    </row>
    <row r="34" spans="1:6" s="126" customFormat="1" ht="28.5" customHeight="1">
      <c r="A34" s="158"/>
      <c r="B34" s="545" t="s">
        <v>86</v>
      </c>
      <c r="C34" s="547"/>
      <c r="D34" s="547"/>
      <c r="E34" s="547"/>
      <c r="F34" s="547"/>
    </row>
    <row r="35" spans="1:6" s="126" customFormat="1" ht="15" customHeight="1">
      <c r="A35" s="158"/>
      <c r="B35" s="358"/>
      <c r="C35" s="359"/>
      <c r="D35" s="359"/>
      <c r="E35" s="359"/>
      <c r="F35" s="359"/>
    </row>
    <row r="36" spans="1:6" s="126" customFormat="1" ht="56.25" customHeight="1">
      <c r="A36" s="158"/>
      <c r="B36" s="545" t="s">
        <v>87</v>
      </c>
      <c r="C36" s="547"/>
      <c r="D36" s="547"/>
      <c r="E36" s="547"/>
      <c r="F36" s="547"/>
    </row>
    <row r="37" spans="1:6" s="126" customFormat="1" ht="14">
      <c r="A37" s="158"/>
      <c r="B37" s="358"/>
      <c r="C37" s="360"/>
      <c r="D37" s="360"/>
      <c r="E37" s="360"/>
      <c r="F37" s="360"/>
    </row>
    <row r="38" spans="1:6" s="126" customFormat="1" ht="43.5" customHeight="1">
      <c r="A38" s="158"/>
      <c r="B38" s="545" t="s">
        <v>766</v>
      </c>
      <c r="C38" s="547"/>
      <c r="D38" s="547"/>
      <c r="E38" s="547"/>
      <c r="F38" s="547"/>
    </row>
    <row r="39" spans="1:6" s="126" customFormat="1" ht="14">
      <c r="A39" s="158"/>
      <c r="B39" s="358"/>
      <c r="C39" s="360"/>
      <c r="D39" s="360"/>
      <c r="E39" s="360"/>
      <c r="F39" s="360"/>
    </row>
    <row r="40" spans="1:6" s="126" customFormat="1" ht="27" customHeight="1">
      <c r="A40" s="158"/>
      <c r="B40" s="545" t="s">
        <v>88</v>
      </c>
      <c r="C40" s="547"/>
      <c r="D40" s="547"/>
      <c r="E40" s="547"/>
      <c r="F40" s="547"/>
    </row>
    <row r="41" spans="1:6" s="126" customFormat="1" ht="15" customHeight="1">
      <c r="A41" s="158"/>
      <c r="B41" s="358"/>
      <c r="C41" s="359"/>
      <c r="D41" s="359"/>
      <c r="E41" s="359"/>
      <c r="F41" s="359"/>
    </row>
    <row r="42" spans="1:6" s="126" customFormat="1" ht="51.75" customHeight="1">
      <c r="A42" s="158"/>
      <c r="B42" s="545" t="s">
        <v>89</v>
      </c>
      <c r="C42" s="546"/>
      <c r="D42" s="546"/>
      <c r="E42" s="546"/>
      <c r="F42" s="546"/>
    </row>
    <row r="43" spans="1:6" s="126" customFormat="1" ht="13.5" customHeight="1">
      <c r="A43" s="158"/>
      <c r="B43" s="358"/>
      <c r="C43" s="359"/>
      <c r="D43" s="359"/>
      <c r="E43" s="359"/>
      <c r="F43" s="359"/>
    </row>
    <row r="44" spans="1:6" s="126" customFormat="1" ht="27" customHeight="1">
      <c r="A44" s="158"/>
      <c r="B44" s="545" t="s">
        <v>90</v>
      </c>
      <c r="C44" s="546"/>
      <c r="D44" s="546"/>
      <c r="E44" s="546"/>
      <c r="F44" s="546"/>
    </row>
    <row r="45" spans="1:6" s="126" customFormat="1" ht="14">
      <c r="A45" s="158"/>
      <c r="B45" s="358"/>
      <c r="C45" s="359"/>
      <c r="D45" s="359"/>
      <c r="E45" s="359"/>
      <c r="F45" s="359"/>
    </row>
    <row r="46" spans="1:6" s="126" customFormat="1" ht="22.5" customHeight="1">
      <c r="A46" s="158"/>
      <c r="B46" s="545" t="s">
        <v>91</v>
      </c>
      <c r="C46" s="546"/>
      <c r="D46" s="546"/>
      <c r="E46" s="546"/>
      <c r="F46" s="546"/>
    </row>
    <row r="47" spans="1:6" s="126" customFormat="1" ht="12.75" customHeight="1">
      <c r="A47" s="158"/>
      <c r="B47" s="358"/>
      <c r="C47" s="359"/>
      <c r="D47" s="359"/>
      <c r="E47" s="359"/>
      <c r="F47" s="359"/>
    </row>
    <row r="48" spans="1:6" s="126" customFormat="1" ht="54" customHeight="1">
      <c r="A48" s="158"/>
      <c r="B48" s="545" t="s">
        <v>92</v>
      </c>
      <c r="C48" s="546"/>
      <c r="D48" s="546"/>
      <c r="E48" s="546"/>
      <c r="F48" s="546"/>
    </row>
    <row r="49" spans="1:6" s="126" customFormat="1" ht="14">
      <c r="A49" s="158"/>
      <c r="B49" s="358"/>
      <c r="C49" s="359"/>
      <c r="D49" s="359"/>
      <c r="E49" s="359"/>
      <c r="F49" s="359"/>
    </row>
    <row r="50" spans="1:6" s="126" customFormat="1" ht="117.75" customHeight="1">
      <c r="A50" s="158"/>
      <c r="B50" s="545" t="s">
        <v>93</v>
      </c>
      <c r="C50" s="546"/>
      <c r="D50" s="546"/>
      <c r="E50" s="546"/>
      <c r="F50" s="546"/>
    </row>
    <row r="51" spans="1:6" s="126" customFormat="1" ht="14">
      <c r="A51" s="158"/>
      <c r="B51" s="358"/>
      <c r="C51" s="359"/>
      <c r="D51" s="359"/>
      <c r="E51" s="359"/>
      <c r="F51" s="359"/>
    </row>
    <row r="52" spans="1:6" s="126" customFormat="1" ht="29.25" customHeight="1">
      <c r="A52" s="158"/>
      <c r="B52" s="545" t="s">
        <v>94</v>
      </c>
      <c r="C52" s="546"/>
      <c r="D52" s="546"/>
      <c r="E52" s="546"/>
      <c r="F52" s="546"/>
    </row>
    <row r="53" spans="1:6" s="126" customFormat="1" ht="14">
      <c r="A53" s="158"/>
      <c r="B53" s="358"/>
      <c r="C53" s="359"/>
      <c r="D53" s="359"/>
      <c r="E53" s="359"/>
      <c r="F53" s="359"/>
    </row>
    <row r="54" spans="1:6" s="126" customFormat="1" ht="30" customHeight="1">
      <c r="A54" s="158"/>
      <c r="B54" s="545" t="s">
        <v>95</v>
      </c>
      <c r="C54" s="546"/>
      <c r="D54" s="546"/>
      <c r="E54" s="546"/>
      <c r="F54" s="546"/>
    </row>
    <row r="55" spans="1:6" s="126" customFormat="1" ht="14">
      <c r="A55" s="158"/>
      <c r="B55" s="358"/>
      <c r="C55" s="359"/>
      <c r="D55" s="359"/>
      <c r="E55" s="359"/>
      <c r="F55" s="359"/>
    </row>
    <row r="56" spans="1:6" s="126" customFormat="1" ht="33" customHeight="1">
      <c r="A56" s="158"/>
      <c r="B56" s="545"/>
      <c r="C56" s="546"/>
      <c r="D56" s="546"/>
      <c r="E56" s="546"/>
      <c r="F56" s="546"/>
    </row>
    <row r="57" spans="1:6">
      <c r="B57" s="191"/>
      <c r="C57" s="191"/>
      <c r="D57" s="191"/>
      <c r="E57" s="191"/>
      <c r="F57" s="191"/>
    </row>
    <row r="58" spans="1:6">
      <c r="B58" s="191"/>
      <c r="C58" s="191"/>
      <c r="D58" s="191"/>
      <c r="E58" s="191"/>
      <c r="F58" s="191"/>
    </row>
    <row r="59" spans="1:6">
      <c r="B59" s="191"/>
      <c r="C59" s="191"/>
      <c r="D59" s="191"/>
      <c r="E59" s="191"/>
      <c r="F59" s="191"/>
    </row>
    <row r="60" spans="1:6">
      <c r="B60" s="191"/>
      <c r="C60" s="191"/>
      <c r="D60" s="191"/>
      <c r="E60" s="191"/>
      <c r="F60" s="191"/>
    </row>
    <row r="61" spans="1:6">
      <c r="B61" s="191"/>
      <c r="C61" s="191"/>
      <c r="D61" s="191"/>
      <c r="E61" s="191"/>
      <c r="F61" s="191"/>
    </row>
    <row r="62" spans="1:6">
      <c r="B62" s="191"/>
      <c r="C62" s="191"/>
      <c r="D62" s="191"/>
      <c r="E62" s="191"/>
      <c r="F62" s="191"/>
    </row>
    <row r="63" spans="1:6">
      <c r="B63" s="191"/>
      <c r="C63" s="191"/>
      <c r="D63" s="191"/>
      <c r="E63" s="191"/>
      <c r="F63" s="191"/>
    </row>
  </sheetData>
  <sheetProtection algorithmName="SHA-512" hashValue="uhfAa+Qn/aWYwNxy4jDpOukbIsXxYMpsprSbjHMxFZhGrNZ9MreiFZoFp/ktd6hIKbQ/vEybG208YQ5yFSAMRQ==" saltValue="oON78w8VFDeU85nJtYykQA==" spinCount="100000" sheet="1" objects="1" scenarios="1"/>
  <mergeCells count="25">
    <mergeCell ref="B22:F22"/>
    <mergeCell ref="B20:F20"/>
    <mergeCell ref="B7:F7"/>
    <mergeCell ref="B9:F9"/>
    <mergeCell ref="B11:F11"/>
    <mergeCell ref="B13:F13"/>
    <mergeCell ref="B15:F15"/>
    <mergeCell ref="B17:F17"/>
    <mergeCell ref="B24:F24"/>
    <mergeCell ref="B26:F26"/>
    <mergeCell ref="B28:F28"/>
    <mergeCell ref="B30:F30"/>
    <mergeCell ref="B32:F32"/>
    <mergeCell ref="B38:F38"/>
    <mergeCell ref="B34:F34"/>
    <mergeCell ref="B36:F36"/>
    <mergeCell ref="B40:F40"/>
    <mergeCell ref="B54:F54"/>
    <mergeCell ref="B56:F56"/>
    <mergeCell ref="B42:F42"/>
    <mergeCell ref="B44:F44"/>
    <mergeCell ref="B46:F46"/>
    <mergeCell ref="B48:F48"/>
    <mergeCell ref="B50:F50"/>
    <mergeCell ref="B52:F52"/>
  </mergeCells>
  <phoneticPr fontId="28" type="noConversion"/>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2" manualBreakCount="2">
    <brk id="19" max="5" man="1"/>
    <brk id="34"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H72"/>
  <sheetViews>
    <sheetView view="pageBreakPreview" topLeftCell="A57" zoomScale="106" zoomScaleNormal="100" zoomScaleSheetLayoutView="106" workbookViewId="0">
      <selection activeCell="D62" sqref="D62:E62"/>
    </sheetView>
  </sheetViews>
  <sheetFormatPr defaultColWidth="9.26953125" defaultRowHeight="11.5"/>
  <cols>
    <col min="1" max="1" width="5.54296875" style="194" customWidth="1"/>
    <col min="2" max="2" width="42.54296875" style="194" customWidth="1"/>
    <col min="3" max="3" width="7.453125" style="239" bestFit="1" customWidth="1"/>
    <col min="4" max="4" width="7.1796875" style="240" bestFit="1" customWidth="1"/>
    <col min="5" max="5" width="8.7265625" style="240" bestFit="1" customWidth="1"/>
    <col min="6" max="6" width="8.81640625" style="195" bestFit="1" customWidth="1"/>
    <col min="7" max="7" width="8.1796875" style="195" customWidth="1"/>
    <col min="8" max="8" width="36.54296875" style="209" customWidth="1"/>
    <col min="9" max="16384" width="9.26953125" style="194"/>
  </cols>
  <sheetData>
    <row r="1" spans="1:8">
      <c r="A1" s="216"/>
      <c r="B1" s="216"/>
      <c r="C1" s="224"/>
      <c r="D1" s="225"/>
      <c r="E1" s="225"/>
      <c r="F1" s="226"/>
    </row>
    <row r="2" spans="1:8" ht="12">
      <c r="A2" s="551" t="s">
        <v>706</v>
      </c>
      <c r="B2" s="552"/>
      <c r="C2" s="552"/>
      <c r="D2" s="552"/>
      <c r="E2" s="552"/>
      <c r="F2" s="553"/>
      <c r="G2" s="227"/>
    </row>
    <row r="3" spans="1:8" ht="12">
      <c r="A3" s="555" t="s">
        <v>97</v>
      </c>
      <c r="B3" s="555"/>
      <c r="C3" s="555"/>
      <c r="D3" s="555"/>
      <c r="E3" s="555"/>
      <c r="F3" s="555"/>
    </row>
    <row r="4" spans="1:8" ht="12">
      <c r="A4" s="112" t="s">
        <v>98</v>
      </c>
      <c r="B4" s="112" t="s">
        <v>99</v>
      </c>
      <c r="C4" s="112" t="s">
        <v>100</v>
      </c>
      <c r="D4" s="228" t="s">
        <v>101</v>
      </c>
      <c r="E4" s="228" t="s">
        <v>102</v>
      </c>
      <c r="F4" s="229" t="s">
        <v>103</v>
      </c>
      <c r="G4" s="230"/>
    </row>
    <row r="5" spans="1:8" ht="12">
      <c r="A5" s="101"/>
      <c r="B5" s="101"/>
      <c r="C5" s="101"/>
      <c r="D5" s="217"/>
      <c r="E5" s="217"/>
      <c r="F5" s="231"/>
      <c r="G5" s="230"/>
    </row>
    <row r="6" spans="1:8" ht="18.5">
      <c r="A6" s="213" t="s">
        <v>33</v>
      </c>
      <c r="B6" s="214" t="s">
        <v>34</v>
      </c>
      <c r="C6" s="117"/>
      <c r="D6" s="105"/>
      <c r="E6" s="105"/>
      <c r="F6" s="201"/>
    </row>
    <row r="7" spans="1:8" ht="12">
      <c r="A7" s="115"/>
      <c r="B7" s="115"/>
      <c r="C7" s="117"/>
      <c r="D7" s="105"/>
      <c r="E7" s="105"/>
      <c r="F7" s="201"/>
    </row>
    <row r="8" spans="1:8" ht="12">
      <c r="A8" s="115"/>
      <c r="B8" s="115"/>
      <c r="C8" s="117"/>
      <c r="D8" s="105"/>
      <c r="E8" s="105"/>
      <c r="F8" s="201"/>
    </row>
    <row r="9" spans="1:8" ht="13.5" thickBot="1">
      <c r="A9" s="232" t="s">
        <v>104</v>
      </c>
      <c r="B9" s="554" t="s">
        <v>105</v>
      </c>
      <c r="C9" s="554"/>
      <c r="D9" s="554"/>
      <c r="E9" s="554"/>
      <c r="F9" s="554"/>
      <c r="G9" s="233"/>
    </row>
    <row r="10" spans="1:8" ht="14.25" customHeight="1">
      <c r="A10" s="115"/>
      <c r="B10" s="116"/>
      <c r="C10" s="117"/>
      <c r="D10" s="105"/>
      <c r="E10" s="103"/>
      <c r="F10" s="234"/>
      <c r="G10" s="235"/>
    </row>
    <row r="11" spans="1:8" ht="12">
      <c r="A11" s="326" t="s">
        <v>106</v>
      </c>
      <c r="B11" s="327"/>
      <c r="C11" s="328"/>
      <c r="D11" s="324"/>
      <c r="E11" s="324"/>
      <c r="F11" s="204"/>
      <c r="G11" s="329"/>
    </row>
    <row r="12" spans="1:8" ht="12">
      <c r="A12" s="326"/>
      <c r="B12" s="327"/>
      <c r="C12" s="328"/>
      <c r="D12" s="324"/>
      <c r="E12" s="324"/>
      <c r="F12" s="204"/>
      <c r="G12" s="329"/>
    </row>
    <row r="13" spans="1:8" ht="12">
      <c r="A13" s="326"/>
      <c r="B13" s="326" t="s">
        <v>107</v>
      </c>
      <c r="C13" s="328"/>
      <c r="D13" s="324"/>
      <c r="E13" s="324"/>
      <c r="F13" s="204"/>
      <c r="G13" s="329"/>
    </row>
    <row r="14" spans="1:8" ht="12">
      <c r="A14" s="326"/>
      <c r="B14" s="326"/>
      <c r="C14" s="328"/>
      <c r="D14" s="324"/>
      <c r="E14" s="324"/>
      <c r="F14" s="204"/>
      <c r="G14" s="329"/>
    </row>
    <row r="15" spans="1:8" ht="40.75" customHeight="1">
      <c r="A15" s="556" t="s">
        <v>108</v>
      </c>
      <c r="B15" s="558"/>
      <c r="C15" s="558"/>
      <c r="D15" s="558"/>
      <c r="E15" s="558"/>
      <c r="F15" s="329"/>
      <c r="G15" s="209"/>
      <c r="H15" s="194"/>
    </row>
    <row r="16" spans="1:8" ht="13.15" customHeight="1">
      <c r="A16" s="107"/>
      <c r="B16" s="294"/>
      <c r="C16" s="294"/>
      <c r="D16" s="330"/>
      <c r="E16" s="294"/>
      <c r="F16" s="329"/>
      <c r="G16" s="209"/>
      <c r="H16" s="194"/>
    </row>
    <row r="17" spans="1:7" s="194" customFormat="1" ht="63.75" customHeight="1">
      <c r="A17" s="556" t="s">
        <v>768</v>
      </c>
      <c r="B17" s="556"/>
      <c r="C17" s="556"/>
      <c r="D17" s="556"/>
      <c r="E17" s="556"/>
      <c r="F17" s="329"/>
      <c r="G17" s="209"/>
    </row>
    <row r="18" spans="1:7" s="194" customFormat="1" ht="12.4" customHeight="1">
      <c r="A18" s="107"/>
      <c r="B18" s="107"/>
      <c r="C18" s="107"/>
      <c r="D18" s="331"/>
      <c r="E18" s="107"/>
      <c r="F18" s="329"/>
      <c r="G18" s="209"/>
    </row>
    <row r="19" spans="1:7" s="194" customFormat="1" ht="194.25" customHeight="1">
      <c r="A19" s="556" t="s">
        <v>109</v>
      </c>
      <c r="B19" s="556"/>
      <c r="C19" s="556"/>
      <c r="D19" s="556"/>
      <c r="E19" s="556"/>
      <c r="F19" s="329"/>
      <c r="G19" s="209"/>
    </row>
    <row r="20" spans="1:7" s="194" customFormat="1" ht="12.4" customHeight="1">
      <c r="A20" s="107"/>
      <c r="B20" s="107"/>
      <c r="C20" s="107"/>
      <c r="D20" s="331"/>
      <c r="E20" s="107"/>
      <c r="F20" s="329"/>
      <c r="G20" s="209"/>
    </row>
    <row r="21" spans="1:7" s="194" customFormat="1" ht="51.75" customHeight="1">
      <c r="A21" s="557" t="s">
        <v>110</v>
      </c>
      <c r="B21" s="557"/>
      <c r="C21" s="557"/>
      <c r="D21" s="557"/>
      <c r="E21" s="557"/>
      <c r="F21" s="329"/>
      <c r="G21" s="209"/>
    </row>
    <row r="22" spans="1:7" s="194" customFormat="1" ht="12">
      <c r="A22" s="362"/>
      <c r="B22" s="362"/>
      <c r="C22" s="362"/>
      <c r="D22" s="383"/>
      <c r="E22" s="362"/>
      <c r="F22" s="329"/>
      <c r="G22" s="209"/>
    </row>
    <row r="23" spans="1:7" s="194" customFormat="1" ht="12" customHeight="1">
      <c r="A23" s="326" t="s">
        <v>111</v>
      </c>
      <c r="B23" s="362"/>
      <c r="C23" s="362"/>
      <c r="D23" s="383"/>
      <c r="E23" s="362"/>
      <c r="F23" s="329"/>
      <c r="G23" s="209"/>
    </row>
    <row r="24" spans="1:7" s="194" customFormat="1" ht="12">
      <c r="A24" s="362"/>
      <c r="B24" s="362"/>
      <c r="C24" s="362"/>
      <c r="D24" s="383"/>
      <c r="E24" s="362"/>
      <c r="F24" s="329"/>
      <c r="G24" s="209"/>
    </row>
    <row r="25" spans="1:7" s="194" customFormat="1" ht="65.25" customHeight="1">
      <c r="A25" s="557" t="s">
        <v>769</v>
      </c>
      <c r="B25" s="557"/>
      <c r="C25" s="557"/>
      <c r="D25" s="557"/>
      <c r="E25" s="557"/>
      <c r="F25" s="329"/>
      <c r="G25" s="209"/>
    </row>
    <row r="26" spans="1:7" s="194" customFormat="1" ht="14.65" customHeight="1">
      <c r="A26" s="110"/>
      <c r="B26" s="110"/>
      <c r="C26" s="110"/>
      <c r="D26" s="384"/>
      <c r="E26" s="110"/>
      <c r="F26" s="329"/>
      <c r="G26" s="209"/>
    </row>
    <row r="27" spans="1:7" s="194" customFormat="1" ht="66" customHeight="1">
      <c r="A27" s="557" t="s">
        <v>112</v>
      </c>
      <c r="B27" s="557"/>
      <c r="C27" s="557"/>
      <c r="D27" s="557"/>
      <c r="E27" s="557"/>
      <c r="F27" s="329"/>
      <c r="G27" s="209"/>
    </row>
    <row r="28" spans="1:7" s="194" customFormat="1" ht="15.4" customHeight="1">
      <c r="A28" s="110"/>
      <c r="B28" s="110"/>
      <c r="C28" s="110"/>
      <c r="D28" s="384"/>
      <c r="E28" s="110"/>
      <c r="F28" s="329"/>
      <c r="G28" s="209"/>
    </row>
    <row r="29" spans="1:7" s="194" customFormat="1" ht="79.5" customHeight="1">
      <c r="A29" s="557" t="s">
        <v>113</v>
      </c>
      <c r="B29" s="557"/>
      <c r="C29" s="557"/>
      <c r="D29" s="557"/>
      <c r="E29" s="557"/>
      <c r="F29" s="329"/>
      <c r="G29" s="209"/>
    </row>
    <row r="30" spans="1:7" s="194" customFormat="1" ht="13.9" customHeight="1">
      <c r="A30" s="110"/>
      <c r="B30" s="110"/>
      <c r="C30" s="110"/>
      <c r="D30" s="384"/>
      <c r="E30" s="110"/>
      <c r="F30" s="329"/>
      <c r="G30" s="209"/>
    </row>
    <row r="31" spans="1:7" s="194" customFormat="1" ht="90" customHeight="1">
      <c r="A31" s="557" t="s">
        <v>114</v>
      </c>
      <c r="B31" s="557"/>
      <c r="C31" s="557"/>
      <c r="D31" s="557"/>
      <c r="E31" s="557"/>
      <c r="F31" s="329"/>
      <c r="G31" s="209"/>
    </row>
    <row r="32" spans="1:7" s="194" customFormat="1" ht="14.65" customHeight="1">
      <c r="A32" s="110"/>
      <c r="B32" s="110"/>
      <c r="C32" s="110"/>
      <c r="D32" s="384"/>
      <c r="E32" s="110"/>
      <c r="F32" s="329"/>
      <c r="G32" s="209"/>
    </row>
    <row r="33" spans="1:8" ht="30.75" customHeight="1">
      <c r="A33" s="557" t="s">
        <v>115</v>
      </c>
      <c r="B33" s="557"/>
      <c r="C33" s="557"/>
      <c r="D33" s="557"/>
      <c r="E33" s="557"/>
      <c r="F33" s="329"/>
      <c r="G33" s="209"/>
      <c r="H33" s="194"/>
    </row>
    <row r="34" spans="1:8" ht="10.5" customHeight="1">
      <c r="A34" s="110"/>
      <c r="B34" s="110"/>
      <c r="C34" s="110"/>
      <c r="D34" s="384"/>
      <c r="E34" s="110"/>
      <c r="F34" s="329"/>
      <c r="G34" s="209"/>
      <c r="H34" s="194"/>
    </row>
    <row r="35" spans="1:8" ht="67.5" customHeight="1">
      <c r="A35" s="557" t="s">
        <v>116</v>
      </c>
      <c r="B35" s="557"/>
      <c r="C35" s="557"/>
      <c r="D35" s="557"/>
      <c r="E35" s="557"/>
      <c r="F35" s="329"/>
      <c r="G35" s="209"/>
      <c r="H35" s="194"/>
    </row>
    <row r="36" spans="1:8" ht="201" customHeight="1">
      <c r="A36" s="556" t="s">
        <v>117</v>
      </c>
      <c r="B36" s="559"/>
      <c r="C36" s="559"/>
      <c r="D36" s="559"/>
      <c r="E36" s="559"/>
      <c r="F36" s="329"/>
      <c r="G36" s="209"/>
      <c r="H36" s="194"/>
    </row>
    <row r="37" spans="1:8" ht="13.75" customHeight="1">
      <c r="A37" s="107"/>
      <c r="B37" s="236"/>
      <c r="C37" s="236"/>
      <c r="D37" s="378"/>
      <c r="E37" s="236"/>
      <c r="F37" s="329"/>
      <c r="G37" s="209"/>
      <c r="H37" s="194"/>
    </row>
    <row r="38" spans="1:8" ht="90.75" customHeight="1">
      <c r="A38" s="557" t="s">
        <v>118</v>
      </c>
      <c r="B38" s="557"/>
      <c r="C38" s="557"/>
      <c r="D38" s="557"/>
      <c r="E38" s="557"/>
      <c r="F38" s="329"/>
      <c r="G38" s="209"/>
      <c r="H38" s="194"/>
    </row>
    <row r="39" spans="1:8" ht="15" customHeight="1">
      <c r="A39" s="107"/>
      <c r="B39" s="107"/>
      <c r="C39" s="107"/>
      <c r="D39" s="217"/>
      <c r="E39" s="217"/>
      <c r="F39" s="204"/>
      <c r="G39" s="329"/>
    </row>
    <row r="40" spans="1:8" ht="16.5" customHeight="1">
      <c r="A40" s="115" t="s">
        <v>119</v>
      </c>
      <c r="B40" s="211" t="s">
        <v>120</v>
      </c>
      <c r="C40" s="108"/>
      <c r="D40" s="105"/>
      <c r="E40" s="104"/>
      <c r="F40" s="201"/>
    </row>
    <row r="41" spans="1:8" ht="98.5" customHeight="1">
      <c r="A41" s="110"/>
      <c r="B41" s="219" t="s">
        <v>509</v>
      </c>
      <c r="C41" s="108" t="s">
        <v>121</v>
      </c>
      <c r="D41" s="105">
        <v>800</v>
      </c>
      <c r="E41" s="104"/>
      <c r="F41" s="78">
        <f>ROUND(D41*E41,2)</f>
        <v>0</v>
      </c>
    </row>
    <row r="42" spans="1:8" ht="13.5" customHeight="1">
      <c r="A42" s="110"/>
      <c r="B42" s="210"/>
      <c r="C42" s="108"/>
      <c r="D42" s="105"/>
      <c r="E42" s="104"/>
      <c r="F42" s="78"/>
      <c r="H42" s="194"/>
    </row>
    <row r="43" spans="1:8" ht="13.5" customHeight="1">
      <c r="A43" s="222" t="s">
        <v>122</v>
      </c>
      <c r="B43" s="211" t="s">
        <v>123</v>
      </c>
      <c r="C43" s="108"/>
      <c r="D43" s="105"/>
      <c r="E43" s="104"/>
      <c r="F43" s="78"/>
    </row>
    <row r="44" spans="1:8" ht="287.5" customHeight="1">
      <c r="A44" s="110"/>
      <c r="B44" s="219" t="s">
        <v>124</v>
      </c>
      <c r="C44" s="108"/>
      <c r="D44" s="105"/>
      <c r="E44" s="104"/>
      <c r="F44" s="78"/>
    </row>
    <row r="45" spans="1:8" ht="27.65" customHeight="1">
      <c r="A45" s="219"/>
      <c r="B45" s="219" t="s">
        <v>125</v>
      </c>
      <c r="C45" s="108"/>
      <c r="D45" s="105"/>
      <c r="E45" s="104"/>
      <c r="F45" s="78"/>
    </row>
    <row r="46" spans="1:8" ht="12">
      <c r="A46" s="115"/>
      <c r="B46" s="210"/>
      <c r="C46" s="86" t="s">
        <v>126</v>
      </c>
      <c r="D46" s="105">
        <v>1</v>
      </c>
      <c r="E46" s="104"/>
      <c r="F46" s="78">
        <f t="shared" ref="F46:F68" si="0">ROUND(D46*E46,2)</f>
        <v>0</v>
      </c>
    </row>
    <row r="47" spans="1:8" ht="12">
      <c r="A47" s="115"/>
      <c r="B47" s="210"/>
      <c r="C47" s="86"/>
      <c r="D47" s="105"/>
      <c r="E47" s="104"/>
      <c r="F47" s="78"/>
    </row>
    <row r="48" spans="1:8" ht="12">
      <c r="A48" s="107" t="s">
        <v>127</v>
      </c>
      <c r="B48" s="137" t="s">
        <v>128</v>
      </c>
      <c r="C48" s="86"/>
      <c r="D48" s="105"/>
      <c r="E48" s="104"/>
      <c r="F48" s="78"/>
    </row>
    <row r="49" spans="1:8" ht="152.5" customHeight="1">
      <c r="A49" s="106"/>
      <c r="B49" s="219" t="s">
        <v>129</v>
      </c>
      <c r="C49" s="86"/>
      <c r="D49" s="105"/>
      <c r="E49" s="104"/>
      <c r="F49" s="78"/>
    </row>
    <row r="50" spans="1:8" ht="13.9" customHeight="1">
      <c r="A50" s="196"/>
      <c r="B50" s="192" t="s">
        <v>130</v>
      </c>
      <c r="C50" s="108" t="s">
        <v>121</v>
      </c>
      <c r="D50" s="105">
        <v>3300</v>
      </c>
      <c r="E50" s="104"/>
      <c r="F50" s="78">
        <f t="shared" si="0"/>
        <v>0</v>
      </c>
    </row>
    <row r="51" spans="1:8" ht="13.9" customHeight="1">
      <c r="A51" s="196"/>
      <c r="B51" s="192"/>
      <c r="C51" s="108"/>
      <c r="D51" s="105"/>
      <c r="E51" s="104"/>
      <c r="F51" s="78"/>
    </row>
    <row r="52" spans="1:8" ht="20.25" customHeight="1">
      <c r="A52" s="220" t="s">
        <v>131</v>
      </c>
      <c r="B52" s="137" t="s">
        <v>132</v>
      </c>
      <c r="C52" s="108"/>
      <c r="D52" s="104"/>
      <c r="E52" s="104"/>
      <c r="F52" s="78"/>
    </row>
    <row r="53" spans="1:8" s="126" customFormat="1" ht="288">
      <c r="A53" s="110"/>
      <c r="B53" s="110" t="s">
        <v>525</v>
      </c>
      <c r="C53" s="108" t="s">
        <v>121</v>
      </c>
      <c r="D53" s="105">
        <v>5100</v>
      </c>
      <c r="E53" s="104"/>
      <c r="F53" s="78">
        <f t="shared" si="0"/>
        <v>0</v>
      </c>
      <c r="G53" s="221"/>
      <c r="H53" s="317"/>
    </row>
    <row r="54" spans="1:8" s="1" customFormat="1" ht="12.65" customHeight="1">
      <c r="A54" s="198"/>
      <c r="B54" s="107"/>
      <c r="C54" s="108"/>
      <c r="D54" s="105"/>
      <c r="E54" s="104"/>
      <c r="F54" s="78"/>
      <c r="H54" s="209"/>
    </row>
    <row r="55" spans="1:8" ht="24">
      <c r="A55" s="220" t="s">
        <v>133</v>
      </c>
      <c r="B55" s="237" t="s">
        <v>134</v>
      </c>
      <c r="C55" s="86"/>
      <c r="D55" s="105"/>
      <c r="E55" s="104"/>
      <c r="F55" s="78"/>
    </row>
    <row r="56" spans="1:8" ht="174.75" customHeight="1">
      <c r="A56" s="110"/>
      <c r="B56" s="219" t="s">
        <v>510</v>
      </c>
      <c r="C56" s="117"/>
      <c r="D56" s="105"/>
      <c r="E56" s="104"/>
      <c r="F56" s="78"/>
      <c r="H56" s="238"/>
    </row>
    <row r="57" spans="1:8" s="216" customFormat="1" ht="12">
      <c r="A57" s="110"/>
      <c r="B57" s="421" t="s">
        <v>735</v>
      </c>
      <c r="C57" s="422" t="s">
        <v>135</v>
      </c>
      <c r="D57" s="105">
        <v>11</v>
      </c>
      <c r="E57" s="104"/>
      <c r="F57" s="78">
        <f t="shared" si="0"/>
        <v>0</v>
      </c>
      <c r="G57" s="105"/>
      <c r="H57" s="215"/>
    </row>
    <row r="58" spans="1:8" s="216" customFormat="1" ht="12">
      <c r="A58" s="110"/>
      <c r="B58" s="421" t="s">
        <v>736</v>
      </c>
      <c r="C58" s="422" t="s">
        <v>135</v>
      </c>
      <c r="D58" s="105">
        <v>4</v>
      </c>
      <c r="E58" s="104"/>
      <c r="F58" s="78">
        <f t="shared" si="0"/>
        <v>0</v>
      </c>
      <c r="G58" s="105"/>
      <c r="H58" s="215"/>
    </row>
    <row r="59" spans="1:8" s="216" customFormat="1" ht="12">
      <c r="A59" s="110"/>
      <c r="B59" s="421" t="s">
        <v>737</v>
      </c>
      <c r="C59" s="422" t="s">
        <v>135</v>
      </c>
      <c r="D59" s="105">
        <v>3</v>
      </c>
      <c r="E59" s="104"/>
      <c r="F59" s="78">
        <f t="shared" si="0"/>
        <v>0</v>
      </c>
      <c r="G59" s="105"/>
      <c r="H59" s="215"/>
    </row>
    <row r="60" spans="1:8" s="216" customFormat="1" ht="12">
      <c r="A60" s="110"/>
      <c r="B60" s="421" t="s">
        <v>738</v>
      </c>
      <c r="C60" s="422" t="s">
        <v>135</v>
      </c>
      <c r="D60" s="105">
        <v>3</v>
      </c>
      <c r="E60" s="104"/>
      <c r="F60" s="78">
        <f t="shared" si="0"/>
        <v>0</v>
      </c>
      <c r="G60" s="105"/>
      <c r="H60" s="215"/>
    </row>
    <row r="61" spans="1:8" s="216" customFormat="1" ht="12">
      <c r="A61" s="110"/>
      <c r="B61" s="421" t="s">
        <v>739</v>
      </c>
      <c r="C61" s="422" t="s">
        <v>135</v>
      </c>
      <c r="D61" s="105">
        <v>3</v>
      </c>
      <c r="E61" s="104"/>
      <c r="F61" s="78">
        <f t="shared" si="0"/>
        <v>0</v>
      </c>
      <c r="G61" s="105"/>
      <c r="H61" s="215"/>
    </row>
    <row r="62" spans="1:8" s="216" customFormat="1" ht="12">
      <c r="A62" s="110"/>
      <c r="B62" s="421" t="s">
        <v>740</v>
      </c>
      <c r="C62" s="422" t="s">
        <v>135</v>
      </c>
      <c r="D62" s="105">
        <v>1</v>
      </c>
      <c r="E62" s="104"/>
      <c r="F62" s="78">
        <f t="shared" si="0"/>
        <v>0</v>
      </c>
      <c r="G62" s="105"/>
      <c r="H62" s="215"/>
    </row>
    <row r="63" spans="1:8" s="216" customFormat="1" ht="12">
      <c r="A63" s="110"/>
      <c r="B63" s="421" t="s">
        <v>741</v>
      </c>
      <c r="C63" s="422" t="s">
        <v>135</v>
      </c>
      <c r="D63" s="105">
        <v>2</v>
      </c>
      <c r="E63" s="104"/>
      <c r="F63" s="78">
        <f t="shared" si="0"/>
        <v>0</v>
      </c>
      <c r="G63" s="105"/>
      <c r="H63" s="215"/>
    </row>
    <row r="64" spans="1:8" s="216" customFormat="1" ht="12">
      <c r="A64" s="110"/>
      <c r="B64" s="421" t="s">
        <v>742</v>
      </c>
      <c r="C64" s="422" t="s">
        <v>135</v>
      </c>
      <c r="D64" s="105">
        <v>3</v>
      </c>
      <c r="E64" s="104"/>
      <c r="F64" s="78">
        <f t="shared" si="0"/>
        <v>0</v>
      </c>
      <c r="G64" s="105"/>
      <c r="H64" s="215"/>
    </row>
    <row r="65" spans="1:8" s="216" customFormat="1" ht="12">
      <c r="A65" s="110"/>
      <c r="B65" s="421" t="s">
        <v>770</v>
      </c>
      <c r="C65" s="422" t="s">
        <v>135</v>
      </c>
      <c r="D65" s="105">
        <v>3</v>
      </c>
      <c r="E65" s="104"/>
      <c r="F65" s="78">
        <f t="shared" si="0"/>
        <v>0</v>
      </c>
      <c r="G65" s="105"/>
      <c r="H65" s="215"/>
    </row>
    <row r="66" spans="1:8" s="216" customFormat="1" ht="12">
      <c r="A66" s="110"/>
      <c r="B66" s="421" t="s">
        <v>743</v>
      </c>
      <c r="C66" s="422" t="s">
        <v>135</v>
      </c>
      <c r="D66" s="105">
        <v>35</v>
      </c>
      <c r="E66" s="104"/>
      <c r="F66" s="78">
        <f t="shared" si="0"/>
        <v>0</v>
      </c>
      <c r="G66" s="105"/>
      <c r="H66" s="215"/>
    </row>
    <row r="67" spans="1:8" s="216" customFormat="1" ht="12">
      <c r="A67" s="110"/>
      <c r="B67" s="421" t="s">
        <v>744</v>
      </c>
      <c r="C67" s="422" t="s">
        <v>135</v>
      </c>
      <c r="D67" s="105">
        <v>5</v>
      </c>
      <c r="E67" s="104"/>
      <c r="F67" s="78">
        <f t="shared" si="0"/>
        <v>0</v>
      </c>
      <c r="G67" s="105"/>
      <c r="H67" s="215"/>
    </row>
    <row r="68" spans="1:8" s="216" customFormat="1" ht="12">
      <c r="A68" s="110"/>
      <c r="B68" s="421" t="s">
        <v>771</v>
      </c>
      <c r="C68" s="422" t="s">
        <v>135</v>
      </c>
      <c r="D68" s="105">
        <v>1</v>
      </c>
      <c r="E68" s="104"/>
      <c r="F68" s="78">
        <f t="shared" si="0"/>
        <v>0</v>
      </c>
      <c r="G68" s="105"/>
      <c r="H68" s="215"/>
    </row>
    <row r="69" spans="1:8" ht="12">
      <c r="C69" s="288"/>
      <c r="D69" s="289"/>
      <c r="E69" s="289"/>
      <c r="F69" s="223">
        <f>SUM(F57:F68)</f>
        <v>0</v>
      </c>
      <c r="G69" s="194"/>
      <c r="H69" s="194"/>
    </row>
    <row r="70" spans="1:8" ht="12.5" thickBot="1">
      <c r="F70" s="338"/>
      <c r="G70" s="194"/>
      <c r="H70" s="194"/>
    </row>
    <row r="71" spans="1:8" ht="24.5" thickBot="1">
      <c r="A71" s="241" t="s">
        <v>104</v>
      </c>
      <c r="B71" s="403" t="s">
        <v>136</v>
      </c>
      <c r="C71" s="243"/>
      <c r="D71" s="244"/>
      <c r="E71" s="245" t="s">
        <v>507</v>
      </c>
      <c r="F71" s="159">
        <f>SUM(F41+F46+F50+F53+F69)</f>
        <v>0</v>
      </c>
      <c r="G71" s="194"/>
      <c r="H71" s="194"/>
    </row>
    <row r="72" spans="1:8">
      <c r="C72" s="194"/>
      <c r="D72" s="195"/>
      <c r="E72" s="194"/>
      <c r="F72" s="194"/>
    </row>
  </sheetData>
  <sheetProtection algorithmName="SHA-512" hashValue="9MwFBdTKUIfieMBJTiN3BhLWkW8dN1mkGLzrSW45YzrsKgf9mt/dUleHXpKJO002f1mP7W+riD4w3zur180hVg==" saltValue="YSt+OIHIvRqA0eLt6U4Uyg==" spinCount="100000" sheet="1" objects="1" scenarios="1"/>
  <mergeCells count="15">
    <mergeCell ref="A35:E35"/>
    <mergeCell ref="A36:E36"/>
    <mergeCell ref="A38:E38"/>
    <mergeCell ref="A19:E19"/>
    <mergeCell ref="A21:E21"/>
    <mergeCell ref="A25:E25"/>
    <mergeCell ref="A27:E27"/>
    <mergeCell ref="A29:E29"/>
    <mergeCell ref="A31:E31"/>
    <mergeCell ref="A2:F2"/>
    <mergeCell ref="B9:F9"/>
    <mergeCell ref="A3:F3"/>
    <mergeCell ref="A17:E17"/>
    <mergeCell ref="A33:E33"/>
    <mergeCell ref="A15:E15"/>
  </mergeCells>
  <phoneticPr fontId="28" type="noConversion"/>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2" manualBreakCount="2">
    <brk id="47" max="5" man="1"/>
    <brk id="54" max="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35"/>
  <sheetViews>
    <sheetView view="pageBreakPreview" topLeftCell="A11" zoomScaleNormal="100" zoomScaleSheetLayoutView="100" workbookViewId="0">
      <selection activeCell="B19" sqref="B19"/>
    </sheetView>
  </sheetViews>
  <sheetFormatPr defaultColWidth="9.26953125" defaultRowHeight="11.5"/>
  <cols>
    <col min="1" max="1" width="5.54296875" style="194" customWidth="1"/>
    <col min="2" max="2" width="42.26953125" style="194" customWidth="1"/>
    <col min="3" max="3" width="7.54296875" style="239" customWidth="1"/>
    <col min="4" max="5" width="10.54296875" style="240" customWidth="1"/>
    <col min="6" max="6" width="10.54296875" style="195" customWidth="1"/>
    <col min="7" max="7" width="5.54296875" style="195" customWidth="1"/>
    <col min="8" max="8" width="36.54296875" style="209" customWidth="1"/>
    <col min="9" max="16384" width="9.26953125" style="194"/>
  </cols>
  <sheetData>
    <row r="1" spans="1:8">
      <c r="A1" s="216"/>
      <c r="B1" s="216"/>
      <c r="C1" s="224"/>
      <c r="D1" s="225"/>
      <c r="E1" s="225"/>
      <c r="F1" s="226"/>
    </row>
    <row r="2" spans="1:8" ht="12">
      <c r="A2" s="551" t="s">
        <v>706</v>
      </c>
      <c r="B2" s="552"/>
      <c r="C2" s="552"/>
      <c r="D2" s="552"/>
      <c r="E2" s="552"/>
      <c r="F2" s="553"/>
      <c r="G2" s="227"/>
    </row>
    <row r="3" spans="1:8" ht="12">
      <c r="A3" s="555" t="s">
        <v>137</v>
      </c>
      <c r="B3" s="555"/>
      <c r="C3" s="555"/>
      <c r="D3" s="555"/>
      <c r="E3" s="555"/>
      <c r="F3" s="555"/>
    </row>
    <row r="4" spans="1:8" ht="12">
      <c r="A4" s="112" t="s">
        <v>98</v>
      </c>
      <c r="B4" s="112" t="s">
        <v>99</v>
      </c>
      <c r="C4" s="112" t="s">
        <v>100</v>
      </c>
      <c r="D4" s="228" t="s">
        <v>101</v>
      </c>
      <c r="E4" s="228" t="s">
        <v>102</v>
      </c>
      <c r="F4" s="229" t="s">
        <v>103</v>
      </c>
      <c r="G4" s="230"/>
    </row>
    <row r="5" spans="1:8" ht="12">
      <c r="A5" s="101"/>
      <c r="B5" s="101"/>
      <c r="C5" s="101"/>
      <c r="D5" s="217"/>
      <c r="E5" s="217"/>
      <c r="F5" s="231"/>
      <c r="G5" s="230"/>
    </row>
    <row r="6" spans="1:8" ht="18.5">
      <c r="A6" s="213" t="s">
        <v>33</v>
      </c>
      <c r="B6" s="214" t="s">
        <v>34</v>
      </c>
      <c r="C6" s="117"/>
      <c r="D6" s="105"/>
      <c r="E6" s="105"/>
      <c r="F6" s="201"/>
    </row>
    <row r="7" spans="1:8" ht="12">
      <c r="A7" s="115"/>
      <c r="B7" s="115"/>
      <c r="C7" s="117"/>
      <c r="D7" s="105"/>
      <c r="E7" s="105"/>
      <c r="F7" s="201"/>
    </row>
    <row r="8" spans="1:8" ht="12">
      <c r="A8" s="115"/>
      <c r="B8" s="115"/>
      <c r="C8" s="117"/>
      <c r="D8" s="105"/>
      <c r="E8" s="105"/>
      <c r="F8" s="201"/>
    </row>
    <row r="9" spans="1:8" ht="13.5" thickBot="1">
      <c r="A9" s="232" t="s">
        <v>60</v>
      </c>
      <c r="B9" s="554" t="s">
        <v>138</v>
      </c>
      <c r="C9" s="554"/>
      <c r="D9" s="554"/>
      <c r="E9" s="554"/>
      <c r="F9" s="554"/>
      <c r="G9" s="233"/>
    </row>
    <row r="10" spans="1:8" ht="14.25" customHeight="1">
      <c r="A10" s="115"/>
      <c r="B10" s="116"/>
      <c r="C10" s="117"/>
      <c r="D10" s="105"/>
      <c r="E10" s="103"/>
      <c r="F10" s="234"/>
      <c r="G10" s="235"/>
    </row>
    <row r="11" spans="1:8" ht="12">
      <c r="A11" s="220" t="s">
        <v>119</v>
      </c>
      <c r="B11" s="237" t="s">
        <v>139</v>
      </c>
      <c r="C11" s="86"/>
      <c r="D11" s="105"/>
      <c r="E11" s="104"/>
      <c r="F11" s="201"/>
    </row>
    <row r="12" spans="1:8" ht="144">
      <c r="A12" s="110"/>
      <c r="B12" s="219" t="s">
        <v>510</v>
      </c>
      <c r="C12" s="117"/>
      <c r="D12" s="105"/>
      <c r="E12" s="104"/>
      <c r="F12" s="201"/>
      <c r="H12" s="238"/>
    </row>
    <row r="13" spans="1:8" ht="12">
      <c r="A13" s="110"/>
      <c r="B13" s="421" t="s">
        <v>719</v>
      </c>
      <c r="C13" s="422" t="s">
        <v>135</v>
      </c>
      <c r="D13" s="105">
        <v>17</v>
      </c>
      <c r="E13" s="104"/>
      <c r="F13" s="201">
        <f>ROUND(D13*E13,2)</f>
        <v>0</v>
      </c>
      <c r="H13" s="238"/>
    </row>
    <row r="14" spans="1:8" ht="12">
      <c r="A14" s="110"/>
      <c r="B14" s="421" t="s">
        <v>720</v>
      </c>
      <c r="C14" s="422" t="s">
        <v>135</v>
      </c>
      <c r="D14" s="105">
        <v>7</v>
      </c>
      <c r="E14" s="104"/>
      <c r="F14" s="201">
        <f t="shared" ref="F14:F31" si="0">ROUND(D14*E14,2)</f>
        <v>0</v>
      </c>
      <c r="H14" s="238"/>
    </row>
    <row r="15" spans="1:8" ht="12">
      <c r="A15" s="110"/>
      <c r="B15" s="421" t="s">
        <v>721</v>
      </c>
      <c r="C15" s="422" t="s">
        <v>135</v>
      </c>
      <c r="D15" s="105">
        <v>5</v>
      </c>
      <c r="E15" s="104"/>
      <c r="F15" s="201">
        <f t="shared" si="0"/>
        <v>0</v>
      </c>
      <c r="H15" s="238"/>
    </row>
    <row r="16" spans="1:8" ht="12">
      <c r="A16" s="110"/>
      <c r="B16" s="421" t="s">
        <v>722</v>
      </c>
      <c r="C16" s="422" t="s">
        <v>135</v>
      </c>
      <c r="D16" s="105">
        <v>1</v>
      </c>
      <c r="E16" s="104"/>
      <c r="F16" s="201">
        <f t="shared" si="0"/>
        <v>0</v>
      </c>
      <c r="H16" s="238"/>
    </row>
    <row r="17" spans="1:8" ht="12">
      <c r="A17" s="110"/>
      <c r="B17" s="421" t="s">
        <v>723</v>
      </c>
      <c r="C17" s="422" t="s">
        <v>135</v>
      </c>
      <c r="D17" s="105">
        <v>1</v>
      </c>
      <c r="E17" s="104"/>
      <c r="F17" s="201">
        <f t="shared" si="0"/>
        <v>0</v>
      </c>
      <c r="H17" s="238"/>
    </row>
    <row r="18" spans="1:8" ht="12">
      <c r="A18" s="110"/>
      <c r="B18" s="421" t="s">
        <v>724</v>
      </c>
      <c r="C18" s="422" t="s">
        <v>135</v>
      </c>
      <c r="D18" s="105">
        <v>8</v>
      </c>
      <c r="E18" s="104"/>
      <c r="F18" s="201">
        <f t="shared" si="0"/>
        <v>0</v>
      </c>
      <c r="H18" s="238"/>
    </row>
    <row r="19" spans="1:8" ht="14.25" customHeight="1">
      <c r="A19" s="110"/>
      <c r="B19" s="421" t="s">
        <v>772</v>
      </c>
      <c r="C19" s="422" t="s">
        <v>135</v>
      </c>
      <c r="D19" s="105">
        <v>5</v>
      </c>
      <c r="E19" s="104"/>
      <c r="F19" s="201">
        <f t="shared" si="0"/>
        <v>0</v>
      </c>
      <c r="H19" s="238"/>
    </row>
    <row r="20" spans="1:8" s="216" customFormat="1" ht="14.25" customHeight="1">
      <c r="A20" s="110"/>
      <c r="B20" s="421" t="s">
        <v>725</v>
      </c>
      <c r="C20" s="422" t="s">
        <v>135</v>
      </c>
      <c r="D20" s="105">
        <v>16</v>
      </c>
      <c r="E20" s="104"/>
      <c r="F20" s="201">
        <f t="shared" si="0"/>
        <v>0</v>
      </c>
      <c r="G20" s="105"/>
      <c r="H20" s="104"/>
    </row>
    <row r="21" spans="1:8" s="216" customFormat="1" ht="12">
      <c r="A21" s="110"/>
      <c r="B21" s="421" t="s">
        <v>773</v>
      </c>
      <c r="C21" s="422" t="s">
        <v>135</v>
      </c>
      <c r="D21" s="105">
        <v>2</v>
      </c>
      <c r="E21" s="104"/>
      <c r="F21" s="201">
        <f t="shared" si="0"/>
        <v>0</v>
      </c>
      <c r="G21" s="105"/>
      <c r="H21" s="104"/>
    </row>
    <row r="22" spans="1:8" s="216" customFormat="1" ht="12">
      <c r="A22" s="110"/>
      <c r="B22" s="421" t="s">
        <v>727</v>
      </c>
      <c r="C22" s="422" t="s">
        <v>135</v>
      </c>
      <c r="D22" s="105">
        <v>8</v>
      </c>
      <c r="E22" s="104"/>
      <c r="F22" s="201">
        <f t="shared" si="0"/>
        <v>0</v>
      </c>
      <c r="G22" s="105"/>
      <c r="H22" s="104"/>
    </row>
    <row r="23" spans="1:8" s="216" customFormat="1" ht="12">
      <c r="A23" s="110"/>
      <c r="B23" s="421" t="s">
        <v>728</v>
      </c>
      <c r="C23" s="422" t="s">
        <v>135</v>
      </c>
      <c r="D23" s="105">
        <v>9</v>
      </c>
      <c r="E23" s="104"/>
      <c r="F23" s="201">
        <f t="shared" si="0"/>
        <v>0</v>
      </c>
      <c r="G23" s="105"/>
      <c r="H23" s="104"/>
    </row>
    <row r="24" spans="1:8" s="216" customFormat="1" ht="12">
      <c r="A24" s="110"/>
      <c r="B24" s="421" t="s">
        <v>729</v>
      </c>
      <c r="C24" s="422" t="s">
        <v>135</v>
      </c>
      <c r="D24" s="105">
        <v>5</v>
      </c>
      <c r="E24" s="104"/>
      <c r="F24" s="201">
        <f t="shared" si="0"/>
        <v>0</v>
      </c>
      <c r="G24" s="105"/>
      <c r="H24" s="104"/>
    </row>
    <row r="25" spans="1:8" s="216" customFormat="1" ht="12">
      <c r="A25" s="110"/>
      <c r="B25" s="421" t="s">
        <v>730</v>
      </c>
      <c r="C25" s="422" t="s">
        <v>135</v>
      </c>
      <c r="D25" s="105">
        <v>21</v>
      </c>
      <c r="E25" s="104"/>
      <c r="F25" s="201">
        <f t="shared" si="0"/>
        <v>0</v>
      </c>
      <c r="H25" s="104"/>
    </row>
    <row r="26" spans="1:8" s="216" customFormat="1" ht="12">
      <c r="A26" s="110"/>
      <c r="B26" s="421" t="s">
        <v>731</v>
      </c>
      <c r="C26" s="422" t="s">
        <v>135</v>
      </c>
      <c r="D26" s="105">
        <v>12</v>
      </c>
      <c r="E26" s="104"/>
      <c r="F26" s="201">
        <f t="shared" si="0"/>
        <v>0</v>
      </c>
      <c r="H26" s="104"/>
    </row>
    <row r="27" spans="1:8" s="216" customFormat="1" ht="12">
      <c r="A27" s="110"/>
      <c r="B27" s="421" t="s">
        <v>732</v>
      </c>
      <c r="C27" s="422" t="s">
        <v>135</v>
      </c>
      <c r="D27" s="105">
        <v>5</v>
      </c>
      <c r="E27" s="104"/>
      <c r="F27" s="201">
        <f t="shared" si="0"/>
        <v>0</v>
      </c>
      <c r="H27" s="104"/>
    </row>
    <row r="28" spans="1:8" s="216" customFormat="1" ht="12">
      <c r="A28" s="110"/>
      <c r="B28" s="421" t="s">
        <v>733</v>
      </c>
      <c r="C28" s="422" t="s">
        <v>135</v>
      </c>
      <c r="D28" s="105">
        <v>23</v>
      </c>
      <c r="E28" s="104"/>
      <c r="F28" s="201">
        <f t="shared" si="0"/>
        <v>0</v>
      </c>
      <c r="H28" s="104"/>
    </row>
    <row r="29" spans="1:8" s="216" customFormat="1" ht="12">
      <c r="A29" s="110"/>
      <c r="B29" s="421" t="s">
        <v>734</v>
      </c>
      <c r="C29" s="422" t="s">
        <v>135</v>
      </c>
      <c r="D29" s="105">
        <v>4</v>
      </c>
      <c r="E29" s="104"/>
      <c r="F29" s="201">
        <f t="shared" si="0"/>
        <v>0</v>
      </c>
      <c r="H29" s="104"/>
    </row>
    <row r="30" spans="1:8" s="216" customFormat="1" ht="12">
      <c r="A30" s="110"/>
      <c r="B30" s="421" t="s">
        <v>800</v>
      </c>
      <c r="C30" s="422" t="s">
        <v>135</v>
      </c>
      <c r="D30" s="105">
        <v>2</v>
      </c>
      <c r="E30" s="104"/>
      <c r="F30" s="201">
        <f t="shared" si="0"/>
        <v>0</v>
      </c>
      <c r="H30" s="104"/>
    </row>
    <row r="31" spans="1:8" s="216" customFormat="1" ht="12">
      <c r="A31" s="110"/>
      <c r="B31" s="421" t="s">
        <v>800</v>
      </c>
      <c r="C31" s="422" t="s">
        <v>135</v>
      </c>
      <c r="D31" s="105">
        <v>2</v>
      </c>
      <c r="E31" s="104"/>
      <c r="F31" s="201">
        <f t="shared" si="0"/>
        <v>0</v>
      </c>
      <c r="H31" s="104"/>
    </row>
    <row r="32" spans="1:8" ht="12">
      <c r="C32" s="288"/>
      <c r="D32" s="289"/>
      <c r="E32" s="289"/>
      <c r="F32" s="223">
        <f>SUM(F13:F31)</f>
        <v>0</v>
      </c>
      <c r="G32" s="27"/>
      <c r="H32" s="194"/>
    </row>
    <row r="33" spans="1:8" s="266" customFormat="1" ht="12.5" thickBot="1">
      <c r="A33" s="264"/>
      <c r="B33" s="265"/>
      <c r="D33" s="267"/>
      <c r="E33" s="267"/>
      <c r="F33" s="267"/>
    </row>
    <row r="34" spans="1:8" ht="15" customHeight="1" thickBot="1">
      <c r="A34" s="241" t="s">
        <v>60</v>
      </c>
      <c r="B34" s="242" t="s">
        <v>140</v>
      </c>
      <c r="C34" s="243"/>
      <c r="D34" s="244"/>
      <c r="E34" s="245" t="s">
        <v>507</v>
      </c>
      <c r="F34" s="159">
        <f>SUM(F32)</f>
        <v>0</v>
      </c>
      <c r="H34" s="194"/>
    </row>
    <row r="35" spans="1:8">
      <c r="C35" s="194"/>
      <c r="D35" s="195"/>
      <c r="E35" s="195"/>
      <c r="G35" s="27"/>
    </row>
  </sheetData>
  <sheetProtection algorithmName="SHA-512" hashValue="Gg0oXab56AjF4nTlgMo1RLgndQy+WCnzXnK0sZQ6B72J3kv+dvQtPge3sTFwM2NYZTL0h9j8ACVqmjf9rzEU5w==" saltValue="JYT1hioWiD1Ku2+P+EEr7Q==" spinCount="100000" sheet="1" objects="1" scenarios="1"/>
  <mergeCells count="3">
    <mergeCell ref="A2:F2"/>
    <mergeCell ref="A3:F3"/>
    <mergeCell ref="B9:F9"/>
  </mergeCells>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81"/>
  <sheetViews>
    <sheetView view="pageBreakPreview" topLeftCell="A71" zoomScale="120" zoomScaleNormal="100" zoomScaleSheetLayoutView="120" workbookViewId="0">
      <selection activeCell="E77" sqref="E28:E77"/>
    </sheetView>
  </sheetViews>
  <sheetFormatPr defaultColWidth="9.26953125" defaultRowHeight="11.5"/>
  <cols>
    <col min="1" max="1" width="5.54296875" style="194" customWidth="1"/>
    <col min="2" max="2" width="46.1796875" style="194" customWidth="1"/>
    <col min="3" max="3" width="6.81640625" style="239" customWidth="1"/>
    <col min="4" max="4" width="9.54296875" style="195" customWidth="1"/>
    <col min="5" max="5" width="8.453125" style="195" customWidth="1"/>
    <col min="6" max="6" width="10.54296875" style="195" customWidth="1"/>
    <col min="7" max="16384" width="9.26953125" style="194"/>
  </cols>
  <sheetData>
    <row r="1" spans="1:8" s="1" customFormat="1" ht="14.5">
      <c r="A1" s="133"/>
      <c r="B1" s="133"/>
      <c r="C1" s="205"/>
      <c r="D1" s="201"/>
      <c r="E1" s="203"/>
      <c r="F1" s="203"/>
    </row>
    <row r="2" spans="1:8" ht="12">
      <c r="A2" s="551" t="s">
        <v>706</v>
      </c>
      <c r="B2" s="552"/>
      <c r="C2" s="552"/>
      <c r="D2" s="552"/>
      <c r="E2" s="552"/>
      <c r="F2" s="553"/>
    </row>
    <row r="3" spans="1:8" ht="12">
      <c r="A3" s="555" t="s">
        <v>141</v>
      </c>
      <c r="B3" s="555"/>
      <c r="C3" s="555"/>
      <c r="D3" s="555"/>
      <c r="E3" s="555"/>
      <c r="F3" s="555"/>
    </row>
    <row r="4" spans="1:8" s="1" customFormat="1" ht="14">
      <c r="A4" s="112" t="s">
        <v>98</v>
      </c>
      <c r="B4" s="112" t="s">
        <v>99</v>
      </c>
      <c r="C4" s="112" t="s">
        <v>100</v>
      </c>
      <c r="D4" s="269" t="s">
        <v>101</v>
      </c>
      <c r="E4" s="269" t="s">
        <v>102</v>
      </c>
      <c r="F4" s="269" t="s">
        <v>103</v>
      </c>
    </row>
    <row r="5" spans="1:8" s="1" customFormat="1" ht="14">
      <c r="A5" s="101"/>
      <c r="B5" s="101"/>
      <c r="C5" s="101"/>
      <c r="D5" s="270"/>
      <c r="E5" s="270"/>
      <c r="F5" s="270"/>
    </row>
    <row r="6" spans="1:8" s="1" customFormat="1" ht="14">
      <c r="A6" s="101"/>
      <c r="B6" s="101"/>
      <c r="C6" s="101"/>
      <c r="D6" s="270"/>
      <c r="E6" s="270"/>
      <c r="F6" s="270"/>
    </row>
    <row r="7" spans="1:8" s="1" customFormat="1" ht="15" thickBot="1">
      <c r="A7" s="102" t="s">
        <v>37</v>
      </c>
      <c r="B7" s="560" t="s">
        <v>142</v>
      </c>
      <c r="C7" s="560"/>
      <c r="D7" s="560"/>
      <c r="E7" s="560"/>
      <c r="F7" s="560"/>
    </row>
    <row r="8" spans="1:8" ht="12">
      <c r="A8" s="115"/>
      <c r="B8" s="116"/>
      <c r="C8" s="117"/>
      <c r="D8" s="105"/>
      <c r="E8" s="103"/>
      <c r="F8" s="103"/>
    </row>
    <row r="9" spans="1:8" ht="12">
      <c r="A9" s="326" t="s">
        <v>106</v>
      </c>
      <c r="B9" s="327"/>
      <c r="C9" s="324"/>
      <c r="D9" s="324"/>
      <c r="E9" s="204"/>
      <c r="F9" s="204"/>
      <c r="G9" s="204"/>
      <c r="H9" s="209"/>
    </row>
    <row r="10" spans="1:8" ht="12">
      <c r="A10" s="326"/>
      <c r="B10" s="327"/>
      <c r="C10" s="324"/>
      <c r="D10" s="324"/>
      <c r="E10" s="204"/>
      <c r="F10" s="204"/>
      <c r="G10" s="204"/>
      <c r="H10" s="209"/>
    </row>
    <row r="11" spans="1:8" ht="47.25" customHeight="1">
      <c r="A11" s="557" t="s">
        <v>143</v>
      </c>
      <c r="B11" s="561"/>
      <c r="C11" s="561"/>
      <c r="D11" s="561"/>
      <c r="E11" s="561"/>
      <c r="F11" s="204"/>
      <c r="G11" s="204"/>
      <c r="H11" s="209"/>
    </row>
    <row r="12" spans="1:8" ht="12">
      <c r="A12" s="107"/>
      <c r="B12" s="294"/>
      <c r="C12" s="330"/>
      <c r="D12" s="330"/>
      <c r="E12" s="330"/>
      <c r="F12" s="204"/>
      <c r="G12" s="204"/>
      <c r="H12" s="209"/>
    </row>
    <row r="13" spans="1:8" ht="42" customHeight="1">
      <c r="A13" s="557" t="s">
        <v>144</v>
      </c>
      <c r="B13" s="561"/>
      <c r="C13" s="561"/>
      <c r="D13" s="561"/>
      <c r="E13" s="561"/>
      <c r="F13" s="204"/>
      <c r="G13" s="204"/>
      <c r="H13" s="209"/>
    </row>
    <row r="14" spans="1:8" ht="12">
      <c r="A14" s="107"/>
      <c r="B14" s="107"/>
      <c r="C14" s="331"/>
      <c r="D14" s="331"/>
      <c r="E14" s="331"/>
      <c r="F14" s="204"/>
      <c r="G14" s="204"/>
      <c r="H14" s="209"/>
    </row>
    <row r="15" spans="1:8" ht="54.75" customHeight="1">
      <c r="A15" s="557" t="s">
        <v>145</v>
      </c>
      <c r="B15" s="561"/>
      <c r="C15" s="561"/>
      <c r="D15" s="561"/>
      <c r="E15" s="561"/>
      <c r="F15" s="204"/>
      <c r="G15" s="204"/>
      <c r="H15" s="209"/>
    </row>
    <row r="16" spans="1:8" ht="12">
      <c r="A16" s="107"/>
      <c r="B16" s="107"/>
      <c r="C16" s="331"/>
      <c r="D16" s="331"/>
      <c r="E16" s="331"/>
      <c r="F16" s="204"/>
      <c r="G16" s="204"/>
      <c r="H16" s="209"/>
    </row>
    <row r="17" spans="1:8" ht="69" customHeight="1">
      <c r="A17" s="557" t="s">
        <v>146</v>
      </c>
      <c r="B17" s="561"/>
      <c r="C17" s="561"/>
      <c r="D17" s="561"/>
      <c r="E17" s="561"/>
      <c r="F17" s="204"/>
      <c r="G17" s="204"/>
      <c r="H17" s="209"/>
    </row>
    <row r="18" spans="1:8" ht="12">
      <c r="A18" s="107"/>
      <c r="B18" s="107"/>
      <c r="C18" s="331"/>
      <c r="D18" s="331"/>
      <c r="E18" s="331"/>
      <c r="F18" s="204"/>
      <c r="G18" s="204"/>
      <c r="H18" s="209"/>
    </row>
    <row r="19" spans="1:8" ht="27" customHeight="1">
      <c r="A19" s="557" t="s">
        <v>147</v>
      </c>
      <c r="B19" s="561"/>
      <c r="C19" s="561"/>
      <c r="D19" s="561"/>
      <c r="E19" s="561"/>
      <c r="F19" s="204"/>
      <c r="G19" s="204"/>
      <c r="H19" s="209"/>
    </row>
    <row r="20" spans="1:8" ht="12">
      <c r="A20" s="107"/>
      <c r="B20" s="107"/>
      <c r="C20" s="331"/>
      <c r="D20" s="331"/>
      <c r="E20" s="331"/>
      <c r="F20" s="204"/>
      <c r="G20" s="204"/>
      <c r="H20" s="209"/>
    </row>
    <row r="21" spans="1:8" ht="77.25" customHeight="1">
      <c r="A21" s="557" t="s">
        <v>148</v>
      </c>
      <c r="B21" s="561"/>
      <c r="C21" s="561"/>
      <c r="D21" s="561"/>
      <c r="E21" s="561"/>
      <c r="F21" s="204"/>
      <c r="G21" s="204"/>
      <c r="H21" s="209"/>
    </row>
    <row r="22" spans="1:8" ht="14.25" customHeight="1">
      <c r="A22" s="107"/>
      <c r="B22" s="107"/>
      <c r="C22" s="331"/>
      <c r="D22" s="331"/>
      <c r="E22" s="331"/>
      <c r="F22" s="204"/>
      <c r="G22" s="204"/>
      <c r="H22" s="209"/>
    </row>
    <row r="23" spans="1:8" ht="105" customHeight="1">
      <c r="A23" s="557" t="s">
        <v>149</v>
      </c>
      <c r="B23" s="561"/>
      <c r="C23" s="561"/>
      <c r="D23" s="561"/>
      <c r="E23" s="561"/>
      <c r="F23" s="204"/>
      <c r="G23" s="204"/>
      <c r="H23" s="209"/>
    </row>
    <row r="24" spans="1:8" ht="15" customHeight="1">
      <c r="A24" s="107"/>
      <c r="B24" s="107"/>
      <c r="C24" s="331"/>
      <c r="D24" s="331"/>
      <c r="E24" s="331"/>
      <c r="F24" s="204"/>
      <c r="G24" s="204"/>
      <c r="H24" s="209"/>
    </row>
    <row r="25" spans="1:8" ht="31.9" customHeight="1">
      <c r="A25" s="557" t="s">
        <v>150</v>
      </c>
      <c r="B25" s="561"/>
      <c r="C25" s="561"/>
      <c r="D25" s="561"/>
      <c r="E25" s="561"/>
      <c r="F25" s="204"/>
      <c r="G25" s="204"/>
      <c r="H25" s="209"/>
    </row>
    <row r="26" spans="1:8" ht="12">
      <c r="A26" s="326"/>
      <c r="B26" s="327"/>
      <c r="C26" s="328"/>
      <c r="D26" s="105"/>
      <c r="E26" s="259"/>
      <c r="F26" s="201"/>
    </row>
    <row r="27" spans="1:8" ht="24">
      <c r="A27" s="110" t="s">
        <v>119</v>
      </c>
      <c r="B27" s="332" t="s">
        <v>151</v>
      </c>
      <c r="C27" s="108"/>
      <c r="D27" s="201"/>
      <c r="E27" s="259"/>
      <c r="F27" s="201"/>
    </row>
    <row r="28" spans="1:8" ht="145.5" customHeight="1">
      <c r="B28" s="219" t="s">
        <v>777</v>
      </c>
      <c r="C28" s="108"/>
      <c r="D28" s="105"/>
      <c r="E28" s="259"/>
      <c r="F28" s="201"/>
    </row>
    <row r="29" spans="1:8" ht="12">
      <c r="A29" s="110"/>
      <c r="B29" s="363" t="s">
        <v>152</v>
      </c>
      <c r="C29" s="108" t="s">
        <v>135</v>
      </c>
      <c r="D29" s="105">
        <v>3</v>
      </c>
      <c r="E29" s="104"/>
      <c r="F29" s="105">
        <f>ROUND(D29*E29,2)</f>
        <v>0</v>
      </c>
    </row>
    <row r="30" spans="1:8" ht="12">
      <c r="A30" s="110"/>
      <c r="B30" s="363" t="s">
        <v>153</v>
      </c>
      <c r="C30" s="108" t="s">
        <v>154</v>
      </c>
      <c r="D30" s="105">
        <v>4.5</v>
      </c>
      <c r="E30" s="104"/>
      <c r="F30" s="105">
        <f t="shared" ref="F30:F77" si="0">ROUND(D30*E30,2)</f>
        <v>0</v>
      </c>
    </row>
    <row r="31" spans="1:8" ht="14.25" customHeight="1">
      <c r="A31" s="110"/>
      <c r="B31" s="364" t="s">
        <v>155</v>
      </c>
      <c r="C31" s="108" t="s">
        <v>135</v>
      </c>
      <c r="D31" s="105">
        <v>7</v>
      </c>
      <c r="E31" s="104"/>
      <c r="F31" s="105">
        <f t="shared" si="0"/>
        <v>0</v>
      </c>
    </row>
    <row r="32" spans="1:8" ht="14.25" customHeight="1">
      <c r="A32" s="110"/>
      <c r="B32" s="364" t="s">
        <v>156</v>
      </c>
      <c r="C32" s="108" t="s">
        <v>157</v>
      </c>
      <c r="D32" s="105">
        <v>100</v>
      </c>
      <c r="E32" s="104"/>
      <c r="F32" s="105">
        <f t="shared" si="0"/>
        <v>0</v>
      </c>
    </row>
    <row r="33" spans="1:6" ht="14.25" customHeight="1">
      <c r="A33" s="110"/>
      <c r="B33" s="364" t="s">
        <v>158</v>
      </c>
      <c r="C33" s="108" t="s">
        <v>135</v>
      </c>
      <c r="D33" s="105">
        <v>5</v>
      </c>
      <c r="E33" s="104"/>
      <c r="F33" s="105">
        <f t="shared" si="0"/>
        <v>0</v>
      </c>
    </row>
    <row r="34" spans="1:6" ht="14.25" customHeight="1">
      <c r="A34" s="110"/>
      <c r="B34" s="364" t="s">
        <v>159</v>
      </c>
      <c r="C34" s="108" t="s">
        <v>135</v>
      </c>
      <c r="D34" s="105">
        <v>30</v>
      </c>
      <c r="E34" s="104"/>
      <c r="F34" s="105">
        <f t="shared" si="0"/>
        <v>0</v>
      </c>
    </row>
    <row r="35" spans="1:6" ht="13.5" customHeight="1">
      <c r="A35" s="110"/>
      <c r="B35" s="364" t="s">
        <v>160</v>
      </c>
      <c r="C35" s="108" t="s">
        <v>135</v>
      </c>
      <c r="D35" s="105">
        <v>15</v>
      </c>
      <c r="E35" s="104"/>
      <c r="F35" s="105">
        <f t="shared" si="0"/>
        <v>0</v>
      </c>
    </row>
    <row r="36" spans="1:6" ht="13.5" customHeight="1">
      <c r="A36" s="110"/>
      <c r="B36" s="210"/>
      <c r="C36" s="108"/>
      <c r="D36" s="105"/>
      <c r="E36" s="104"/>
      <c r="F36" s="105"/>
    </row>
    <row r="37" spans="1:6" s="1" customFormat="1" ht="14">
      <c r="A37" s="198"/>
      <c r="B37" s="107"/>
      <c r="C37" s="108"/>
      <c r="D37" s="105"/>
      <c r="E37" s="104"/>
      <c r="F37" s="105"/>
    </row>
    <row r="38" spans="1:6" s="1" customFormat="1" ht="14">
      <c r="A38" s="198" t="s">
        <v>122</v>
      </c>
      <c r="B38" s="199" t="s">
        <v>161</v>
      </c>
      <c r="C38" s="108"/>
      <c r="D38" s="105"/>
      <c r="E38" s="104"/>
      <c r="F38" s="105"/>
    </row>
    <row r="39" spans="1:6" s="1" customFormat="1" ht="132" customHeight="1">
      <c r="B39" s="107" t="s">
        <v>162</v>
      </c>
      <c r="C39" s="108" t="s">
        <v>121</v>
      </c>
      <c r="D39" s="105">
        <v>750</v>
      </c>
      <c r="E39" s="104"/>
      <c r="F39" s="105">
        <f t="shared" si="0"/>
        <v>0</v>
      </c>
    </row>
    <row r="40" spans="1:6" s="1" customFormat="1" ht="14">
      <c r="A40" s="198"/>
      <c r="B40" s="107"/>
      <c r="C40" s="108"/>
      <c r="D40" s="105"/>
      <c r="E40" s="104"/>
      <c r="F40" s="105"/>
    </row>
    <row r="41" spans="1:6" s="1" customFormat="1" ht="14">
      <c r="A41" s="198" t="s">
        <v>127</v>
      </c>
      <c r="B41" s="199" t="s">
        <v>163</v>
      </c>
      <c r="C41" s="108"/>
      <c r="D41" s="105"/>
      <c r="E41" s="104"/>
      <c r="F41" s="105"/>
    </row>
    <row r="42" spans="1:6" s="1" customFormat="1" ht="53.5" customHeight="1">
      <c r="B42" s="107" t="s">
        <v>555</v>
      </c>
      <c r="C42" s="108" t="s">
        <v>154</v>
      </c>
      <c r="D42" s="105">
        <v>750</v>
      </c>
      <c r="E42" s="104"/>
      <c r="F42" s="105">
        <f t="shared" si="0"/>
        <v>0</v>
      </c>
    </row>
    <row r="43" spans="1:6" s="1" customFormat="1" ht="14">
      <c r="A43" s="198"/>
      <c r="B43" s="107"/>
      <c r="C43" s="108"/>
      <c r="D43" s="105"/>
      <c r="E43" s="104"/>
      <c r="F43" s="105"/>
    </row>
    <row r="44" spans="1:6" s="1" customFormat="1" ht="14">
      <c r="A44" s="198" t="s">
        <v>131</v>
      </c>
      <c r="B44" s="199" t="s">
        <v>164</v>
      </c>
      <c r="C44" s="108"/>
      <c r="D44" s="105"/>
      <c r="E44" s="104"/>
      <c r="F44" s="105"/>
    </row>
    <row r="45" spans="1:6" s="1" customFormat="1" ht="28.9" customHeight="1">
      <c r="B45" s="79" t="s">
        <v>165</v>
      </c>
      <c r="C45" s="108" t="s">
        <v>154</v>
      </c>
      <c r="D45" s="105">
        <v>450</v>
      </c>
      <c r="E45" s="104"/>
      <c r="F45" s="105">
        <f t="shared" si="0"/>
        <v>0</v>
      </c>
    </row>
    <row r="46" spans="1:6" s="1" customFormat="1" ht="14">
      <c r="A46" s="198"/>
      <c r="B46" s="79"/>
      <c r="C46" s="108"/>
      <c r="D46" s="105"/>
      <c r="E46" s="104"/>
      <c r="F46" s="105"/>
    </row>
    <row r="47" spans="1:6" s="1" customFormat="1" ht="14">
      <c r="A47" s="198" t="s">
        <v>133</v>
      </c>
      <c r="B47" s="137" t="s">
        <v>166</v>
      </c>
      <c r="C47" s="108"/>
      <c r="D47" s="105"/>
      <c r="E47" s="104"/>
      <c r="F47" s="105"/>
    </row>
    <row r="48" spans="1:6" ht="58.15" customHeight="1">
      <c r="B48" s="110" t="s">
        <v>167</v>
      </c>
      <c r="C48" s="194"/>
      <c r="E48" s="482"/>
      <c r="F48" s="105"/>
    </row>
    <row r="49" spans="1:6" s="216" customFormat="1" ht="12">
      <c r="A49" s="110"/>
      <c r="B49" s="421" t="s">
        <v>735</v>
      </c>
      <c r="C49" s="422" t="s">
        <v>135</v>
      </c>
      <c r="D49" s="105">
        <v>11</v>
      </c>
      <c r="E49" s="104"/>
      <c r="F49" s="105">
        <f t="shared" si="0"/>
        <v>0</v>
      </c>
    </row>
    <row r="50" spans="1:6" s="216" customFormat="1" ht="12">
      <c r="A50" s="110"/>
      <c r="B50" s="421" t="s">
        <v>736</v>
      </c>
      <c r="C50" s="422" t="s">
        <v>135</v>
      </c>
      <c r="D50" s="105">
        <v>4</v>
      </c>
      <c r="E50" s="104"/>
      <c r="F50" s="105">
        <f t="shared" si="0"/>
        <v>0</v>
      </c>
    </row>
    <row r="51" spans="1:6" s="216" customFormat="1" ht="12">
      <c r="A51" s="110"/>
      <c r="B51" s="421" t="s">
        <v>737</v>
      </c>
      <c r="C51" s="422" t="s">
        <v>135</v>
      </c>
      <c r="D51" s="105">
        <v>3</v>
      </c>
      <c r="E51" s="104"/>
      <c r="F51" s="105">
        <f t="shared" si="0"/>
        <v>0</v>
      </c>
    </row>
    <row r="52" spans="1:6" s="216" customFormat="1" ht="12">
      <c r="A52" s="110"/>
      <c r="B52" s="421" t="s">
        <v>738</v>
      </c>
      <c r="C52" s="422" t="s">
        <v>135</v>
      </c>
      <c r="D52" s="105">
        <v>3</v>
      </c>
      <c r="E52" s="104"/>
      <c r="F52" s="105">
        <f t="shared" si="0"/>
        <v>0</v>
      </c>
    </row>
    <row r="53" spans="1:6" s="216" customFormat="1" ht="12">
      <c r="A53" s="110"/>
      <c r="B53" s="421" t="s">
        <v>739</v>
      </c>
      <c r="C53" s="422" t="s">
        <v>135</v>
      </c>
      <c r="D53" s="105">
        <v>3</v>
      </c>
      <c r="E53" s="104"/>
      <c r="F53" s="105">
        <f t="shared" si="0"/>
        <v>0</v>
      </c>
    </row>
    <row r="54" spans="1:6" s="216" customFormat="1" ht="12">
      <c r="A54" s="110"/>
      <c r="B54" s="421" t="s">
        <v>740</v>
      </c>
      <c r="C54" s="422" t="s">
        <v>135</v>
      </c>
      <c r="D54" s="105">
        <v>1</v>
      </c>
      <c r="E54" s="104"/>
      <c r="F54" s="105">
        <f t="shared" si="0"/>
        <v>0</v>
      </c>
    </row>
    <row r="55" spans="1:6" s="216" customFormat="1" ht="12">
      <c r="A55" s="110"/>
      <c r="B55" s="421" t="s">
        <v>741</v>
      </c>
      <c r="C55" s="422" t="s">
        <v>135</v>
      </c>
      <c r="D55" s="105">
        <v>2</v>
      </c>
      <c r="E55" s="104"/>
      <c r="F55" s="105">
        <f t="shared" si="0"/>
        <v>0</v>
      </c>
    </row>
    <row r="56" spans="1:6" s="216" customFormat="1" ht="12">
      <c r="A56" s="110"/>
      <c r="B56" s="421" t="s">
        <v>742</v>
      </c>
      <c r="C56" s="422" t="s">
        <v>135</v>
      </c>
      <c r="D56" s="105">
        <v>3</v>
      </c>
      <c r="E56" s="104"/>
      <c r="F56" s="105">
        <f t="shared" si="0"/>
        <v>0</v>
      </c>
    </row>
    <row r="57" spans="1:6" s="216" customFormat="1" ht="12">
      <c r="A57" s="110"/>
      <c r="B57" s="421" t="s">
        <v>801</v>
      </c>
      <c r="C57" s="422" t="s">
        <v>135</v>
      </c>
      <c r="D57" s="105">
        <v>3</v>
      </c>
      <c r="E57" s="104"/>
      <c r="F57" s="105">
        <f t="shared" si="0"/>
        <v>0</v>
      </c>
    </row>
    <row r="58" spans="1:6" s="216" customFormat="1" ht="12">
      <c r="A58" s="110"/>
      <c r="B58" s="421" t="s">
        <v>743</v>
      </c>
      <c r="C58" s="422" t="s">
        <v>135</v>
      </c>
      <c r="D58" s="105">
        <v>35</v>
      </c>
      <c r="E58" s="104"/>
      <c r="F58" s="105">
        <f t="shared" si="0"/>
        <v>0</v>
      </c>
    </row>
    <row r="59" spans="1:6" s="216" customFormat="1" ht="12">
      <c r="A59" s="110"/>
      <c r="B59" s="421" t="s">
        <v>774</v>
      </c>
      <c r="C59" s="422" t="s">
        <v>135</v>
      </c>
      <c r="D59" s="105">
        <v>5</v>
      </c>
      <c r="E59" s="104"/>
      <c r="F59" s="105">
        <f t="shared" si="0"/>
        <v>0</v>
      </c>
    </row>
    <row r="60" spans="1:6" s="216" customFormat="1" ht="12">
      <c r="A60" s="110"/>
      <c r="B60" s="421" t="s">
        <v>745</v>
      </c>
      <c r="C60" s="422" t="s">
        <v>135</v>
      </c>
      <c r="D60" s="105">
        <v>1</v>
      </c>
      <c r="E60" s="104"/>
      <c r="F60" s="105">
        <f t="shared" si="0"/>
        <v>0</v>
      </c>
    </row>
    <row r="61" spans="1:6" s="1" customFormat="1" ht="15.65" customHeight="1">
      <c r="A61" s="110"/>
      <c r="B61" s="194"/>
      <c r="C61" s="239"/>
      <c r="D61" s="240"/>
      <c r="E61" s="483"/>
      <c r="F61" s="105"/>
    </row>
    <row r="62" spans="1:6" s="1" customFormat="1" ht="15.65" customHeight="1">
      <c r="A62" s="110"/>
      <c r="B62" s="194"/>
      <c r="C62" s="239"/>
      <c r="D62" s="240"/>
      <c r="E62" s="483"/>
      <c r="F62" s="105"/>
    </row>
    <row r="63" spans="1:6" s="1" customFormat="1" ht="24">
      <c r="A63" s="220" t="s">
        <v>168</v>
      </c>
      <c r="B63" s="332" t="s">
        <v>169</v>
      </c>
      <c r="C63" s="108"/>
      <c r="D63" s="105"/>
      <c r="E63" s="259"/>
      <c r="F63" s="105"/>
    </row>
    <row r="64" spans="1:6" s="1" customFormat="1" ht="102.75" customHeight="1">
      <c r="A64" s="110"/>
      <c r="B64" s="219" t="s">
        <v>170</v>
      </c>
      <c r="C64" s="108"/>
      <c r="D64" s="105"/>
      <c r="E64" s="104"/>
      <c r="F64" s="105"/>
    </row>
    <row r="65" spans="1:6" s="1" customFormat="1" ht="14">
      <c r="A65" s="107"/>
      <c r="B65" s="108" t="s">
        <v>171</v>
      </c>
      <c r="C65" s="108" t="s">
        <v>172</v>
      </c>
      <c r="D65" s="104">
        <v>15</v>
      </c>
      <c r="E65" s="104"/>
      <c r="F65" s="105">
        <f t="shared" si="0"/>
        <v>0</v>
      </c>
    </row>
    <row r="66" spans="1:6" s="1" customFormat="1" ht="14">
      <c r="A66" s="107"/>
      <c r="B66" s="108" t="s">
        <v>173</v>
      </c>
      <c r="C66" s="108" t="s">
        <v>172</v>
      </c>
      <c r="D66" s="105">
        <v>45</v>
      </c>
      <c r="E66" s="104"/>
      <c r="F66" s="105">
        <f t="shared" si="0"/>
        <v>0</v>
      </c>
    </row>
    <row r="67" spans="1:6" s="1" customFormat="1" ht="14">
      <c r="A67" s="107"/>
      <c r="B67" s="108"/>
      <c r="C67" s="108"/>
      <c r="D67" s="105"/>
      <c r="E67" s="104"/>
      <c r="F67" s="105"/>
    </row>
    <row r="68" spans="1:6" s="1" customFormat="1" ht="14">
      <c r="A68" s="107"/>
      <c r="B68" s="108"/>
      <c r="C68" s="108"/>
      <c r="D68" s="105"/>
      <c r="E68" s="104"/>
      <c r="F68" s="105"/>
    </row>
    <row r="69" spans="1:6" s="1" customFormat="1" ht="14">
      <c r="A69" s="220" t="s">
        <v>174</v>
      </c>
      <c r="B69" s="199" t="s">
        <v>175</v>
      </c>
      <c r="C69" s="108"/>
      <c r="D69" s="201"/>
      <c r="E69" s="259"/>
      <c r="F69" s="105"/>
    </row>
    <row r="70" spans="1:6" s="1" customFormat="1" ht="180">
      <c r="A70" s="110"/>
      <c r="B70" s="110" t="s">
        <v>176</v>
      </c>
      <c r="C70" s="86" t="s">
        <v>177</v>
      </c>
      <c r="D70" s="105"/>
      <c r="E70" s="104"/>
      <c r="F70" s="105"/>
    </row>
    <row r="71" spans="1:6" s="1" customFormat="1" ht="14">
      <c r="A71" s="110"/>
      <c r="B71" s="365" t="s">
        <v>776</v>
      </c>
      <c r="C71" s="108" t="s">
        <v>780</v>
      </c>
      <c r="D71" s="105">
        <v>40</v>
      </c>
      <c r="E71" s="104"/>
      <c r="F71" s="105">
        <f t="shared" si="0"/>
        <v>0</v>
      </c>
    </row>
    <row r="72" spans="1:6" s="1" customFormat="1" ht="14">
      <c r="A72" s="110"/>
      <c r="B72" s="366" t="s">
        <v>178</v>
      </c>
      <c r="C72" s="108" t="s">
        <v>172</v>
      </c>
      <c r="D72" s="105">
        <v>200</v>
      </c>
      <c r="E72" s="104"/>
      <c r="F72" s="105">
        <f t="shared" si="0"/>
        <v>0</v>
      </c>
    </row>
    <row r="73" spans="1:6" s="1" customFormat="1" ht="14">
      <c r="A73" s="198"/>
      <c r="B73" s="107"/>
      <c r="C73" s="108"/>
      <c r="D73" s="105"/>
      <c r="E73" s="104"/>
      <c r="F73" s="105"/>
    </row>
    <row r="74" spans="1:6" s="1" customFormat="1" ht="14">
      <c r="A74" s="198"/>
      <c r="B74" s="107"/>
      <c r="C74" s="108"/>
      <c r="D74" s="105"/>
      <c r="E74" s="104"/>
      <c r="F74" s="105"/>
    </row>
    <row r="75" spans="1:6" s="1" customFormat="1" ht="14">
      <c r="A75" s="261" t="s">
        <v>179</v>
      </c>
      <c r="B75" s="211" t="s">
        <v>180</v>
      </c>
      <c r="C75" s="108"/>
      <c r="D75" s="201"/>
      <c r="E75" s="259"/>
      <c r="F75" s="105"/>
    </row>
    <row r="76" spans="1:6" s="1" customFormat="1" ht="54" customHeight="1">
      <c r="A76" s="110"/>
      <c r="B76" s="110" t="s">
        <v>181</v>
      </c>
      <c r="C76" s="205"/>
      <c r="D76" s="105"/>
      <c r="E76" s="104"/>
      <c r="F76" s="105"/>
    </row>
    <row r="77" spans="1:6" s="1" customFormat="1" ht="18.75" customHeight="1">
      <c r="A77" s="110"/>
      <c r="B77" s="117"/>
      <c r="C77" s="108" t="s">
        <v>126</v>
      </c>
      <c r="D77" s="105">
        <v>1</v>
      </c>
      <c r="E77" s="104"/>
      <c r="F77" s="105">
        <f t="shared" si="0"/>
        <v>0</v>
      </c>
    </row>
    <row r="78" spans="1:6" s="1" customFormat="1" ht="14.25" customHeight="1">
      <c r="A78" s="110"/>
      <c r="B78" s="117"/>
      <c r="C78" s="108"/>
      <c r="D78" s="105"/>
      <c r="E78" s="104"/>
      <c r="F78" s="135"/>
    </row>
    <row r="80" spans="1:6" ht="12" thickBot="1"/>
    <row r="81" spans="1:6" ht="12.5" thickBot="1">
      <c r="A81" s="241" t="s">
        <v>37</v>
      </c>
      <c r="B81" s="242" t="s">
        <v>182</v>
      </c>
      <c r="C81" s="243"/>
      <c r="D81" s="272"/>
      <c r="E81" s="245" t="s">
        <v>507</v>
      </c>
      <c r="F81" s="159">
        <f>SUM(F29:F78)</f>
        <v>0</v>
      </c>
    </row>
  </sheetData>
  <sheetProtection algorithmName="SHA-512" hashValue="oYXZ9O1XhobzUEtWAqmDK/sJNpnSKi9NjHL6uV1LCpGJbUM0UqgD+QLEeoalkVYVx+sAsaByb/jYibESQKqAvQ==" saltValue="CXWizXU5ld+rtqFy2gZ27w==" spinCount="100000" sheet="1" objects="1" scenarios="1"/>
  <mergeCells count="11">
    <mergeCell ref="A25:E25"/>
    <mergeCell ref="A15:E15"/>
    <mergeCell ref="A17:E17"/>
    <mergeCell ref="A19:E19"/>
    <mergeCell ref="A21:E21"/>
    <mergeCell ref="A23:E23"/>
    <mergeCell ref="A3:F3"/>
    <mergeCell ref="A2:F2"/>
    <mergeCell ref="B7:F7"/>
    <mergeCell ref="A11:E11"/>
    <mergeCell ref="A13:E13"/>
  </mergeCells>
  <phoneticPr fontId="28" type="noConversion"/>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3" manualBreakCount="3">
    <brk id="26" max="5" man="1"/>
    <brk id="43" max="5" man="1"/>
    <brk id="68" max="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4"/>
  <sheetViews>
    <sheetView view="pageBreakPreview" topLeftCell="A11" zoomScale="160" zoomScaleNormal="100" zoomScaleSheetLayoutView="160" workbookViewId="0">
      <selection activeCell="D30" sqref="D30:E30"/>
    </sheetView>
  </sheetViews>
  <sheetFormatPr defaultColWidth="9.26953125" defaultRowHeight="11.5"/>
  <cols>
    <col min="1" max="1" width="5.54296875" style="194" customWidth="1"/>
    <col min="2" max="2" width="47.26953125" style="194" customWidth="1"/>
    <col min="3" max="3" width="7.54296875" style="239" customWidth="1"/>
    <col min="4" max="4" width="4.81640625" style="195" bestFit="1" customWidth="1"/>
    <col min="5" max="5" width="8.7265625" style="195" customWidth="1"/>
    <col min="6" max="7" width="10.54296875" style="195" customWidth="1"/>
    <col min="8" max="8" width="9.453125" style="209" customWidth="1"/>
    <col min="9" max="9" width="9.453125" style="194" customWidth="1"/>
    <col min="10" max="16384" width="9.26953125" style="194"/>
  </cols>
  <sheetData>
    <row r="1" spans="1:8" s="1" customFormat="1" ht="14.5">
      <c r="A1" s="133"/>
      <c r="B1" s="133"/>
      <c r="C1" s="205"/>
      <c r="D1" s="201"/>
      <c r="E1" s="203"/>
      <c r="F1" s="203"/>
      <c r="G1" s="426"/>
      <c r="H1" s="212"/>
    </row>
    <row r="2" spans="1:8" ht="12">
      <c r="A2" s="551" t="s">
        <v>706</v>
      </c>
      <c r="B2" s="552"/>
      <c r="C2" s="552"/>
      <c r="D2" s="552"/>
      <c r="E2" s="552"/>
      <c r="F2" s="553"/>
      <c r="G2" s="268"/>
    </row>
    <row r="3" spans="1:8" ht="12">
      <c r="A3" s="555" t="s">
        <v>183</v>
      </c>
      <c r="B3" s="555"/>
      <c r="C3" s="555"/>
      <c r="D3" s="555"/>
      <c r="E3" s="555"/>
      <c r="F3" s="555"/>
    </row>
    <row r="4" spans="1:8" s="1" customFormat="1" ht="14">
      <c r="A4" s="112" t="s">
        <v>98</v>
      </c>
      <c r="B4" s="112" t="s">
        <v>99</v>
      </c>
      <c r="C4" s="112" t="s">
        <v>100</v>
      </c>
      <c r="D4" s="269" t="s">
        <v>101</v>
      </c>
      <c r="E4" s="269" t="s">
        <v>102</v>
      </c>
      <c r="F4" s="269" t="s">
        <v>103</v>
      </c>
      <c r="G4" s="101"/>
      <c r="H4" s="212"/>
    </row>
    <row r="5" spans="1:8" s="1" customFormat="1" ht="14">
      <c r="A5" s="101"/>
      <c r="B5" s="101"/>
      <c r="C5" s="101"/>
      <c r="D5" s="270"/>
      <c r="E5" s="270"/>
      <c r="F5" s="270"/>
      <c r="G5" s="101"/>
      <c r="H5" s="212"/>
    </row>
    <row r="6" spans="1:8" s="1" customFormat="1" ht="14">
      <c r="A6" s="101"/>
      <c r="B6" s="101"/>
      <c r="C6" s="101"/>
      <c r="D6" s="270"/>
      <c r="E6" s="270"/>
      <c r="F6" s="270"/>
      <c r="G6" s="101"/>
      <c r="H6" s="212"/>
    </row>
    <row r="7" spans="1:8" s="1" customFormat="1" ht="15" thickBot="1">
      <c r="A7" s="102" t="s">
        <v>63</v>
      </c>
      <c r="B7" s="560" t="s">
        <v>184</v>
      </c>
      <c r="C7" s="560"/>
      <c r="D7" s="560"/>
      <c r="E7" s="560"/>
      <c r="F7" s="560"/>
      <c r="G7" s="271"/>
      <c r="H7" s="212"/>
    </row>
    <row r="8" spans="1:8" ht="12">
      <c r="A8" s="115"/>
      <c r="B8" s="116"/>
      <c r="C8" s="117"/>
      <c r="D8" s="105"/>
      <c r="E8" s="103"/>
      <c r="F8" s="103"/>
      <c r="G8" s="103"/>
    </row>
    <row r="9" spans="1:8" ht="11.5" customHeight="1">
      <c r="A9" s="110"/>
      <c r="B9" s="197"/>
      <c r="C9" s="108"/>
      <c r="D9" s="105"/>
      <c r="E9" s="104"/>
      <c r="F9" s="193"/>
    </row>
    <row r="10" spans="1:8" ht="12">
      <c r="A10" s="110" t="s">
        <v>119</v>
      </c>
      <c r="B10" s="199" t="s">
        <v>185</v>
      </c>
      <c r="C10" s="194"/>
      <c r="G10" s="201"/>
      <c r="H10" s="194"/>
    </row>
    <row r="11" spans="1:8" ht="72">
      <c r="A11" s="198"/>
      <c r="B11" s="110" t="s">
        <v>526</v>
      </c>
      <c r="C11" s="194"/>
      <c r="G11" s="194"/>
      <c r="H11" s="105"/>
    </row>
    <row r="12" spans="1:8" s="216" customFormat="1" ht="12">
      <c r="A12" s="110"/>
      <c r="B12" s="421" t="s">
        <v>719</v>
      </c>
      <c r="C12" s="422" t="s">
        <v>135</v>
      </c>
      <c r="D12" s="105">
        <v>17</v>
      </c>
      <c r="E12" s="104"/>
      <c r="F12" s="201">
        <f>ROUND(D12*E12,2)</f>
        <v>0</v>
      </c>
      <c r="G12" s="201"/>
      <c r="H12" s="105"/>
    </row>
    <row r="13" spans="1:8" s="216" customFormat="1" ht="12">
      <c r="A13" s="110"/>
      <c r="B13" s="421" t="s">
        <v>720</v>
      </c>
      <c r="C13" s="422" t="s">
        <v>135</v>
      </c>
      <c r="D13" s="105">
        <v>7</v>
      </c>
      <c r="E13" s="104"/>
      <c r="F13" s="201">
        <f t="shared" ref="F13:F30" si="0">ROUND(D13*E13,2)</f>
        <v>0</v>
      </c>
      <c r="G13" s="201"/>
      <c r="H13" s="105"/>
    </row>
    <row r="14" spans="1:8" s="216" customFormat="1" ht="12">
      <c r="A14" s="110"/>
      <c r="B14" s="421" t="s">
        <v>775</v>
      </c>
      <c r="C14" s="422" t="s">
        <v>135</v>
      </c>
      <c r="D14" s="105">
        <v>5</v>
      </c>
      <c r="E14" s="104"/>
      <c r="F14" s="201">
        <f t="shared" si="0"/>
        <v>0</v>
      </c>
      <c r="G14" s="201"/>
      <c r="H14" s="105"/>
    </row>
    <row r="15" spans="1:8" s="216" customFormat="1" ht="12">
      <c r="A15" s="110"/>
      <c r="B15" s="421" t="s">
        <v>722</v>
      </c>
      <c r="C15" s="422" t="s">
        <v>135</v>
      </c>
      <c r="D15" s="105">
        <v>1</v>
      </c>
      <c r="E15" s="104"/>
      <c r="F15" s="201">
        <f t="shared" si="0"/>
        <v>0</v>
      </c>
      <c r="G15" s="201"/>
      <c r="H15" s="105"/>
    </row>
    <row r="16" spans="1:8" s="216" customFormat="1" ht="12">
      <c r="A16" s="110"/>
      <c r="B16" s="421" t="s">
        <v>723</v>
      </c>
      <c r="C16" s="422" t="s">
        <v>135</v>
      </c>
      <c r="D16" s="105">
        <v>1</v>
      </c>
      <c r="E16" s="104"/>
      <c r="F16" s="201">
        <f t="shared" si="0"/>
        <v>0</v>
      </c>
      <c r="G16" s="201"/>
      <c r="H16" s="105"/>
    </row>
    <row r="17" spans="1:8" s="216" customFormat="1" ht="12">
      <c r="A17" s="110"/>
      <c r="B17" s="421" t="s">
        <v>724</v>
      </c>
      <c r="C17" s="422" t="s">
        <v>135</v>
      </c>
      <c r="D17" s="105">
        <v>8</v>
      </c>
      <c r="E17" s="104"/>
      <c r="F17" s="201">
        <f t="shared" si="0"/>
        <v>0</v>
      </c>
      <c r="G17" s="201"/>
      <c r="H17" s="105"/>
    </row>
    <row r="18" spans="1:8" s="216" customFormat="1" ht="12">
      <c r="A18" s="110"/>
      <c r="B18" s="421" t="s">
        <v>802</v>
      </c>
      <c r="C18" s="422" t="s">
        <v>135</v>
      </c>
      <c r="D18" s="105">
        <v>5</v>
      </c>
      <c r="E18" s="104"/>
      <c r="F18" s="201">
        <f t="shared" si="0"/>
        <v>0</v>
      </c>
      <c r="G18" s="201"/>
      <c r="H18" s="105"/>
    </row>
    <row r="19" spans="1:8" s="216" customFormat="1" ht="12">
      <c r="A19" s="110"/>
      <c r="B19" s="421" t="s">
        <v>725</v>
      </c>
      <c r="C19" s="422" t="s">
        <v>135</v>
      </c>
      <c r="D19" s="105">
        <v>16</v>
      </c>
      <c r="E19" s="104"/>
      <c r="F19" s="201">
        <f t="shared" si="0"/>
        <v>0</v>
      </c>
      <c r="G19" s="201"/>
      <c r="H19" s="105"/>
    </row>
    <row r="20" spans="1:8" s="216" customFormat="1" ht="12">
      <c r="A20" s="110"/>
      <c r="B20" s="421" t="s">
        <v>726</v>
      </c>
      <c r="C20" s="422" t="s">
        <v>135</v>
      </c>
      <c r="D20" s="105">
        <v>2</v>
      </c>
      <c r="E20" s="104"/>
      <c r="F20" s="201">
        <f t="shared" si="0"/>
        <v>0</v>
      </c>
      <c r="G20" s="201"/>
      <c r="H20" s="105"/>
    </row>
    <row r="21" spans="1:8" s="216" customFormat="1" ht="12">
      <c r="A21" s="110"/>
      <c r="B21" s="421" t="s">
        <v>727</v>
      </c>
      <c r="C21" s="422" t="s">
        <v>135</v>
      </c>
      <c r="D21" s="105">
        <v>8</v>
      </c>
      <c r="E21" s="104"/>
      <c r="F21" s="201">
        <f t="shared" si="0"/>
        <v>0</v>
      </c>
      <c r="G21" s="201"/>
      <c r="H21" s="105"/>
    </row>
    <row r="22" spans="1:8" s="216" customFormat="1" ht="12">
      <c r="A22" s="110"/>
      <c r="B22" s="421" t="s">
        <v>728</v>
      </c>
      <c r="C22" s="422" t="s">
        <v>135</v>
      </c>
      <c r="D22" s="105">
        <v>9</v>
      </c>
      <c r="E22" s="104"/>
      <c r="F22" s="201">
        <f t="shared" si="0"/>
        <v>0</v>
      </c>
      <c r="G22" s="201"/>
      <c r="H22" s="105"/>
    </row>
    <row r="23" spans="1:8" s="216" customFormat="1" ht="12">
      <c r="A23" s="110"/>
      <c r="B23" s="421" t="s">
        <v>729</v>
      </c>
      <c r="C23" s="422" t="s">
        <v>135</v>
      </c>
      <c r="D23" s="105">
        <v>5</v>
      </c>
      <c r="E23" s="104"/>
      <c r="F23" s="201">
        <f t="shared" si="0"/>
        <v>0</v>
      </c>
      <c r="G23" s="201"/>
      <c r="H23" s="105"/>
    </row>
    <row r="24" spans="1:8" s="216" customFormat="1" ht="12">
      <c r="A24" s="110"/>
      <c r="B24" s="421" t="s">
        <v>730</v>
      </c>
      <c r="C24" s="422" t="s">
        <v>135</v>
      </c>
      <c r="D24" s="105">
        <v>21</v>
      </c>
      <c r="E24" s="104"/>
      <c r="F24" s="201">
        <f t="shared" si="0"/>
        <v>0</v>
      </c>
      <c r="G24" s="201"/>
      <c r="H24" s="105"/>
    </row>
    <row r="25" spans="1:8" s="216" customFormat="1" ht="12">
      <c r="A25" s="110"/>
      <c r="B25" s="421" t="s">
        <v>731</v>
      </c>
      <c r="C25" s="422" t="s">
        <v>135</v>
      </c>
      <c r="D25" s="105">
        <v>12</v>
      </c>
      <c r="E25" s="104"/>
      <c r="F25" s="201">
        <f t="shared" si="0"/>
        <v>0</v>
      </c>
      <c r="G25" s="201"/>
      <c r="H25" s="105"/>
    </row>
    <row r="26" spans="1:8" s="216" customFormat="1" ht="12">
      <c r="A26" s="110"/>
      <c r="B26" s="421" t="s">
        <v>732</v>
      </c>
      <c r="C26" s="422" t="s">
        <v>135</v>
      </c>
      <c r="D26" s="105">
        <v>5</v>
      </c>
      <c r="E26" s="104"/>
      <c r="F26" s="201">
        <f t="shared" si="0"/>
        <v>0</v>
      </c>
      <c r="G26" s="201"/>
      <c r="H26" s="105"/>
    </row>
    <row r="27" spans="1:8" s="216" customFormat="1" ht="12">
      <c r="A27" s="110"/>
      <c r="B27" s="421" t="s">
        <v>733</v>
      </c>
      <c r="C27" s="422" t="s">
        <v>135</v>
      </c>
      <c r="D27" s="105">
        <v>23</v>
      </c>
      <c r="E27" s="104"/>
      <c r="F27" s="201">
        <f t="shared" si="0"/>
        <v>0</v>
      </c>
      <c r="G27" s="201"/>
      <c r="H27" s="105"/>
    </row>
    <row r="28" spans="1:8" s="216" customFormat="1" ht="12">
      <c r="A28" s="110"/>
      <c r="B28" s="421" t="s">
        <v>734</v>
      </c>
      <c r="C28" s="422" t="s">
        <v>135</v>
      </c>
      <c r="D28" s="105">
        <v>4</v>
      </c>
      <c r="E28" s="104"/>
      <c r="F28" s="201">
        <f t="shared" si="0"/>
        <v>0</v>
      </c>
      <c r="G28" s="201"/>
      <c r="H28" s="105"/>
    </row>
    <row r="29" spans="1:8" s="216" customFormat="1" ht="12">
      <c r="A29" s="110"/>
      <c r="B29" s="421" t="s">
        <v>800</v>
      </c>
      <c r="C29" s="422" t="s">
        <v>135</v>
      </c>
      <c r="D29" s="105">
        <v>2</v>
      </c>
      <c r="E29" s="104"/>
      <c r="F29" s="201">
        <f t="shared" si="0"/>
        <v>0</v>
      </c>
      <c r="G29" s="201"/>
      <c r="H29" s="105"/>
    </row>
    <row r="30" spans="1:8" s="216" customFormat="1" ht="12">
      <c r="A30" s="110"/>
      <c r="B30" s="421" t="s">
        <v>800</v>
      </c>
      <c r="C30" s="422" t="s">
        <v>135</v>
      </c>
      <c r="D30" s="105">
        <v>2</v>
      </c>
      <c r="E30" s="104"/>
      <c r="F30" s="201">
        <f t="shared" si="0"/>
        <v>0</v>
      </c>
      <c r="G30" s="201"/>
      <c r="H30" s="105"/>
    </row>
    <row r="31" spans="1:8" s="216" customFormat="1" ht="14.25" customHeight="1">
      <c r="A31" s="246"/>
      <c r="B31" s="197"/>
      <c r="C31" s="86"/>
      <c r="D31" s="105"/>
      <c r="E31" s="273"/>
      <c r="F31" s="263">
        <f>SUM(F12:F30)</f>
        <v>0</v>
      </c>
      <c r="G31" s="105"/>
      <c r="H31" s="247"/>
    </row>
    <row r="32" spans="1:8" ht="12.5" thickBot="1">
      <c r="A32" s="198"/>
      <c r="B32" s="107"/>
      <c r="C32" s="262"/>
      <c r="D32" s="105"/>
      <c r="E32" s="104"/>
      <c r="F32" s="193"/>
    </row>
    <row r="33" spans="1:6" ht="12.5" thickBot="1">
      <c r="A33" s="438" t="s">
        <v>63</v>
      </c>
      <c r="B33" s="439" t="s">
        <v>186</v>
      </c>
      <c r="C33" s="440"/>
      <c r="D33" s="441"/>
      <c r="E33" s="442" t="s">
        <v>507</v>
      </c>
      <c r="F33" s="443">
        <f>SUM(F31)</f>
        <v>0</v>
      </c>
    </row>
    <row r="34" spans="1:6" ht="12">
      <c r="A34" s="274"/>
      <c r="B34" s="274"/>
      <c r="C34" s="275"/>
      <c r="D34" s="276"/>
      <c r="E34" s="276"/>
      <c r="F34" s="276"/>
    </row>
  </sheetData>
  <sheetProtection algorithmName="SHA-512" hashValue="88pH/sXOz20E2E/8B3rVziFRgQ68lScCpwr/jhaLVo4iPJCIFTaOXVqgn6Uh5BczuC2zM9ZmjLB25OZ1Fer4eA==" saltValue="zTNdO4oSkljLP1H/XMmq5g==" spinCount="100000" sheet="1" objects="1" scenarios="1"/>
  <mergeCells count="3">
    <mergeCell ref="A2:F2"/>
    <mergeCell ref="A3:F3"/>
    <mergeCell ref="B7:F7"/>
  </mergeCells>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37"/>
  <sheetViews>
    <sheetView view="pageBreakPreview" topLeftCell="A17" zoomScaleNormal="90" zoomScaleSheetLayoutView="100" workbookViewId="0">
      <selection activeCell="D25" sqref="D25"/>
    </sheetView>
  </sheetViews>
  <sheetFormatPr defaultColWidth="9.1796875" defaultRowHeight="14"/>
  <cols>
    <col min="1" max="1" width="5.7265625" style="1" customWidth="1"/>
    <col min="2" max="2" width="42" style="1" customWidth="1"/>
    <col min="3" max="3" width="7.7265625" style="128" customWidth="1"/>
    <col min="4" max="4" width="9.7265625" style="195" customWidth="1"/>
    <col min="5" max="5" width="10.7265625" style="1" customWidth="1"/>
    <col min="6" max="6" width="10.7265625" style="95" customWidth="1"/>
    <col min="7" max="7" width="9.1796875" style="1"/>
    <col min="8" max="8" width="34" style="1" customWidth="1"/>
    <col min="9" max="16384" width="9.1796875" style="1"/>
  </cols>
  <sheetData>
    <row r="1" spans="1:7">
      <c r="A1" s="563"/>
      <c r="B1" s="563"/>
      <c r="C1" s="563"/>
      <c r="D1" s="563"/>
      <c r="E1" s="563"/>
      <c r="F1" s="563"/>
      <c r="G1" s="95"/>
    </row>
    <row r="2" spans="1:7">
      <c r="A2" s="551" t="s">
        <v>706</v>
      </c>
      <c r="B2" s="552"/>
      <c r="C2" s="552"/>
      <c r="D2" s="552"/>
      <c r="E2" s="552"/>
      <c r="F2" s="553"/>
    </row>
    <row r="3" spans="1:7">
      <c r="A3" s="555" t="s">
        <v>187</v>
      </c>
      <c r="B3" s="555"/>
      <c r="C3" s="555"/>
      <c r="D3" s="555"/>
      <c r="E3" s="555"/>
      <c r="F3" s="555"/>
    </row>
    <row r="4" spans="1:7">
      <c r="A4" s="112" t="s">
        <v>98</v>
      </c>
      <c r="B4" s="112" t="s">
        <v>99</v>
      </c>
      <c r="C4" s="112" t="s">
        <v>100</v>
      </c>
      <c r="D4" s="269" t="s">
        <v>101</v>
      </c>
      <c r="E4" s="112" t="s">
        <v>102</v>
      </c>
      <c r="F4" s="112" t="s">
        <v>103</v>
      </c>
    </row>
    <row r="5" spans="1:7">
      <c r="A5" s="101"/>
      <c r="B5" s="101"/>
      <c r="C5" s="101"/>
      <c r="D5" s="270"/>
      <c r="E5" s="101"/>
      <c r="F5" s="101"/>
    </row>
    <row r="6" spans="1:7">
      <c r="A6" s="101"/>
      <c r="B6" s="101"/>
      <c r="C6" s="101"/>
      <c r="D6" s="270"/>
      <c r="E6" s="101"/>
      <c r="F6" s="101"/>
    </row>
    <row r="7" spans="1:7" ht="15" thickBot="1">
      <c r="A7" s="102" t="s">
        <v>39</v>
      </c>
      <c r="B7" s="560" t="s">
        <v>65</v>
      </c>
      <c r="C7" s="560"/>
      <c r="D7" s="560"/>
      <c r="E7" s="560"/>
      <c r="F7" s="560"/>
    </row>
    <row r="8" spans="1:7">
      <c r="A8" s="115"/>
      <c r="B8" s="116"/>
      <c r="C8" s="117"/>
      <c r="D8" s="105"/>
      <c r="E8" s="118"/>
      <c r="F8" s="103"/>
    </row>
    <row r="9" spans="1:7" ht="14.5">
      <c r="A9" s="323" t="s">
        <v>75</v>
      </c>
      <c r="B9" s="120"/>
      <c r="C9" s="200"/>
      <c r="D9" s="203"/>
      <c r="E9" s="201"/>
      <c r="F9" s="1"/>
    </row>
    <row r="10" spans="1:7" ht="14.5">
      <c r="A10" s="323"/>
      <c r="B10" s="120"/>
      <c r="C10" s="200"/>
      <c r="D10" s="203"/>
      <c r="E10" s="201"/>
      <c r="F10" s="1"/>
    </row>
    <row r="11" spans="1:7" ht="54.75" customHeight="1">
      <c r="A11" s="564" t="s">
        <v>188</v>
      </c>
      <c r="B11" s="564"/>
      <c r="C11" s="564"/>
      <c r="D11" s="564"/>
      <c r="E11" s="564"/>
      <c r="F11" s="1"/>
    </row>
    <row r="12" spans="1:7">
      <c r="A12" s="326"/>
      <c r="B12" s="327"/>
      <c r="C12" s="328"/>
      <c r="D12" s="324"/>
      <c r="E12" s="297"/>
      <c r="F12" s="1"/>
    </row>
    <row r="13" spans="1:7" ht="45" customHeight="1">
      <c r="A13" s="556" t="s">
        <v>189</v>
      </c>
      <c r="B13" s="562"/>
      <c r="C13" s="562"/>
      <c r="D13" s="562"/>
      <c r="E13" s="562"/>
      <c r="F13" s="1"/>
    </row>
    <row r="14" spans="1:7">
      <c r="A14" s="326"/>
      <c r="B14" s="327"/>
      <c r="C14" s="328"/>
      <c r="D14" s="324"/>
      <c r="E14" s="297"/>
      <c r="F14" s="1"/>
    </row>
    <row r="15" spans="1:7" ht="99.75" customHeight="1">
      <c r="A15" s="556" t="s">
        <v>190</v>
      </c>
      <c r="B15" s="562"/>
      <c r="C15" s="562"/>
      <c r="D15" s="562"/>
      <c r="E15" s="562"/>
      <c r="F15" s="1"/>
    </row>
    <row r="16" spans="1:7">
      <c r="A16" s="326"/>
      <c r="B16" s="327"/>
      <c r="C16" s="328"/>
      <c r="D16" s="324"/>
      <c r="E16" s="297"/>
      <c r="F16" s="1"/>
    </row>
    <row r="17" spans="1:16" ht="47.25" customHeight="1">
      <c r="A17" s="556" t="s">
        <v>520</v>
      </c>
      <c r="B17" s="562"/>
      <c r="C17" s="562"/>
      <c r="D17" s="562"/>
      <c r="E17" s="562"/>
      <c r="F17" s="1"/>
    </row>
    <row r="18" spans="1:16">
      <c r="A18" s="326"/>
      <c r="B18" s="327"/>
      <c r="C18" s="328"/>
      <c r="D18" s="324"/>
      <c r="E18" s="297"/>
      <c r="F18" s="1"/>
    </row>
    <row r="19" spans="1:16" ht="60" customHeight="1">
      <c r="A19" s="556" t="s">
        <v>521</v>
      </c>
      <c r="B19" s="562"/>
      <c r="C19" s="562"/>
      <c r="D19" s="562"/>
      <c r="E19" s="562"/>
      <c r="F19" s="1"/>
    </row>
    <row r="20" spans="1:16" ht="14.5">
      <c r="A20" s="110"/>
      <c r="B20" s="79"/>
      <c r="C20" s="120"/>
      <c r="D20" s="105"/>
      <c r="E20" s="104"/>
      <c r="F20" s="193"/>
      <c r="G20" s="82"/>
      <c r="H20" s="369"/>
      <c r="I20" s="133"/>
      <c r="J20" s="81"/>
      <c r="K20" s="104"/>
      <c r="L20" s="105"/>
    </row>
    <row r="21" spans="1:16" ht="24.75" customHeight="1">
      <c r="A21" s="293" t="s">
        <v>119</v>
      </c>
      <c r="B21" s="199" t="s">
        <v>191</v>
      </c>
      <c r="C21" s="108"/>
      <c r="D21" s="105"/>
      <c r="E21" s="104"/>
      <c r="F21" s="290"/>
      <c r="G21" s="195"/>
      <c r="H21" s="212"/>
    </row>
    <row r="22" spans="1:16" ht="66" customHeight="1">
      <c r="A22" s="293"/>
      <c r="B22" s="107" t="s">
        <v>192</v>
      </c>
      <c r="C22" s="108"/>
      <c r="D22" s="105"/>
      <c r="E22" s="104"/>
      <c r="F22" s="290"/>
      <c r="G22" s="195"/>
      <c r="H22" s="212"/>
    </row>
    <row r="23" spans="1:16" s="82" customFormat="1" ht="79.5" customHeight="1">
      <c r="A23" s="293"/>
      <c r="B23" s="79" t="s">
        <v>193</v>
      </c>
      <c r="C23" s="108"/>
      <c r="D23" s="105"/>
      <c r="E23" s="370"/>
      <c r="F23" s="96"/>
      <c r="G23" s="133"/>
      <c r="H23" s="133"/>
      <c r="I23" s="133"/>
      <c r="J23" s="133"/>
      <c r="K23" s="133"/>
      <c r="L23" s="133"/>
      <c r="M23" s="133"/>
      <c r="N23" s="133"/>
      <c r="O23" s="133"/>
      <c r="P23" s="133"/>
    </row>
    <row r="24" spans="1:16">
      <c r="A24" s="293"/>
      <c r="B24" s="197"/>
      <c r="C24" s="108" t="s">
        <v>194</v>
      </c>
      <c r="D24" s="105">
        <v>50</v>
      </c>
      <c r="E24" s="104"/>
      <c r="F24" s="193">
        <f>ROUND(D24*E24,2)</f>
        <v>0</v>
      </c>
      <c r="G24" s="195"/>
      <c r="H24" s="212"/>
    </row>
    <row r="25" spans="1:16" ht="24">
      <c r="A25" s="293" t="s">
        <v>122</v>
      </c>
      <c r="B25" s="137" t="s">
        <v>195</v>
      </c>
      <c r="C25" s="108"/>
      <c r="D25" s="105"/>
      <c r="E25" s="104"/>
      <c r="F25" s="193"/>
    </row>
    <row r="26" spans="1:16" ht="28.9" customHeight="1">
      <c r="A26" s="294"/>
      <c r="B26" s="79" t="s">
        <v>196</v>
      </c>
      <c r="C26" s="108"/>
      <c r="D26" s="105"/>
      <c r="E26" s="104"/>
      <c r="F26" s="193"/>
    </row>
    <row r="27" spans="1:16">
      <c r="A27" s="294"/>
      <c r="B27" s="210"/>
      <c r="C27" s="108" t="s">
        <v>194</v>
      </c>
      <c r="D27" s="105">
        <v>50</v>
      </c>
      <c r="E27" s="104"/>
      <c r="F27" s="193">
        <f t="shared" ref="F27" si="0">ROUND(D27*E27,2)</f>
        <v>0</v>
      </c>
    </row>
    <row r="28" spans="1:16" ht="13.5" customHeight="1" thickBot="1">
      <c r="A28" s="110"/>
      <c r="B28" s="210"/>
      <c r="C28" s="108"/>
      <c r="D28" s="105"/>
      <c r="E28" s="292"/>
      <c r="F28" s="87"/>
    </row>
    <row r="29" spans="1:16" ht="14.5" thickBot="1">
      <c r="A29" s="444" t="s">
        <v>39</v>
      </c>
      <c r="B29" s="445" t="s">
        <v>197</v>
      </c>
      <c r="C29" s="243"/>
      <c r="D29" s="272"/>
      <c r="E29" s="361" t="s">
        <v>507</v>
      </c>
      <c r="F29" s="159">
        <f>SUM(F23:F28)</f>
        <v>0</v>
      </c>
    </row>
    <row r="33" spans="2:6">
      <c r="B33" s="127"/>
      <c r="F33" s="1"/>
    </row>
    <row r="34" spans="2:6">
      <c r="B34" s="127"/>
      <c r="F34" s="1"/>
    </row>
    <row r="36" spans="2:6">
      <c r="D36" s="382"/>
      <c r="F36" s="1"/>
    </row>
    <row r="37" spans="2:6">
      <c r="D37" s="382"/>
      <c r="F37" s="1"/>
    </row>
  </sheetData>
  <sheetProtection algorithmName="SHA-512" hashValue="aMZeuHcNxzSLIUsZFm/BMdNVJD5CErTP8mGK7YCHgBLby0/2twEzG0zPZnn9CpwFVPMcxwhTJcyPug/0vUQ8Bw==" saltValue="ITLcWTkJuDJ61ZC0oCqZ2g==" spinCount="100000" sheet="1" objects="1" scenarios="1"/>
  <mergeCells count="9">
    <mergeCell ref="A15:E15"/>
    <mergeCell ref="A17:E17"/>
    <mergeCell ref="A19:E19"/>
    <mergeCell ref="A1:F1"/>
    <mergeCell ref="A2:F2"/>
    <mergeCell ref="A3:F3"/>
    <mergeCell ref="B7:F7"/>
    <mergeCell ref="A11:E11"/>
    <mergeCell ref="A13:E13"/>
  </mergeCells>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1" manualBreakCount="1">
    <brk id="20"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64"/>
  <sheetViews>
    <sheetView view="pageBreakPreview" topLeftCell="A44" zoomScaleNormal="100" zoomScaleSheetLayoutView="100" workbookViewId="0">
      <selection activeCell="F59" sqref="F59"/>
    </sheetView>
  </sheetViews>
  <sheetFormatPr defaultColWidth="9.26953125" defaultRowHeight="14"/>
  <cols>
    <col min="1" max="1" width="5.54296875" style="126" customWidth="1"/>
    <col min="2" max="2" width="41.54296875" style="126" customWidth="1"/>
    <col min="3" max="3" width="7.54296875" style="283" customWidth="1"/>
    <col min="4" max="4" width="10.54296875" style="226" customWidth="1"/>
    <col min="5" max="5" width="10.54296875" style="126" customWidth="1"/>
    <col min="6" max="6" width="10.54296875" style="221" customWidth="1"/>
    <col min="7" max="16384" width="9.26953125" style="126"/>
  </cols>
  <sheetData>
    <row r="1" spans="1:6" ht="14.5">
      <c r="A1" s="133"/>
      <c r="B1" s="133"/>
      <c r="C1" s="205"/>
      <c r="D1" s="201"/>
      <c r="E1" s="133"/>
      <c r="F1" s="203"/>
    </row>
    <row r="2" spans="1:6">
      <c r="A2" s="551" t="s">
        <v>706</v>
      </c>
      <c r="B2" s="552"/>
      <c r="C2" s="552"/>
      <c r="D2" s="552"/>
      <c r="E2" s="552"/>
      <c r="F2" s="553"/>
    </row>
    <row r="3" spans="1:6">
      <c r="A3" s="568" t="s">
        <v>198</v>
      </c>
      <c r="B3" s="568"/>
      <c r="C3" s="568"/>
      <c r="D3" s="568"/>
      <c r="E3" s="568"/>
      <c r="F3" s="568"/>
    </row>
    <row r="4" spans="1:6">
      <c r="A4" s="112" t="s">
        <v>98</v>
      </c>
      <c r="B4" s="112" t="s">
        <v>99</v>
      </c>
      <c r="C4" s="112" t="s">
        <v>100</v>
      </c>
      <c r="D4" s="269" t="s">
        <v>101</v>
      </c>
      <c r="E4" s="112" t="s">
        <v>102</v>
      </c>
      <c r="F4" s="269" t="s">
        <v>103</v>
      </c>
    </row>
    <row r="5" spans="1:6">
      <c r="A5" s="101"/>
      <c r="B5" s="101"/>
      <c r="C5" s="101"/>
      <c r="D5" s="270"/>
      <c r="E5" s="101"/>
      <c r="F5" s="270"/>
    </row>
    <row r="6" spans="1:6">
      <c r="A6" s="101"/>
      <c r="B6" s="101"/>
      <c r="C6" s="101"/>
      <c r="D6" s="270"/>
      <c r="E6" s="101"/>
      <c r="F6" s="270"/>
    </row>
    <row r="7" spans="1:6" ht="15" thickBot="1">
      <c r="A7" s="102" t="s">
        <v>199</v>
      </c>
      <c r="B7" s="560" t="s">
        <v>200</v>
      </c>
      <c r="C7" s="560"/>
      <c r="D7" s="560"/>
      <c r="E7" s="560"/>
      <c r="F7" s="560"/>
    </row>
    <row r="8" spans="1:6">
      <c r="A8" s="115"/>
      <c r="B8" s="116"/>
      <c r="C8" s="117"/>
      <c r="D8" s="105"/>
      <c r="E8" s="118"/>
      <c r="F8" s="103"/>
    </row>
    <row r="9" spans="1:6">
      <c r="A9" s="326" t="s">
        <v>106</v>
      </c>
      <c r="B9" s="327"/>
      <c r="C9" s="328"/>
      <c r="D9" s="324"/>
      <c r="E9" s="297"/>
      <c r="F9" s="204"/>
    </row>
    <row r="10" spans="1:6">
      <c r="A10" s="326"/>
      <c r="B10" s="327"/>
      <c r="C10" s="328"/>
      <c r="D10" s="324"/>
      <c r="E10" s="297"/>
      <c r="F10" s="204"/>
    </row>
    <row r="11" spans="1:6" ht="29.25" customHeight="1">
      <c r="A11" s="566" t="s">
        <v>201</v>
      </c>
      <c r="B11" s="567"/>
      <c r="C11" s="567"/>
      <c r="D11" s="567"/>
      <c r="E11" s="567"/>
      <c r="F11" s="126"/>
    </row>
    <row r="12" spans="1:6" ht="12" customHeight="1">
      <c r="A12" s="286"/>
      <c r="B12" s="368"/>
      <c r="C12" s="368"/>
      <c r="D12" s="380"/>
      <c r="E12" s="368"/>
      <c r="F12" s="126"/>
    </row>
    <row r="13" spans="1:6" ht="137.25" customHeight="1">
      <c r="A13" s="566" t="s">
        <v>511</v>
      </c>
      <c r="B13" s="567"/>
      <c r="C13" s="567"/>
      <c r="D13" s="567"/>
      <c r="E13" s="567"/>
      <c r="F13" s="126"/>
    </row>
    <row r="14" spans="1:6" ht="87.75" customHeight="1">
      <c r="A14" s="566" t="s">
        <v>512</v>
      </c>
      <c r="B14" s="567"/>
      <c r="C14" s="567"/>
      <c r="D14" s="567"/>
      <c r="E14" s="567"/>
      <c r="F14" s="126"/>
    </row>
    <row r="15" spans="1:6" ht="130.15" customHeight="1">
      <c r="A15" s="566" t="s">
        <v>781</v>
      </c>
      <c r="B15" s="567"/>
      <c r="C15" s="567"/>
      <c r="D15" s="567"/>
      <c r="E15" s="567"/>
      <c r="F15" s="126"/>
    </row>
    <row r="16" spans="1:6" ht="66.650000000000006" customHeight="1">
      <c r="A16" s="566" t="s">
        <v>782</v>
      </c>
      <c r="B16" s="567"/>
      <c r="C16" s="567"/>
      <c r="D16" s="567"/>
      <c r="E16" s="567"/>
      <c r="F16" s="126"/>
    </row>
    <row r="17" spans="1:6" ht="12.4" customHeight="1">
      <c r="A17" s="286"/>
      <c r="B17" s="368"/>
      <c r="C17" s="368"/>
      <c r="D17" s="380"/>
      <c r="E17" s="368"/>
      <c r="F17" s="126"/>
    </row>
    <row r="18" spans="1:6" ht="52.5" customHeight="1">
      <c r="A18" s="566" t="s">
        <v>202</v>
      </c>
      <c r="B18" s="567"/>
      <c r="C18" s="567"/>
      <c r="D18" s="567"/>
      <c r="E18" s="567"/>
      <c r="F18" s="126"/>
    </row>
    <row r="19" spans="1:6" ht="14.5" customHeight="1">
      <c r="A19" s="286"/>
      <c r="B19" s="368"/>
      <c r="C19" s="368"/>
      <c r="D19" s="380"/>
      <c r="E19" s="368"/>
      <c r="F19" s="126"/>
    </row>
    <row r="20" spans="1:6" ht="47.5" customHeight="1">
      <c r="A20" s="566" t="s">
        <v>203</v>
      </c>
      <c r="B20" s="567"/>
      <c r="C20" s="567"/>
      <c r="D20" s="567"/>
      <c r="E20" s="567"/>
      <c r="F20" s="126"/>
    </row>
    <row r="21" spans="1:6" ht="13.75" customHeight="1">
      <c r="A21" s="286"/>
      <c r="B21" s="368"/>
      <c r="C21" s="368"/>
      <c r="D21" s="380"/>
      <c r="E21" s="368"/>
      <c r="F21" s="126"/>
    </row>
    <row r="22" spans="1:6" ht="79.5" customHeight="1">
      <c r="A22" s="566" t="s">
        <v>204</v>
      </c>
      <c r="B22" s="567"/>
      <c r="C22" s="567"/>
      <c r="D22" s="567"/>
      <c r="E22" s="567"/>
      <c r="F22" s="126"/>
    </row>
    <row r="23" spans="1:6" ht="15.4" customHeight="1">
      <c r="A23" s="286"/>
      <c r="B23" s="368"/>
      <c r="C23" s="368"/>
      <c r="D23" s="380"/>
      <c r="E23" s="368"/>
      <c r="F23" s="126"/>
    </row>
    <row r="24" spans="1:6" ht="259.5" customHeight="1">
      <c r="A24" s="566" t="s">
        <v>205</v>
      </c>
      <c r="B24" s="567"/>
      <c r="C24" s="567"/>
      <c r="D24" s="567"/>
      <c r="E24" s="567"/>
      <c r="F24" s="126"/>
    </row>
    <row r="25" spans="1:6" ht="11.65" customHeight="1">
      <c r="A25" s="286"/>
      <c r="B25" s="368"/>
      <c r="C25" s="368"/>
      <c r="D25" s="380"/>
      <c r="E25" s="368"/>
      <c r="F25" s="126"/>
    </row>
    <row r="26" spans="1:6" ht="63" customHeight="1">
      <c r="A26" s="565" t="s">
        <v>206</v>
      </c>
      <c r="B26" s="565"/>
      <c r="C26" s="565"/>
      <c r="D26" s="565"/>
      <c r="E26" s="565"/>
      <c r="F26" s="126"/>
    </row>
    <row r="27" spans="1:6" ht="14.65" customHeight="1">
      <c r="A27" s="287"/>
      <c r="B27" s="287"/>
      <c r="C27" s="287"/>
      <c r="D27" s="381"/>
      <c r="E27" s="287"/>
      <c r="F27" s="126"/>
    </row>
    <row r="28" spans="1:6" ht="45" customHeight="1">
      <c r="A28" s="566" t="s">
        <v>207</v>
      </c>
      <c r="B28" s="567"/>
      <c r="C28" s="567"/>
      <c r="D28" s="567"/>
      <c r="E28" s="567"/>
      <c r="F28" s="126"/>
    </row>
    <row r="29" spans="1:6" ht="12.75" customHeight="1">
      <c r="A29" s="286"/>
      <c r="B29" s="368"/>
      <c r="C29" s="368"/>
      <c r="D29" s="380"/>
      <c r="E29" s="368"/>
      <c r="F29" s="126"/>
    </row>
    <row r="30" spans="1:6" ht="65.25" customHeight="1">
      <c r="A30" s="566" t="s">
        <v>208</v>
      </c>
      <c r="B30" s="567"/>
      <c r="C30" s="567"/>
      <c r="D30" s="567"/>
      <c r="E30" s="567"/>
      <c r="F30" s="126"/>
    </row>
    <row r="31" spans="1:6" ht="15.75" customHeight="1">
      <c r="A31" s="286"/>
      <c r="B31" s="368"/>
      <c r="C31" s="368"/>
      <c r="D31" s="380"/>
      <c r="E31" s="368"/>
      <c r="F31" s="126"/>
    </row>
    <row r="32" spans="1:6" ht="36" customHeight="1">
      <c r="A32" s="566" t="s">
        <v>209</v>
      </c>
      <c r="B32" s="567"/>
      <c r="C32" s="567"/>
      <c r="D32" s="567"/>
      <c r="E32" s="567"/>
      <c r="F32" s="126"/>
    </row>
    <row r="33" spans="1:6" ht="16.75" customHeight="1">
      <c r="A33" s="286"/>
      <c r="B33" s="368"/>
      <c r="C33" s="368"/>
      <c r="D33" s="380"/>
      <c r="E33" s="368"/>
      <c r="F33" s="126"/>
    </row>
    <row r="34" spans="1:6" ht="39" customHeight="1">
      <c r="A34" s="566" t="s">
        <v>210</v>
      </c>
      <c r="B34" s="567"/>
      <c r="C34" s="567"/>
      <c r="D34" s="567"/>
      <c r="E34" s="567"/>
      <c r="F34" s="126"/>
    </row>
    <row r="35" spans="1:6" ht="12.75" customHeight="1">
      <c r="A35" s="286"/>
      <c r="B35" s="368"/>
      <c r="C35" s="368"/>
      <c r="D35" s="380"/>
      <c r="E35" s="368"/>
      <c r="F35" s="126"/>
    </row>
    <row r="36" spans="1:6" ht="29.65" customHeight="1">
      <c r="A36" s="566" t="s">
        <v>211</v>
      </c>
      <c r="B36" s="567"/>
      <c r="C36" s="567"/>
      <c r="D36" s="567"/>
      <c r="E36" s="567"/>
      <c r="F36" s="126"/>
    </row>
    <row r="37" spans="1:6" ht="11.65" customHeight="1">
      <c r="A37" s="286"/>
      <c r="B37" s="368"/>
      <c r="C37" s="368"/>
      <c r="D37" s="380"/>
      <c r="E37" s="368"/>
      <c r="F37" s="126"/>
    </row>
    <row r="38" spans="1:6" ht="70.5" customHeight="1">
      <c r="A38" s="566" t="s">
        <v>527</v>
      </c>
      <c r="B38" s="567"/>
      <c r="C38" s="567"/>
      <c r="D38" s="567"/>
      <c r="E38" s="567"/>
      <c r="F38" s="126"/>
    </row>
    <row r="39" spans="1:6" ht="13.75" customHeight="1">
      <c r="A39" s="286"/>
      <c r="B39" s="368"/>
      <c r="C39" s="368"/>
      <c r="D39" s="380"/>
      <c r="E39" s="368"/>
      <c r="F39" s="126"/>
    </row>
    <row r="40" spans="1:6">
      <c r="A40" s="249" t="s">
        <v>119</v>
      </c>
      <c r="B40" s="250" t="s">
        <v>212</v>
      </c>
      <c r="C40" s="206"/>
      <c r="D40" s="252"/>
      <c r="E40" s="251"/>
      <c r="F40" s="252"/>
    </row>
    <row r="41" spans="1:6" ht="72">
      <c r="A41" s="287"/>
      <c r="B41" s="286" t="s">
        <v>213</v>
      </c>
      <c r="C41" s="248"/>
      <c r="D41" s="207"/>
      <c r="E41" s="253"/>
      <c r="F41" s="254"/>
    </row>
    <row r="42" spans="1:6" ht="84">
      <c r="A42" s="287"/>
      <c r="B42" s="286" t="s">
        <v>214</v>
      </c>
      <c r="C42" s="248"/>
      <c r="D42" s="207"/>
      <c r="E42" s="253"/>
      <c r="F42" s="254"/>
    </row>
    <row r="43" spans="1:6" ht="72">
      <c r="A43" s="286"/>
      <c r="B43" s="286" t="s">
        <v>215</v>
      </c>
      <c r="C43" s="206"/>
      <c r="D43" s="207"/>
      <c r="E43" s="208"/>
      <c r="F43" s="207"/>
    </row>
    <row r="44" spans="1:6" s="216" customFormat="1" ht="12">
      <c r="A44" s="110"/>
      <c r="B44" s="421" t="s">
        <v>735</v>
      </c>
      <c r="C44" s="422" t="s">
        <v>135</v>
      </c>
      <c r="D44" s="105">
        <v>11</v>
      </c>
      <c r="E44" s="104"/>
      <c r="F44" s="201">
        <f>ROUND(D44*E44,2)</f>
        <v>0</v>
      </c>
    </row>
    <row r="45" spans="1:6" s="216" customFormat="1" ht="12">
      <c r="A45" s="110"/>
      <c r="B45" s="421" t="s">
        <v>736</v>
      </c>
      <c r="C45" s="422" t="s">
        <v>135</v>
      </c>
      <c r="D45" s="105">
        <v>4</v>
      </c>
      <c r="E45" s="104"/>
      <c r="F45" s="201">
        <f t="shared" ref="F45:F55" si="0">ROUND(D45*E45,2)</f>
        <v>0</v>
      </c>
    </row>
    <row r="46" spans="1:6" s="216" customFormat="1" ht="12">
      <c r="A46" s="110"/>
      <c r="B46" s="421" t="s">
        <v>737</v>
      </c>
      <c r="C46" s="422" t="s">
        <v>135</v>
      </c>
      <c r="D46" s="105">
        <v>3</v>
      </c>
      <c r="E46" s="104"/>
      <c r="F46" s="201">
        <f t="shared" si="0"/>
        <v>0</v>
      </c>
    </row>
    <row r="47" spans="1:6" s="216" customFormat="1" ht="12">
      <c r="A47" s="110"/>
      <c r="B47" s="421" t="s">
        <v>738</v>
      </c>
      <c r="C47" s="422" t="s">
        <v>135</v>
      </c>
      <c r="D47" s="105">
        <v>3</v>
      </c>
      <c r="E47" s="104"/>
      <c r="F47" s="201">
        <f t="shared" si="0"/>
        <v>0</v>
      </c>
    </row>
    <row r="48" spans="1:6" s="216" customFormat="1" ht="12">
      <c r="A48" s="110"/>
      <c r="B48" s="421" t="s">
        <v>739</v>
      </c>
      <c r="C48" s="422" t="s">
        <v>135</v>
      </c>
      <c r="D48" s="105">
        <v>3</v>
      </c>
      <c r="E48" s="104"/>
      <c r="F48" s="201">
        <f t="shared" si="0"/>
        <v>0</v>
      </c>
    </row>
    <row r="49" spans="1:6" s="216" customFormat="1" ht="12">
      <c r="A49" s="110"/>
      <c r="B49" s="421" t="s">
        <v>740</v>
      </c>
      <c r="C49" s="422" t="s">
        <v>135</v>
      </c>
      <c r="D49" s="105">
        <v>1</v>
      </c>
      <c r="E49" s="104"/>
      <c r="F49" s="201">
        <f t="shared" si="0"/>
        <v>0</v>
      </c>
    </row>
    <row r="50" spans="1:6" s="216" customFormat="1" ht="12">
      <c r="A50" s="110"/>
      <c r="B50" s="421" t="s">
        <v>741</v>
      </c>
      <c r="C50" s="422" t="s">
        <v>135</v>
      </c>
      <c r="D50" s="105">
        <v>2</v>
      </c>
      <c r="E50" s="104"/>
      <c r="F50" s="201">
        <f t="shared" si="0"/>
        <v>0</v>
      </c>
    </row>
    <row r="51" spans="1:6" s="216" customFormat="1" ht="12">
      <c r="A51" s="110"/>
      <c r="B51" s="421" t="s">
        <v>742</v>
      </c>
      <c r="C51" s="422" t="s">
        <v>135</v>
      </c>
      <c r="D51" s="105">
        <v>3</v>
      </c>
      <c r="E51" s="104"/>
      <c r="F51" s="201">
        <f t="shared" si="0"/>
        <v>0</v>
      </c>
    </row>
    <row r="52" spans="1:6" s="216" customFormat="1" ht="12">
      <c r="A52" s="110"/>
      <c r="B52" s="421" t="s">
        <v>770</v>
      </c>
      <c r="C52" s="422" t="s">
        <v>135</v>
      </c>
      <c r="D52" s="105">
        <v>3</v>
      </c>
      <c r="E52" s="104"/>
      <c r="F52" s="201">
        <f t="shared" si="0"/>
        <v>0</v>
      </c>
    </row>
    <row r="53" spans="1:6" s="216" customFormat="1" ht="12">
      <c r="A53" s="110"/>
      <c r="B53" s="421" t="s">
        <v>743</v>
      </c>
      <c r="C53" s="422" t="s">
        <v>135</v>
      </c>
      <c r="D53" s="105">
        <v>35</v>
      </c>
      <c r="E53" s="104"/>
      <c r="F53" s="201">
        <f t="shared" si="0"/>
        <v>0</v>
      </c>
    </row>
    <row r="54" spans="1:6" s="216" customFormat="1" ht="12">
      <c r="A54" s="110"/>
      <c r="B54" s="421" t="s">
        <v>744</v>
      </c>
      <c r="C54" s="422" t="s">
        <v>135</v>
      </c>
      <c r="D54" s="105">
        <v>5</v>
      </c>
      <c r="E54" s="104"/>
      <c r="F54" s="201">
        <f t="shared" si="0"/>
        <v>0</v>
      </c>
    </row>
    <row r="55" spans="1:6" s="216" customFormat="1" ht="12">
      <c r="A55" s="110"/>
      <c r="B55" s="469" t="s">
        <v>745</v>
      </c>
      <c r="C55" s="461" t="s">
        <v>135</v>
      </c>
      <c r="D55" s="462">
        <v>1</v>
      </c>
      <c r="E55" s="428"/>
      <c r="F55" s="423">
        <f t="shared" si="0"/>
        <v>0</v>
      </c>
    </row>
    <row r="56" spans="1:6" s="1" customFormat="1">
      <c r="A56" s="249"/>
      <c r="B56" s="255"/>
      <c r="C56" s="206"/>
      <c r="D56" s="207"/>
      <c r="E56" s="251"/>
      <c r="F56" s="256">
        <f>SUM(F44:F55)</f>
        <v>0</v>
      </c>
    </row>
    <row r="57" spans="1:6" s="1" customFormat="1">
      <c r="A57" s="249"/>
      <c r="B57" s="255"/>
      <c r="C57" s="206"/>
      <c r="D57" s="207"/>
      <c r="E57" s="251"/>
      <c r="F57" s="256"/>
    </row>
    <row r="58" spans="1:6" s="1" customFormat="1" ht="24">
      <c r="A58" s="249" t="s">
        <v>122</v>
      </c>
      <c r="B58" s="287" t="s">
        <v>216</v>
      </c>
      <c r="C58" s="206" t="s">
        <v>217</v>
      </c>
      <c r="D58" s="252">
        <f>250</f>
        <v>250</v>
      </c>
      <c r="E58" s="251"/>
      <c r="F58" s="257">
        <f>ROUND(D58*E58,2)</f>
        <v>0</v>
      </c>
    </row>
    <row r="59" spans="1:6" s="1" customFormat="1" ht="15.75" customHeight="1">
      <c r="A59" s="249"/>
      <c r="B59" s="258"/>
      <c r="C59" s="206"/>
      <c r="D59" s="252"/>
      <c r="E59" s="251"/>
      <c r="F59" s="257"/>
    </row>
    <row r="60" spans="1:6" s="1" customFormat="1" ht="15" customHeight="1">
      <c r="A60" s="110" t="s">
        <v>127</v>
      </c>
      <c r="B60" s="295" t="s">
        <v>218</v>
      </c>
      <c r="C60" s="86"/>
      <c r="D60" s="105"/>
      <c r="E60" s="292"/>
      <c r="F60" s="257"/>
    </row>
    <row r="61" spans="1:6" s="1" customFormat="1" ht="209.25" customHeight="1">
      <c r="A61" s="110"/>
      <c r="B61" s="398" t="s">
        <v>219</v>
      </c>
      <c r="C61" s="108"/>
      <c r="D61" s="105"/>
      <c r="E61" s="292"/>
      <c r="F61" s="257"/>
    </row>
    <row r="62" spans="1:6" s="1" customFormat="1">
      <c r="A62" s="110"/>
      <c r="B62" s="192" t="s">
        <v>220</v>
      </c>
      <c r="C62" s="108" t="s">
        <v>121</v>
      </c>
      <c r="D62" s="105">
        <v>27.5</v>
      </c>
      <c r="E62" s="104"/>
      <c r="F62" s="257">
        <f t="shared" ref="F62" si="1">ROUND(D62*E62,2)</f>
        <v>0</v>
      </c>
    </row>
    <row r="63" spans="1:6" s="1" customFormat="1" ht="14.5" thickBot="1">
      <c r="A63" s="277"/>
      <c r="B63" s="194"/>
      <c r="C63" s="194"/>
      <c r="D63" s="195"/>
      <c r="E63" s="194"/>
      <c r="F63" s="195"/>
    </row>
    <row r="64" spans="1:6" ht="15.75" customHeight="1" thickBot="1">
      <c r="A64" s="278" t="s">
        <v>41</v>
      </c>
      <c r="B64" s="279" t="s">
        <v>221</v>
      </c>
      <c r="C64" s="280"/>
      <c r="D64" s="379"/>
      <c r="E64" s="281" t="s">
        <v>507</v>
      </c>
      <c r="F64" s="282">
        <f>SUM(F56+F58+F62)</f>
        <v>0</v>
      </c>
    </row>
  </sheetData>
  <sheetProtection algorithmName="SHA-512" hashValue="v0JsP2gNM+q9pDudiehvxl/MFcp5rzw9bm5bRNtR3pgCOfBApH99GXEbVvW2be5HmZsEoWLDgUuUgM1AGIqgEw==" saltValue="oNbkff/Bj5il0UvzN5cy9Q==" spinCount="100000" sheet="1" objects="1" scenarios="1"/>
  <mergeCells count="19">
    <mergeCell ref="A38:E38"/>
    <mergeCell ref="A2:F2"/>
    <mergeCell ref="A3:F3"/>
    <mergeCell ref="B7:F7"/>
    <mergeCell ref="A28:E28"/>
    <mergeCell ref="A30:E30"/>
    <mergeCell ref="A32:E32"/>
    <mergeCell ref="A34:E34"/>
    <mergeCell ref="A36:E36"/>
    <mergeCell ref="A18:E18"/>
    <mergeCell ref="A20:E20"/>
    <mergeCell ref="A22:E22"/>
    <mergeCell ref="A24:E24"/>
    <mergeCell ref="A26:E26"/>
    <mergeCell ref="A11:E11"/>
    <mergeCell ref="A13:E13"/>
    <mergeCell ref="A14:E14"/>
    <mergeCell ref="A15:E15"/>
    <mergeCell ref="A16:E16"/>
  </mergeCells>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4" manualBreakCount="4">
    <brk id="17" max="16383" man="1"/>
    <brk id="25" max="16383" man="1"/>
    <brk id="39" max="16383" man="1"/>
    <brk id="59"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37"/>
  <sheetViews>
    <sheetView view="pageBreakPreview" topLeftCell="A16" zoomScale="112" zoomScaleNormal="100" zoomScaleSheetLayoutView="112" workbookViewId="0">
      <selection activeCell="G34" sqref="G34"/>
    </sheetView>
  </sheetViews>
  <sheetFormatPr defaultColWidth="9.26953125" defaultRowHeight="14"/>
  <cols>
    <col min="1" max="1" width="5.54296875" style="126" customWidth="1"/>
    <col min="2" max="2" width="41.54296875" style="126" customWidth="1"/>
    <col min="3" max="3" width="7.54296875" style="283" customWidth="1"/>
    <col min="4" max="4" width="10.54296875" style="226" customWidth="1"/>
    <col min="5" max="5" width="10.54296875" style="126" customWidth="1"/>
    <col min="6" max="6" width="10.54296875" style="221" customWidth="1"/>
    <col min="7" max="9" width="9.26953125" style="126"/>
    <col min="10" max="10" width="45.453125" style="126" customWidth="1"/>
    <col min="11" max="16384" width="9.26953125" style="126"/>
  </cols>
  <sheetData>
    <row r="1" spans="1:8" ht="14.5">
      <c r="A1" s="133"/>
      <c r="B1" s="133"/>
      <c r="C1" s="205"/>
      <c r="D1" s="201"/>
      <c r="E1" s="133"/>
      <c r="F1" s="203"/>
    </row>
    <row r="2" spans="1:8">
      <c r="A2" s="551" t="s">
        <v>706</v>
      </c>
      <c r="B2" s="552"/>
      <c r="C2" s="552"/>
      <c r="D2" s="552"/>
      <c r="E2" s="552"/>
      <c r="F2" s="553"/>
    </row>
    <row r="3" spans="1:8">
      <c r="A3" s="568" t="s">
        <v>222</v>
      </c>
      <c r="B3" s="568"/>
      <c r="C3" s="568"/>
      <c r="D3" s="568"/>
      <c r="E3" s="568"/>
      <c r="F3" s="568"/>
      <c r="G3" s="221"/>
    </row>
    <row r="4" spans="1:8">
      <c r="A4" s="112" t="s">
        <v>98</v>
      </c>
      <c r="B4" s="112" t="s">
        <v>99</v>
      </c>
      <c r="C4" s="112" t="s">
        <v>100</v>
      </c>
      <c r="D4" s="269" t="s">
        <v>101</v>
      </c>
      <c r="E4" s="112" t="s">
        <v>102</v>
      </c>
      <c r="F4" s="269" t="s">
        <v>103</v>
      </c>
    </row>
    <row r="5" spans="1:8">
      <c r="A5" s="101"/>
      <c r="B5" s="101"/>
      <c r="C5" s="101"/>
      <c r="D5" s="270"/>
      <c r="E5" s="101"/>
      <c r="F5" s="270"/>
    </row>
    <row r="6" spans="1:8">
      <c r="A6" s="101"/>
      <c r="B6" s="101"/>
      <c r="C6" s="101"/>
      <c r="D6" s="270"/>
      <c r="E6" s="101"/>
      <c r="F6" s="270"/>
    </row>
    <row r="7" spans="1:8" ht="15" thickBot="1">
      <c r="A7" s="102" t="s">
        <v>67</v>
      </c>
      <c r="B7" s="560" t="s">
        <v>223</v>
      </c>
      <c r="C7" s="560"/>
      <c r="D7" s="560"/>
      <c r="E7" s="560"/>
      <c r="F7" s="560"/>
    </row>
    <row r="8" spans="1:8">
      <c r="A8" s="115"/>
      <c r="B8" s="116"/>
      <c r="C8" s="117"/>
      <c r="D8" s="105"/>
      <c r="E8" s="118"/>
      <c r="F8" s="103"/>
    </row>
    <row r="9" spans="1:8">
      <c r="A9" s="106"/>
      <c r="B9" s="236"/>
      <c r="C9" s="236"/>
      <c r="D9" s="378"/>
      <c r="E9" s="236"/>
      <c r="F9" s="204"/>
    </row>
    <row r="10" spans="1:8" ht="18" customHeight="1">
      <c r="A10" s="249" t="s">
        <v>119</v>
      </c>
      <c r="B10" s="250" t="s">
        <v>17</v>
      </c>
      <c r="C10" s="206"/>
      <c r="D10" s="252"/>
      <c r="E10" s="251"/>
      <c r="F10" s="252"/>
    </row>
    <row r="11" spans="1:8" ht="72">
      <c r="A11" s="287"/>
      <c r="B11" s="286" t="s">
        <v>213</v>
      </c>
      <c r="C11" s="248"/>
      <c r="D11" s="207"/>
      <c r="E11" s="253"/>
      <c r="F11" s="254"/>
    </row>
    <row r="12" spans="1:8" ht="84">
      <c r="A12" s="287"/>
      <c r="B12" s="286" t="s">
        <v>214</v>
      </c>
      <c r="C12" s="248"/>
      <c r="D12" s="207"/>
      <c r="E12" s="253"/>
      <c r="F12" s="254"/>
    </row>
    <row r="13" spans="1:8" ht="60">
      <c r="A13" s="286"/>
      <c r="B13" s="286" t="s">
        <v>224</v>
      </c>
      <c r="C13" s="206"/>
      <c r="D13" s="207"/>
      <c r="E13" s="208"/>
      <c r="F13" s="207"/>
    </row>
    <row r="14" spans="1:8" s="216" customFormat="1" ht="15" customHeight="1">
      <c r="A14" s="110"/>
      <c r="B14" s="421" t="s">
        <v>719</v>
      </c>
      <c r="C14" s="422" t="s">
        <v>135</v>
      </c>
      <c r="D14" s="105">
        <v>17</v>
      </c>
      <c r="E14" s="104"/>
      <c r="F14" s="201">
        <f>ROUND(D14*E14,2)</f>
        <v>0</v>
      </c>
      <c r="G14" s="105"/>
      <c r="H14" s="104"/>
    </row>
    <row r="15" spans="1:8" s="216" customFormat="1" ht="13.5" customHeight="1">
      <c r="A15" s="110"/>
      <c r="B15" s="421" t="s">
        <v>720</v>
      </c>
      <c r="C15" s="422" t="s">
        <v>135</v>
      </c>
      <c r="D15" s="105">
        <v>7</v>
      </c>
      <c r="E15" s="104"/>
      <c r="F15" s="201">
        <f t="shared" ref="F15:F32" si="0">ROUND(D15*E15,2)</f>
        <v>0</v>
      </c>
      <c r="G15" s="105"/>
      <c r="H15" s="104"/>
    </row>
    <row r="16" spans="1:8" s="216" customFormat="1" ht="12">
      <c r="A16" s="110"/>
      <c r="B16" s="421" t="s">
        <v>721</v>
      </c>
      <c r="C16" s="422" t="s">
        <v>135</v>
      </c>
      <c r="D16" s="105">
        <v>5</v>
      </c>
      <c r="E16" s="104"/>
      <c r="F16" s="201">
        <f t="shared" si="0"/>
        <v>0</v>
      </c>
      <c r="G16" s="105"/>
      <c r="H16" s="104"/>
    </row>
    <row r="17" spans="1:8" s="216" customFormat="1" ht="12">
      <c r="A17" s="110"/>
      <c r="B17" s="421" t="s">
        <v>722</v>
      </c>
      <c r="C17" s="422" t="s">
        <v>135</v>
      </c>
      <c r="D17" s="105">
        <v>1</v>
      </c>
      <c r="E17" s="104"/>
      <c r="F17" s="201">
        <f t="shared" si="0"/>
        <v>0</v>
      </c>
      <c r="G17" s="105"/>
      <c r="H17" s="104"/>
    </row>
    <row r="18" spans="1:8" s="216" customFormat="1" ht="12">
      <c r="A18" s="110"/>
      <c r="B18" s="421" t="s">
        <v>723</v>
      </c>
      <c r="C18" s="422" t="s">
        <v>135</v>
      </c>
      <c r="D18" s="105">
        <v>1</v>
      </c>
      <c r="E18" s="104"/>
      <c r="F18" s="201">
        <f t="shared" si="0"/>
        <v>0</v>
      </c>
      <c r="G18" s="105"/>
      <c r="H18" s="104"/>
    </row>
    <row r="19" spans="1:8" s="216" customFormat="1" ht="12.75" customHeight="1">
      <c r="A19" s="110"/>
      <c r="B19" s="421" t="s">
        <v>724</v>
      </c>
      <c r="C19" s="422" t="s">
        <v>135</v>
      </c>
      <c r="D19" s="105">
        <v>8</v>
      </c>
      <c r="E19" s="104"/>
      <c r="F19" s="201">
        <f t="shared" si="0"/>
        <v>0</v>
      </c>
      <c r="G19" s="105"/>
      <c r="H19" s="104"/>
    </row>
    <row r="20" spans="1:8" s="216" customFormat="1" ht="14.25" customHeight="1">
      <c r="A20" s="110"/>
      <c r="B20" s="421" t="s">
        <v>803</v>
      </c>
      <c r="C20" s="422" t="s">
        <v>135</v>
      </c>
      <c r="D20" s="105">
        <v>5</v>
      </c>
      <c r="E20" s="104"/>
      <c r="F20" s="201">
        <f t="shared" si="0"/>
        <v>0</v>
      </c>
      <c r="G20" s="105"/>
      <c r="H20" s="104"/>
    </row>
    <row r="21" spans="1:8" s="216" customFormat="1" ht="12">
      <c r="A21" s="110"/>
      <c r="B21" s="421" t="s">
        <v>725</v>
      </c>
      <c r="C21" s="422" t="s">
        <v>135</v>
      </c>
      <c r="D21" s="105">
        <v>16</v>
      </c>
      <c r="E21" s="104"/>
      <c r="F21" s="201">
        <f t="shared" si="0"/>
        <v>0</v>
      </c>
      <c r="H21" s="104"/>
    </row>
    <row r="22" spans="1:8" s="216" customFormat="1" ht="12">
      <c r="A22" s="110"/>
      <c r="B22" s="421" t="s">
        <v>726</v>
      </c>
      <c r="C22" s="422" t="s">
        <v>135</v>
      </c>
      <c r="D22" s="105">
        <v>2</v>
      </c>
      <c r="E22" s="104"/>
      <c r="F22" s="201">
        <f t="shared" si="0"/>
        <v>0</v>
      </c>
      <c r="H22" s="104"/>
    </row>
    <row r="23" spans="1:8" s="216" customFormat="1" ht="12">
      <c r="A23" s="110"/>
      <c r="B23" s="421" t="s">
        <v>727</v>
      </c>
      <c r="C23" s="422" t="s">
        <v>135</v>
      </c>
      <c r="D23" s="105">
        <v>8</v>
      </c>
      <c r="E23" s="104"/>
      <c r="F23" s="201">
        <f t="shared" si="0"/>
        <v>0</v>
      </c>
      <c r="H23" s="104"/>
    </row>
    <row r="24" spans="1:8" s="216" customFormat="1" ht="12">
      <c r="A24" s="110"/>
      <c r="B24" s="421" t="s">
        <v>728</v>
      </c>
      <c r="C24" s="422" t="s">
        <v>135</v>
      </c>
      <c r="D24" s="105">
        <v>9</v>
      </c>
      <c r="E24" s="104"/>
      <c r="F24" s="201">
        <f t="shared" si="0"/>
        <v>0</v>
      </c>
      <c r="H24" s="104"/>
    </row>
    <row r="25" spans="1:8" s="216" customFormat="1" ht="12">
      <c r="A25" s="110"/>
      <c r="B25" s="421" t="s">
        <v>729</v>
      </c>
      <c r="C25" s="422" t="s">
        <v>135</v>
      </c>
      <c r="D25" s="105">
        <v>5</v>
      </c>
      <c r="E25" s="104"/>
      <c r="F25" s="201">
        <f t="shared" si="0"/>
        <v>0</v>
      </c>
      <c r="H25" s="104"/>
    </row>
    <row r="26" spans="1:8" s="216" customFormat="1" ht="12">
      <c r="A26" s="110"/>
      <c r="B26" s="421" t="s">
        <v>730</v>
      </c>
      <c r="C26" s="422" t="s">
        <v>135</v>
      </c>
      <c r="D26" s="105">
        <v>21</v>
      </c>
      <c r="E26" s="104"/>
      <c r="F26" s="201">
        <f t="shared" si="0"/>
        <v>0</v>
      </c>
      <c r="H26" s="104"/>
    </row>
    <row r="27" spans="1:8" s="216" customFormat="1" ht="12">
      <c r="A27" s="110"/>
      <c r="B27" s="421" t="s">
        <v>731</v>
      </c>
      <c r="C27" s="422" t="s">
        <v>135</v>
      </c>
      <c r="D27" s="105">
        <v>12</v>
      </c>
      <c r="E27" s="104"/>
      <c r="F27" s="201">
        <f t="shared" si="0"/>
        <v>0</v>
      </c>
      <c r="H27" s="104"/>
    </row>
    <row r="28" spans="1:8" s="216" customFormat="1" ht="12">
      <c r="A28" s="110"/>
      <c r="B28" s="421" t="s">
        <v>732</v>
      </c>
      <c r="C28" s="422" t="s">
        <v>135</v>
      </c>
      <c r="D28" s="105">
        <v>5</v>
      </c>
      <c r="E28" s="104"/>
      <c r="F28" s="201">
        <f t="shared" si="0"/>
        <v>0</v>
      </c>
      <c r="H28" s="104"/>
    </row>
    <row r="29" spans="1:8" s="216" customFormat="1" ht="12">
      <c r="A29" s="110"/>
      <c r="B29" s="421" t="s">
        <v>733</v>
      </c>
      <c r="C29" s="422" t="s">
        <v>135</v>
      </c>
      <c r="D29" s="105">
        <v>23</v>
      </c>
      <c r="E29" s="104"/>
      <c r="F29" s="201">
        <f t="shared" si="0"/>
        <v>0</v>
      </c>
      <c r="H29" s="104"/>
    </row>
    <row r="30" spans="1:8" s="216" customFormat="1" ht="12">
      <c r="A30" s="110"/>
      <c r="B30" s="421" t="s">
        <v>734</v>
      </c>
      <c r="C30" s="422" t="s">
        <v>135</v>
      </c>
      <c r="D30" s="105">
        <v>4</v>
      </c>
      <c r="E30" s="104"/>
      <c r="F30" s="201">
        <f t="shared" si="0"/>
        <v>0</v>
      </c>
      <c r="H30" s="104"/>
    </row>
    <row r="31" spans="1:8" s="216" customFormat="1" ht="12">
      <c r="A31" s="110"/>
      <c r="B31" s="421" t="s">
        <v>800</v>
      </c>
      <c r="C31" s="422" t="s">
        <v>135</v>
      </c>
      <c r="D31" s="105">
        <v>2</v>
      </c>
      <c r="E31" s="104"/>
      <c r="F31" s="201">
        <f t="shared" si="0"/>
        <v>0</v>
      </c>
      <c r="H31" s="104"/>
    </row>
    <row r="32" spans="1:8" s="216" customFormat="1" ht="12">
      <c r="A32" s="110"/>
      <c r="B32" s="421" t="s">
        <v>800</v>
      </c>
      <c r="C32" s="422" t="s">
        <v>135</v>
      </c>
      <c r="D32" s="105">
        <v>2</v>
      </c>
      <c r="E32" s="104"/>
      <c r="F32" s="201">
        <f t="shared" si="0"/>
        <v>0</v>
      </c>
      <c r="H32" s="104"/>
    </row>
    <row r="33" spans="1:8" s="216" customFormat="1" ht="13.15" customHeight="1">
      <c r="A33" s="246"/>
      <c r="B33" s="197"/>
      <c r="C33" s="86"/>
      <c r="D33" s="105"/>
      <c r="E33" s="273"/>
      <c r="F33" s="263"/>
      <c r="G33" s="105"/>
      <c r="H33" s="247"/>
    </row>
    <row r="34" spans="1:8" s="1" customFormat="1" ht="24">
      <c r="A34" s="249" t="s">
        <v>122</v>
      </c>
      <c r="B34" s="287" t="s">
        <v>216</v>
      </c>
      <c r="C34" s="206" t="s">
        <v>225</v>
      </c>
      <c r="D34" s="252">
        <v>50</v>
      </c>
      <c r="E34" s="251"/>
      <c r="F34" s="257">
        <f>ROUND(D34*E34,2)</f>
        <v>0</v>
      </c>
    </row>
    <row r="35" spans="1:8" s="1" customFormat="1">
      <c r="A35" s="249"/>
      <c r="B35" s="258"/>
      <c r="C35" s="206"/>
      <c r="D35" s="252"/>
      <c r="E35" s="251"/>
      <c r="F35" s="257"/>
    </row>
    <row r="36" spans="1:8" s="1" customFormat="1" ht="14.5" thickBot="1">
      <c r="A36" s="277"/>
      <c r="B36" s="194"/>
      <c r="C36" s="194"/>
      <c r="D36" s="195"/>
      <c r="E36" s="194"/>
      <c r="F36" s="195"/>
    </row>
    <row r="37" spans="1:8" ht="14.5" customHeight="1" thickBot="1">
      <c r="A37" s="447" t="s">
        <v>67</v>
      </c>
      <c r="B37" s="448" t="s">
        <v>226</v>
      </c>
      <c r="C37" s="449"/>
      <c r="D37" s="450"/>
      <c r="E37" s="451" t="s">
        <v>507</v>
      </c>
      <c r="F37" s="452">
        <f>SUM(F14:F34)</f>
        <v>0</v>
      </c>
    </row>
  </sheetData>
  <sheetProtection algorithmName="SHA-512" hashValue="2Q7f4Q2f5V+WfVa7RFxXFPQn3LegdMH5KOaZ0eDBM3A6kFyqqmDPWQntSyX8JgfqYY/S1bhiywyPmLmteSvegw==" saltValue="U/hqyam65+vSCV09HMkuYA==" spinCount="100000" sheet="1" objects="1" scenarios="1"/>
  <mergeCells count="3">
    <mergeCell ref="A2:F2"/>
    <mergeCell ref="A3:F3"/>
    <mergeCell ref="B7:F7"/>
  </mergeCells>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colBreaks count="1" manualBreakCount="1">
    <brk id="6"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H83"/>
  <sheetViews>
    <sheetView view="pageBreakPreview" topLeftCell="A62" zoomScaleNormal="100" zoomScaleSheetLayoutView="100" workbookViewId="0">
      <selection activeCell="E76" sqref="E76"/>
    </sheetView>
  </sheetViews>
  <sheetFormatPr defaultColWidth="9.26953125" defaultRowHeight="14"/>
  <cols>
    <col min="1" max="1" width="5.54296875" style="126" customWidth="1"/>
    <col min="2" max="2" width="41.54296875" style="126" customWidth="1"/>
    <col min="3" max="3" width="7.54296875" style="283" customWidth="1"/>
    <col min="4" max="4" width="10.54296875" style="226" customWidth="1"/>
    <col min="5" max="5" width="10.54296875" style="126" customWidth="1"/>
    <col min="6" max="6" width="10.54296875" style="221" customWidth="1"/>
    <col min="7" max="7" width="9.26953125" style="484"/>
    <col min="8" max="9" width="9.26953125" style="126"/>
    <col min="10" max="10" width="45.453125" style="126" customWidth="1"/>
    <col min="11" max="16384" width="9.26953125" style="126"/>
  </cols>
  <sheetData>
    <row r="1" spans="1:7" ht="14.5">
      <c r="A1" s="133"/>
      <c r="B1" s="133"/>
      <c r="C1" s="205"/>
      <c r="D1" s="201"/>
      <c r="E1" s="133"/>
      <c r="F1" s="203"/>
    </row>
    <row r="2" spans="1:7">
      <c r="A2" s="551" t="s">
        <v>706</v>
      </c>
      <c r="B2" s="552"/>
      <c r="C2" s="552"/>
      <c r="D2" s="552"/>
      <c r="E2" s="552"/>
      <c r="F2" s="553"/>
    </row>
    <row r="3" spans="1:7">
      <c r="A3" s="555" t="s">
        <v>227</v>
      </c>
      <c r="B3" s="555"/>
      <c r="C3" s="555"/>
      <c r="D3" s="555"/>
      <c r="E3" s="555"/>
      <c r="F3" s="555"/>
      <c r="G3" s="485"/>
    </row>
    <row r="4" spans="1:7">
      <c r="A4" s="112" t="s">
        <v>98</v>
      </c>
      <c r="B4" s="112" t="s">
        <v>99</v>
      </c>
      <c r="C4" s="112" t="s">
        <v>100</v>
      </c>
      <c r="D4" s="269" t="s">
        <v>101</v>
      </c>
      <c r="E4" s="112" t="s">
        <v>102</v>
      </c>
      <c r="F4" s="112" t="s">
        <v>103</v>
      </c>
    </row>
    <row r="5" spans="1:7">
      <c r="A5" s="101"/>
      <c r="B5" s="101"/>
      <c r="C5" s="101"/>
      <c r="D5" s="270"/>
      <c r="E5" s="101"/>
      <c r="F5" s="101"/>
    </row>
    <row r="6" spans="1:7">
      <c r="A6" s="101"/>
      <c r="B6" s="101"/>
      <c r="C6" s="101"/>
      <c r="D6" s="270"/>
      <c r="E6" s="101"/>
      <c r="F6" s="101"/>
    </row>
    <row r="7" spans="1:7" ht="15" thickBot="1">
      <c r="A7" s="102" t="s">
        <v>43</v>
      </c>
      <c r="B7" s="560" t="s">
        <v>228</v>
      </c>
      <c r="C7" s="560"/>
      <c r="D7" s="560"/>
      <c r="E7" s="560"/>
      <c r="F7" s="560"/>
    </row>
    <row r="8" spans="1:7">
      <c r="A8" s="115"/>
      <c r="B8" s="116"/>
      <c r="C8" s="117"/>
      <c r="D8" s="105"/>
      <c r="E8" s="118"/>
      <c r="F8" s="103"/>
    </row>
    <row r="9" spans="1:7">
      <c r="A9" s="326" t="s">
        <v>106</v>
      </c>
      <c r="B9" s="327"/>
      <c r="C9" s="328"/>
      <c r="D9" s="324"/>
      <c r="E9" s="297"/>
      <c r="F9" s="204"/>
    </row>
    <row r="10" spans="1:7">
      <c r="A10" s="326"/>
      <c r="B10" s="327"/>
      <c r="C10" s="328"/>
      <c r="D10" s="324"/>
      <c r="E10" s="297"/>
      <c r="F10" s="204"/>
    </row>
    <row r="11" spans="1:7" ht="107.25" customHeight="1">
      <c r="A11" s="557" t="s">
        <v>519</v>
      </c>
      <c r="B11" s="561"/>
      <c r="C11" s="561"/>
      <c r="D11" s="561"/>
      <c r="E11" s="561"/>
      <c r="F11" s="204"/>
    </row>
    <row r="12" spans="1:7">
      <c r="A12" s="107"/>
      <c r="B12" s="294"/>
      <c r="C12" s="294"/>
      <c r="D12" s="330"/>
      <c r="E12" s="294"/>
      <c r="F12" s="204"/>
    </row>
    <row r="13" spans="1:7" ht="40" customHeight="1">
      <c r="A13" s="557" t="s">
        <v>229</v>
      </c>
      <c r="B13" s="561"/>
      <c r="C13" s="561"/>
      <c r="D13" s="561"/>
      <c r="E13" s="561"/>
      <c r="F13" s="204"/>
    </row>
    <row r="14" spans="1:7">
      <c r="A14" s="107"/>
      <c r="B14" s="107"/>
      <c r="C14" s="107"/>
      <c r="D14" s="331"/>
      <c r="E14" s="107"/>
      <c r="F14" s="204"/>
    </row>
    <row r="15" spans="1:7" ht="37.5" customHeight="1">
      <c r="A15" s="557" t="s">
        <v>230</v>
      </c>
      <c r="B15" s="561"/>
      <c r="C15" s="561"/>
      <c r="D15" s="561"/>
      <c r="E15" s="561"/>
      <c r="F15" s="204"/>
    </row>
    <row r="16" spans="1:7">
      <c r="A16" s="326"/>
      <c r="B16" s="199"/>
      <c r="C16" s="199"/>
      <c r="D16" s="324"/>
      <c r="E16" s="297"/>
      <c r="F16" s="204"/>
    </row>
    <row r="17" spans="1:6" ht="29.25" customHeight="1">
      <c r="A17" s="557" t="s">
        <v>231</v>
      </c>
      <c r="B17" s="561"/>
      <c r="C17" s="561"/>
      <c r="D17" s="561"/>
      <c r="E17" s="561"/>
      <c r="F17" s="204"/>
    </row>
    <row r="18" spans="1:6" ht="14.5">
      <c r="A18" s="106"/>
      <c r="B18" s="335"/>
      <c r="C18" s="335"/>
      <c r="D18" s="374"/>
      <c r="E18" s="335"/>
      <c r="F18" s="204"/>
    </row>
    <row r="19" spans="1:6" ht="39.75" customHeight="1">
      <c r="A19" s="557" t="s">
        <v>232</v>
      </c>
      <c r="B19" s="561"/>
      <c r="C19" s="561"/>
      <c r="D19" s="561"/>
      <c r="E19" s="561"/>
      <c r="F19" s="204"/>
    </row>
    <row r="20" spans="1:6" ht="14.5">
      <c r="A20" s="106"/>
      <c r="B20" s="335"/>
      <c r="C20" s="335"/>
      <c r="D20" s="374"/>
      <c r="E20" s="335"/>
      <c r="F20" s="204"/>
    </row>
    <row r="21" spans="1:6" ht="63.75" customHeight="1">
      <c r="A21" s="557" t="s">
        <v>783</v>
      </c>
      <c r="B21" s="561"/>
      <c r="C21" s="561"/>
      <c r="D21" s="561"/>
      <c r="E21" s="561"/>
      <c r="F21" s="204"/>
    </row>
    <row r="22" spans="1:6" ht="14.5">
      <c r="A22" s="106"/>
      <c r="B22" s="335"/>
      <c r="C22" s="335"/>
      <c r="D22" s="374"/>
      <c r="E22" s="335"/>
      <c r="F22" s="204"/>
    </row>
    <row r="23" spans="1:6" ht="14.5">
      <c r="A23" s="106"/>
      <c r="B23" s="335"/>
      <c r="C23" s="335"/>
      <c r="D23" s="374"/>
      <c r="E23" s="335"/>
      <c r="F23" s="204"/>
    </row>
    <row r="24" spans="1:6" ht="93.75" customHeight="1">
      <c r="A24" s="557" t="s">
        <v>233</v>
      </c>
      <c r="B24" s="561"/>
      <c r="C24" s="561"/>
      <c r="D24" s="561"/>
      <c r="E24" s="561"/>
      <c r="F24" s="204"/>
    </row>
    <row r="25" spans="1:6" ht="14.5">
      <c r="A25" s="106"/>
      <c r="B25" s="335"/>
      <c r="C25" s="335"/>
      <c r="D25" s="374"/>
      <c r="E25" s="335"/>
      <c r="F25" s="204"/>
    </row>
    <row r="26" spans="1:6" ht="66.75" customHeight="1">
      <c r="A26" s="557" t="s">
        <v>234</v>
      </c>
      <c r="B26" s="561"/>
      <c r="C26" s="561"/>
      <c r="D26" s="561"/>
      <c r="E26" s="561"/>
      <c r="F26" s="204"/>
    </row>
    <row r="27" spans="1:6" ht="14.5">
      <c r="A27" s="106"/>
      <c r="B27" s="335"/>
      <c r="C27" s="335"/>
      <c r="D27" s="374"/>
      <c r="E27" s="335"/>
      <c r="F27" s="204"/>
    </row>
    <row r="28" spans="1:6" ht="78.75" customHeight="1">
      <c r="A28" s="557" t="s">
        <v>235</v>
      </c>
      <c r="B28" s="561"/>
      <c r="C28" s="561"/>
      <c r="D28" s="561"/>
      <c r="E28" s="561"/>
      <c r="F28" s="204"/>
    </row>
    <row r="29" spans="1:6" ht="14.5">
      <c r="A29" s="106"/>
      <c r="B29" s="335"/>
      <c r="C29" s="335"/>
      <c r="D29" s="374"/>
      <c r="E29" s="335"/>
      <c r="F29" s="204"/>
    </row>
    <row r="30" spans="1:6" ht="43.5" customHeight="1">
      <c r="A30" s="557" t="s">
        <v>236</v>
      </c>
      <c r="B30" s="561"/>
      <c r="C30" s="561"/>
      <c r="D30" s="561"/>
      <c r="E30" s="561"/>
      <c r="F30" s="204"/>
    </row>
    <row r="31" spans="1:6" ht="14.5">
      <c r="A31" s="106"/>
      <c r="B31" s="335"/>
      <c r="C31" s="335"/>
      <c r="D31" s="374"/>
      <c r="E31" s="335"/>
      <c r="F31" s="204"/>
    </row>
    <row r="32" spans="1:6" ht="41.25" customHeight="1">
      <c r="A32" s="557" t="s">
        <v>784</v>
      </c>
      <c r="B32" s="561"/>
      <c r="C32" s="561"/>
      <c r="D32" s="561"/>
      <c r="E32" s="561"/>
      <c r="F32" s="204"/>
    </row>
    <row r="33" spans="1:6" ht="14.5">
      <c r="A33" s="106"/>
      <c r="B33" s="335"/>
      <c r="C33" s="335"/>
      <c r="D33" s="374"/>
      <c r="E33" s="335"/>
      <c r="F33" s="204"/>
    </row>
    <row r="34" spans="1:6" ht="232.5" customHeight="1">
      <c r="A34" s="564" t="s">
        <v>513</v>
      </c>
      <c r="B34" s="569"/>
      <c r="C34" s="569"/>
      <c r="D34" s="569"/>
      <c r="E34" s="569"/>
      <c r="F34" s="204"/>
    </row>
    <row r="35" spans="1:6" ht="14.5">
      <c r="A35" s="106"/>
      <c r="B35" s="335"/>
      <c r="C35" s="335"/>
      <c r="D35" s="374"/>
      <c r="E35" s="335"/>
      <c r="F35" s="204"/>
    </row>
    <row r="36" spans="1:6" ht="28.5" customHeight="1">
      <c r="A36" s="557" t="s">
        <v>237</v>
      </c>
      <c r="B36" s="561"/>
      <c r="C36" s="561"/>
      <c r="D36" s="561"/>
      <c r="E36" s="561"/>
      <c r="F36" s="204"/>
    </row>
    <row r="37" spans="1:6" ht="14.5">
      <c r="A37" s="106"/>
      <c r="B37" s="335"/>
      <c r="C37" s="335"/>
      <c r="D37" s="374"/>
      <c r="E37" s="335"/>
      <c r="F37" s="204"/>
    </row>
    <row r="38" spans="1:6" ht="264" customHeight="1">
      <c r="A38" s="564" t="s">
        <v>514</v>
      </c>
      <c r="B38" s="569"/>
      <c r="C38" s="569"/>
      <c r="D38" s="569"/>
      <c r="E38" s="569"/>
      <c r="F38" s="204"/>
    </row>
    <row r="39" spans="1:6" ht="14.5">
      <c r="A39" s="106"/>
      <c r="B39" s="335"/>
      <c r="C39" s="335"/>
      <c r="D39" s="374"/>
      <c r="E39" s="335"/>
      <c r="F39" s="204"/>
    </row>
    <row r="40" spans="1:6" ht="75.650000000000006" customHeight="1">
      <c r="A40" s="557" t="s">
        <v>785</v>
      </c>
      <c r="B40" s="561"/>
      <c r="C40" s="561"/>
      <c r="D40" s="561"/>
      <c r="E40" s="561"/>
      <c r="F40" s="204"/>
    </row>
    <row r="41" spans="1:6" ht="14.5">
      <c r="A41" s="106"/>
      <c r="B41" s="335"/>
      <c r="C41" s="335"/>
      <c r="D41" s="374"/>
      <c r="E41" s="335"/>
      <c r="F41" s="204"/>
    </row>
    <row r="42" spans="1:6" ht="249.65" customHeight="1">
      <c r="A42" s="564" t="s">
        <v>786</v>
      </c>
      <c r="B42" s="569"/>
      <c r="C42" s="569"/>
      <c r="D42" s="569"/>
      <c r="E42" s="569"/>
      <c r="F42" s="204"/>
    </row>
    <row r="43" spans="1:6" ht="14.5">
      <c r="A43" s="106"/>
      <c r="B43" s="335"/>
      <c r="C43" s="335"/>
      <c r="D43" s="374"/>
      <c r="E43" s="335"/>
      <c r="F43" s="204"/>
    </row>
    <row r="44" spans="1:6" ht="63.75" customHeight="1">
      <c r="A44" s="557" t="s">
        <v>787</v>
      </c>
      <c r="B44" s="561"/>
      <c r="C44" s="561"/>
      <c r="D44" s="561"/>
      <c r="E44" s="561"/>
      <c r="F44" s="204"/>
    </row>
    <row r="45" spans="1:6" ht="14.5">
      <c r="A45" s="106"/>
      <c r="B45" s="335"/>
      <c r="C45" s="335"/>
      <c r="D45" s="374"/>
      <c r="E45" s="335"/>
      <c r="F45" s="204"/>
    </row>
    <row r="46" spans="1:6" ht="55.4" customHeight="1">
      <c r="A46" s="557" t="s">
        <v>238</v>
      </c>
      <c r="B46" s="561"/>
      <c r="C46" s="561"/>
      <c r="D46" s="561"/>
      <c r="E46" s="561"/>
      <c r="F46" s="204"/>
    </row>
    <row r="47" spans="1:6" ht="14.5">
      <c r="A47" s="106"/>
      <c r="B47" s="336"/>
      <c r="C47" s="336"/>
      <c r="D47" s="375"/>
      <c r="E47" s="336"/>
      <c r="F47" s="204"/>
    </row>
    <row r="48" spans="1:6" ht="44.25" customHeight="1">
      <c r="A48" s="557" t="s">
        <v>239</v>
      </c>
      <c r="B48" s="561"/>
      <c r="C48" s="561"/>
      <c r="D48" s="561"/>
      <c r="E48" s="561"/>
      <c r="F48" s="204"/>
    </row>
    <row r="49" spans="1:7" ht="14.5">
      <c r="A49" s="106"/>
      <c r="B49" s="336"/>
      <c r="C49" s="336"/>
      <c r="D49" s="375"/>
      <c r="E49" s="336"/>
      <c r="F49" s="204"/>
    </row>
    <row r="50" spans="1:7" ht="45" customHeight="1">
      <c r="A50" s="557" t="s">
        <v>240</v>
      </c>
      <c r="B50" s="561"/>
      <c r="C50" s="561"/>
      <c r="D50" s="561"/>
      <c r="E50" s="561"/>
      <c r="F50" s="204"/>
    </row>
    <row r="51" spans="1:7" ht="14.5">
      <c r="A51" s="106"/>
      <c r="B51" s="336"/>
      <c r="C51" s="336"/>
      <c r="D51" s="375"/>
      <c r="E51" s="336"/>
      <c r="F51" s="204"/>
    </row>
    <row r="52" spans="1:7" ht="59.25" customHeight="1">
      <c r="A52" s="557" t="s">
        <v>241</v>
      </c>
      <c r="B52" s="561"/>
      <c r="C52" s="561"/>
      <c r="D52" s="561"/>
      <c r="E52" s="561"/>
      <c r="F52" s="204"/>
    </row>
    <row r="53" spans="1:7" ht="14.5">
      <c r="A53" s="106"/>
      <c r="B53" s="335"/>
      <c r="C53" s="335"/>
      <c r="D53" s="374"/>
      <c r="E53" s="335"/>
      <c r="F53" s="204"/>
    </row>
    <row r="54" spans="1:7" ht="98.25" customHeight="1">
      <c r="A54" s="557" t="s">
        <v>778</v>
      </c>
      <c r="B54" s="561"/>
      <c r="C54" s="561"/>
      <c r="D54" s="561"/>
      <c r="E54" s="561"/>
      <c r="F54" s="204"/>
    </row>
    <row r="55" spans="1:7" s="1" customFormat="1" ht="14.25" customHeight="1">
      <c r="A55" s="198"/>
      <c r="B55" s="107"/>
      <c r="C55" s="108"/>
      <c r="D55" s="105"/>
      <c r="E55" s="104"/>
      <c r="F55" s="193"/>
      <c r="G55" s="484"/>
    </row>
    <row r="56" spans="1:7" s="1" customFormat="1">
      <c r="A56" s="106"/>
      <c r="B56" s="262"/>
      <c r="C56" s="108"/>
      <c r="D56" s="105"/>
      <c r="E56" s="86"/>
      <c r="F56" s="325"/>
      <c r="G56" s="484"/>
    </row>
    <row r="57" spans="1:7" s="1" customFormat="1" ht="24">
      <c r="A57" s="196" t="s">
        <v>119</v>
      </c>
      <c r="B57" s="291" t="s">
        <v>242</v>
      </c>
      <c r="C57" s="199"/>
      <c r="D57" s="324"/>
      <c r="E57" s="297"/>
      <c r="F57" s="204"/>
      <c r="G57" s="484"/>
    </row>
    <row r="58" spans="1:7" s="1" customFormat="1" ht="36">
      <c r="A58" s="196"/>
      <c r="B58" s="110" t="s">
        <v>243</v>
      </c>
      <c r="C58" s="199"/>
      <c r="D58" s="324"/>
      <c r="E58" s="297"/>
      <c r="F58" s="204"/>
      <c r="G58" s="484"/>
    </row>
    <row r="59" spans="1:7" s="1" customFormat="1" ht="96" customHeight="1">
      <c r="A59" s="196"/>
      <c r="B59" s="110" t="s">
        <v>244</v>
      </c>
      <c r="C59" s="199"/>
      <c r="D59" s="324"/>
      <c r="E59" s="297"/>
      <c r="F59" s="204"/>
      <c r="G59" s="484"/>
    </row>
    <row r="60" spans="1:7" s="302" customFormat="1">
      <c r="A60" s="298"/>
      <c r="B60" s="107" t="s">
        <v>245</v>
      </c>
      <c r="C60" s="299"/>
      <c r="D60" s="376"/>
      <c r="E60" s="300"/>
      <c r="F60" s="301"/>
      <c r="G60" s="484"/>
    </row>
    <row r="61" spans="1:7" s="1" customFormat="1" ht="110.25" customHeight="1">
      <c r="A61" s="118" t="s">
        <v>246</v>
      </c>
      <c r="B61" s="107" t="s">
        <v>247</v>
      </c>
      <c r="C61" s="303" t="s">
        <v>248</v>
      </c>
      <c r="D61" s="105">
        <v>750</v>
      </c>
      <c r="E61" s="104"/>
      <c r="F61" s="105">
        <f>ROUND(D61*E61,2)</f>
        <v>0</v>
      </c>
      <c r="G61" s="484"/>
    </row>
    <row r="62" spans="1:7" s="1" customFormat="1" ht="147" customHeight="1">
      <c r="A62" s="118" t="s">
        <v>249</v>
      </c>
      <c r="B62" s="107" t="s">
        <v>250</v>
      </c>
      <c r="C62" s="303" t="s">
        <v>248</v>
      </c>
      <c r="D62" s="105">
        <v>890</v>
      </c>
      <c r="E62" s="104"/>
      <c r="F62" s="105">
        <f>ROUND(D62*E62,2)</f>
        <v>0</v>
      </c>
      <c r="G62" s="484"/>
    </row>
    <row r="63" spans="1:7" s="1" customFormat="1" ht="66" customHeight="1">
      <c r="A63" s="118" t="s">
        <v>251</v>
      </c>
      <c r="B63" s="107" t="s">
        <v>252</v>
      </c>
      <c r="C63" s="303" t="s">
        <v>248</v>
      </c>
      <c r="D63" s="105">
        <v>55</v>
      </c>
      <c r="E63" s="104"/>
      <c r="F63" s="105">
        <f t="shared" ref="F63:F79" si="0">ROUND(D63*E63,2)</f>
        <v>0</v>
      </c>
      <c r="G63" s="484"/>
    </row>
    <row r="64" spans="1:7" s="1" customFormat="1" ht="89.25" customHeight="1">
      <c r="A64" s="118" t="s">
        <v>253</v>
      </c>
      <c r="B64" s="107" t="s">
        <v>254</v>
      </c>
      <c r="C64" s="108" t="s">
        <v>172</v>
      </c>
      <c r="D64" s="105">
        <v>450</v>
      </c>
      <c r="E64" s="104"/>
      <c r="F64" s="105">
        <f t="shared" si="0"/>
        <v>0</v>
      </c>
      <c r="G64" s="484"/>
    </row>
    <row r="65" spans="1:8" s="1" customFormat="1" ht="32.15" customHeight="1">
      <c r="A65" s="118" t="s">
        <v>255</v>
      </c>
      <c r="B65" s="107" t="s">
        <v>256</v>
      </c>
      <c r="C65" s="108" t="s">
        <v>135</v>
      </c>
      <c r="D65" s="105">
        <v>15</v>
      </c>
      <c r="E65" s="104"/>
      <c r="F65" s="105">
        <f t="shared" si="0"/>
        <v>0</v>
      </c>
      <c r="G65" s="484"/>
    </row>
    <row r="66" spans="1:8" s="1" customFormat="1" ht="78" customHeight="1">
      <c r="A66" s="118" t="s">
        <v>257</v>
      </c>
      <c r="B66" s="107" t="s">
        <v>258</v>
      </c>
      <c r="C66" s="303" t="s">
        <v>248</v>
      </c>
      <c r="D66" s="105">
        <v>890</v>
      </c>
      <c r="E66" s="104"/>
      <c r="F66" s="105">
        <f t="shared" si="0"/>
        <v>0</v>
      </c>
      <c r="G66" s="484"/>
    </row>
    <row r="67" spans="1:8" s="1" customFormat="1">
      <c r="A67" s="118" t="s">
        <v>259</v>
      </c>
      <c r="B67" s="107" t="s">
        <v>260</v>
      </c>
      <c r="C67" s="303" t="s">
        <v>248</v>
      </c>
      <c r="D67" s="105">
        <v>750</v>
      </c>
      <c r="E67" s="104"/>
      <c r="F67" s="105">
        <f t="shared" si="0"/>
        <v>0</v>
      </c>
      <c r="G67" s="484"/>
    </row>
    <row r="68" spans="1:8" s="1" customFormat="1">
      <c r="A68" s="196"/>
      <c r="B68" s="107"/>
      <c r="C68" s="303"/>
      <c r="D68" s="105"/>
      <c r="E68" s="104"/>
      <c r="F68" s="105"/>
      <c r="G68" s="484"/>
      <c r="H68" s="194"/>
    </row>
    <row r="69" spans="1:8" s="1" customFormat="1">
      <c r="A69" s="196"/>
      <c r="B69" s="107"/>
      <c r="C69" s="303"/>
      <c r="D69" s="105"/>
      <c r="E69" s="104"/>
      <c r="F69" s="105"/>
      <c r="G69" s="484"/>
      <c r="H69" s="194"/>
    </row>
    <row r="70" spans="1:8" s="1" customFormat="1">
      <c r="A70" s="196" t="s">
        <v>122</v>
      </c>
      <c r="B70" s="291" t="s">
        <v>261</v>
      </c>
      <c r="C70" s="199"/>
      <c r="D70" s="324"/>
      <c r="E70" s="486"/>
      <c r="F70" s="105"/>
      <c r="G70" s="484"/>
      <c r="H70" s="194"/>
    </row>
    <row r="71" spans="1:8" s="1" customFormat="1" ht="54.75" customHeight="1">
      <c r="A71" s="196"/>
      <c r="B71" s="110" t="s">
        <v>262</v>
      </c>
      <c r="C71" s="199"/>
      <c r="D71" s="324"/>
      <c r="E71" s="486"/>
      <c r="F71" s="105"/>
      <c r="G71" s="484"/>
      <c r="H71" s="194"/>
    </row>
    <row r="72" spans="1:8" s="1" customFormat="1">
      <c r="A72" s="298"/>
      <c r="B72" s="107"/>
      <c r="C72" s="303" t="s">
        <v>248</v>
      </c>
      <c r="D72" s="105">
        <v>240</v>
      </c>
      <c r="E72" s="104"/>
      <c r="F72" s="105">
        <f t="shared" si="0"/>
        <v>0</v>
      </c>
      <c r="G72" s="484"/>
      <c r="H72" s="194"/>
    </row>
    <row r="73" spans="1:8">
      <c r="E73" s="487"/>
      <c r="F73" s="105"/>
    </row>
    <row r="74" spans="1:8" s="1" customFormat="1" ht="36">
      <c r="A74" s="294" t="s">
        <v>127</v>
      </c>
      <c r="B74" s="291" t="s">
        <v>263</v>
      </c>
      <c r="C74" s="199"/>
      <c r="D74" s="324"/>
      <c r="E74" s="486"/>
      <c r="F74" s="105"/>
      <c r="G74" s="484"/>
    </row>
    <row r="75" spans="1:8" ht="36">
      <c r="A75" s="198"/>
      <c r="B75" s="107" t="s">
        <v>264</v>
      </c>
      <c r="C75" s="126"/>
      <c r="D75" s="221"/>
      <c r="E75" s="487"/>
      <c r="F75" s="105"/>
    </row>
    <row r="76" spans="1:8" ht="120">
      <c r="A76" s="198"/>
      <c r="B76" s="107" t="s">
        <v>265</v>
      </c>
      <c r="C76" s="126"/>
      <c r="D76" s="221"/>
      <c r="E76" s="487"/>
      <c r="F76" s="105"/>
    </row>
    <row r="77" spans="1:8" ht="52.5" customHeight="1">
      <c r="A77" s="198"/>
      <c r="B77" s="107" t="s">
        <v>266</v>
      </c>
      <c r="C77" s="126"/>
      <c r="D77" s="221"/>
      <c r="E77" s="487"/>
      <c r="F77" s="105"/>
    </row>
    <row r="78" spans="1:8" ht="24">
      <c r="A78" s="198"/>
      <c r="B78" s="107" t="s">
        <v>267</v>
      </c>
      <c r="C78" s="126"/>
      <c r="D78" s="221"/>
      <c r="E78" s="487"/>
      <c r="F78" s="105"/>
    </row>
    <row r="79" spans="1:8">
      <c r="A79" s="198"/>
      <c r="B79" s="210" t="s">
        <v>268</v>
      </c>
      <c r="C79" s="303" t="s">
        <v>248</v>
      </c>
      <c r="D79" s="105">
        <v>450</v>
      </c>
      <c r="E79" s="104"/>
      <c r="F79" s="105">
        <f t="shared" si="0"/>
        <v>0</v>
      </c>
      <c r="H79" s="194"/>
    </row>
    <row r="80" spans="1:8" s="1" customFormat="1">
      <c r="A80" s="118"/>
      <c r="B80" s="262"/>
      <c r="C80" s="303"/>
      <c r="D80" s="105"/>
      <c r="E80" s="104"/>
      <c r="F80" s="135"/>
      <c r="G80" s="484"/>
    </row>
    <row r="81" spans="1:7" s="1" customFormat="1" ht="14.5" thickBot="1">
      <c r="A81" s="118"/>
      <c r="B81" s="262"/>
      <c r="C81" s="303"/>
      <c r="D81" s="105"/>
      <c r="E81" s="104"/>
      <c r="F81" s="337"/>
      <c r="G81" s="484"/>
    </row>
    <row r="82" spans="1:7" ht="14.5" thickBot="1">
      <c r="A82" s="438" t="s">
        <v>43</v>
      </c>
      <c r="B82" s="439" t="s">
        <v>269</v>
      </c>
      <c r="C82" s="440"/>
      <c r="D82" s="441"/>
      <c r="E82" s="446" t="s">
        <v>507</v>
      </c>
      <c r="F82" s="453">
        <f>SUM(F58:F79)</f>
        <v>0</v>
      </c>
    </row>
    <row r="83" spans="1:7">
      <c r="D83" s="377"/>
    </row>
  </sheetData>
  <mergeCells count="25">
    <mergeCell ref="A44:E44"/>
    <mergeCell ref="A21:E21"/>
    <mergeCell ref="A26:E26"/>
    <mergeCell ref="A28:E28"/>
    <mergeCell ref="A17:E17"/>
    <mergeCell ref="A19:E19"/>
    <mergeCell ref="A36:E36"/>
    <mergeCell ref="A38:E38"/>
    <mergeCell ref="A42:E42"/>
    <mergeCell ref="A54:E54"/>
    <mergeCell ref="A46:E46"/>
    <mergeCell ref="A48:E48"/>
    <mergeCell ref="A50:E50"/>
    <mergeCell ref="A52:E52"/>
    <mergeCell ref="A2:F2"/>
    <mergeCell ref="B7:F7"/>
    <mergeCell ref="A11:E11"/>
    <mergeCell ref="A40:E40"/>
    <mergeCell ref="A24:E24"/>
    <mergeCell ref="A30:E30"/>
    <mergeCell ref="A3:F3"/>
    <mergeCell ref="A13:E13"/>
    <mergeCell ref="A32:E32"/>
    <mergeCell ref="A34:E34"/>
    <mergeCell ref="A15:E15"/>
  </mergeCells>
  <phoneticPr fontId="28" type="noConversion"/>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2" manualBreakCount="2">
    <brk id="55" max="5" man="1"/>
    <brk id="64" max="5"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dimension ref="A1:I69"/>
  <sheetViews>
    <sheetView view="pageBreakPreview" topLeftCell="A30" zoomScaleNormal="100" zoomScaleSheetLayoutView="100" workbookViewId="0">
      <selection activeCell="E60" sqref="E37:E60"/>
    </sheetView>
  </sheetViews>
  <sheetFormatPr defaultColWidth="9.26953125" defaultRowHeight="14"/>
  <cols>
    <col min="1" max="1" width="5.54296875" style="1" customWidth="1"/>
    <col min="2" max="2" width="40.54296875" style="1" customWidth="1"/>
    <col min="3" max="3" width="7.54296875" style="128" customWidth="1"/>
    <col min="4" max="4" width="10.54296875" style="309" customWidth="1"/>
    <col min="5" max="5" width="10.54296875" style="1" customWidth="1"/>
    <col min="6" max="6" width="10.54296875" style="95" customWidth="1"/>
    <col min="7" max="7" width="6.453125" style="1" customWidth="1"/>
    <col min="8" max="8" width="18.26953125" style="1" customWidth="1"/>
    <col min="9" max="16384" width="9.26953125" style="1"/>
  </cols>
  <sheetData>
    <row r="1" spans="1:7">
      <c r="A1" s="563"/>
      <c r="B1" s="563"/>
      <c r="C1" s="563"/>
      <c r="D1" s="563"/>
      <c r="E1" s="563"/>
      <c r="F1" s="563"/>
      <c r="G1" s="95"/>
    </row>
    <row r="2" spans="1:7">
      <c r="A2" s="551" t="s">
        <v>706</v>
      </c>
      <c r="B2" s="552"/>
      <c r="C2" s="552"/>
      <c r="D2" s="552"/>
      <c r="E2" s="552"/>
      <c r="F2" s="553"/>
    </row>
    <row r="3" spans="1:7" ht="14.5">
      <c r="A3" s="133" t="s">
        <v>270</v>
      </c>
      <c r="B3" s="133"/>
      <c r="C3" s="205"/>
      <c r="D3" s="201"/>
      <c r="E3" s="133"/>
      <c r="F3" s="203"/>
    </row>
    <row r="4" spans="1:7">
      <c r="A4" s="112" t="s">
        <v>98</v>
      </c>
      <c r="B4" s="112" t="s">
        <v>99</v>
      </c>
      <c r="C4" s="112" t="s">
        <v>100</v>
      </c>
      <c r="D4" s="269" t="s">
        <v>101</v>
      </c>
      <c r="E4" s="112" t="s">
        <v>102</v>
      </c>
      <c r="F4" s="112" t="s">
        <v>103</v>
      </c>
    </row>
    <row r="5" spans="1:7">
      <c r="A5" s="101"/>
      <c r="B5" s="101"/>
      <c r="C5" s="101"/>
      <c r="D5" s="270"/>
      <c r="E5" s="101"/>
      <c r="F5" s="101"/>
    </row>
    <row r="6" spans="1:7">
      <c r="A6" s="101"/>
      <c r="B6" s="101"/>
      <c r="C6" s="101"/>
      <c r="D6" s="270"/>
      <c r="E6" s="101"/>
      <c r="F6" s="101"/>
    </row>
    <row r="7" spans="1:7" ht="18.5">
      <c r="A7" s="213" t="s">
        <v>46</v>
      </c>
      <c r="B7" s="214" t="s">
        <v>271</v>
      </c>
      <c r="C7" s="205"/>
      <c r="D7" s="201"/>
      <c r="E7" s="133"/>
      <c r="F7" s="203"/>
    </row>
    <row r="8" spans="1:7" ht="18.5">
      <c r="A8" s="133"/>
      <c r="B8" s="214"/>
      <c r="C8" s="205"/>
      <c r="D8" s="201"/>
      <c r="E8" s="133"/>
      <c r="F8" s="203"/>
    </row>
    <row r="9" spans="1:7" ht="14.5">
      <c r="A9" s="133"/>
      <c r="B9" s="133"/>
      <c r="C9" s="205"/>
      <c r="D9" s="201"/>
      <c r="E9" s="133"/>
      <c r="F9" s="203"/>
    </row>
    <row r="10" spans="1:7" ht="15" thickBot="1">
      <c r="A10" s="102" t="s">
        <v>48</v>
      </c>
      <c r="B10" s="560" t="s">
        <v>272</v>
      </c>
      <c r="C10" s="560"/>
      <c r="D10" s="560"/>
      <c r="E10" s="560"/>
      <c r="F10" s="560"/>
    </row>
    <row r="11" spans="1:7">
      <c r="A11" s="115"/>
      <c r="B11" s="116"/>
      <c r="C11" s="117"/>
      <c r="D11" s="105"/>
      <c r="E11" s="118"/>
      <c r="F11" s="103"/>
    </row>
    <row r="12" spans="1:7">
      <c r="A12" s="326" t="s">
        <v>106</v>
      </c>
      <c r="B12" s="327"/>
      <c r="C12" s="328"/>
      <c r="D12" s="324"/>
      <c r="E12" s="297"/>
      <c r="F12" s="204"/>
    </row>
    <row r="13" spans="1:7">
      <c r="A13" s="326"/>
      <c r="B13" s="327"/>
      <c r="C13" s="328"/>
      <c r="D13" s="324"/>
      <c r="E13" s="297"/>
      <c r="F13" s="204"/>
    </row>
    <row r="14" spans="1:7" ht="105" customHeight="1">
      <c r="A14" s="564" t="s">
        <v>759</v>
      </c>
      <c r="B14" s="570"/>
      <c r="C14" s="570"/>
      <c r="D14" s="570"/>
      <c r="E14" s="570"/>
      <c r="F14" s="204"/>
    </row>
    <row r="15" spans="1:7">
      <c r="A15" s="326"/>
      <c r="B15" s="199"/>
      <c r="C15" s="199"/>
      <c r="D15" s="324"/>
      <c r="E15" s="297" t="s">
        <v>273</v>
      </c>
      <c r="F15" s="204"/>
    </row>
    <row r="16" spans="1:7" ht="45" customHeight="1">
      <c r="A16" s="564" t="s">
        <v>515</v>
      </c>
      <c r="B16" s="570"/>
      <c r="C16" s="570"/>
      <c r="D16" s="570"/>
      <c r="E16" s="570"/>
      <c r="F16" s="204"/>
    </row>
    <row r="17" spans="1:6">
      <c r="A17" s="106"/>
      <c r="B17" s="333"/>
      <c r="C17" s="333"/>
      <c r="D17" s="385"/>
      <c r="E17" s="333"/>
      <c r="F17" s="204"/>
    </row>
    <row r="18" spans="1:6" ht="33.75" customHeight="1">
      <c r="A18" s="564" t="s">
        <v>274</v>
      </c>
      <c r="B18" s="570"/>
      <c r="C18" s="570"/>
      <c r="D18" s="570"/>
      <c r="E18" s="570"/>
      <c r="F18" s="204"/>
    </row>
    <row r="19" spans="1:6">
      <c r="A19" s="326"/>
      <c r="B19" s="199"/>
      <c r="C19" s="199"/>
      <c r="D19" s="324"/>
      <c r="E19" s="297"/>
      <c r="F19" s="204"/>
    </row>
    <row r="20" spans="1:6" ht="117.75" customHeight="1">
      <c r="A20" s="564" t="s">
        <v>275</v>
      </c>
      <c r="B20" s="570"/>
      <c r="C20" s="570"/>
      <c r="D20" s="570"/>
      <c r="E20" s="570"/>
      <c r="F20" s="204"/>
    </row>
    <row r="21" spans="1:6">
      <c r="A21" s="106"/>
      <c r="B21" s="333"/>
      <c r="C21" s="333"/>
      <c r="D21" s="385"/>
      <c r="E21" s="333"/>
      <c r="F21" s="204"/>
    </row>
    <row r="22" spans="1:6" ht="67.5" customHeight="1">
      <c r="A22" s="564" t="s">
        <v>276</v>
      </c>
      <c r="B22" s="570"/>
      <c r="C22" s="570"/>
      <c r="D22" s="570"/>
      <c r="E22" s="570"/>
      <c r="F22" s="204"/>
    </row>
    <row r="23" spans="1:6">
      <c r="A23" s="106"/>
      <c r="B23" s="333"/>
      <c r="C23" s="333"/>
      <c r="D23" s="385"/>
      <c r="E23" s="333"/>
      <c r="F23" s="204"/>
    </row>
    <row r="24" spans="1:6" ht="69.75" customHeight="1">
      <c r="A24" s="564" t="s">
        <v>277</v>
      </c>
      <c r="B24" s="570"/>
      <c r="C24" s="570"/>
      <c r="D24" s="570"/>
      <c r="E24" s="570"/>
      <c r="F24" s="204"/>
    </row>
    <row r="25" spans="1:6">
      <c r="A25" s="106"/>
      <c r="B25" s="333"/>
      <c r="C25" s="333"/>
      <c r="D25" s="385"/>
      <c r="E25" s="333"/>
      <c r="F25" s="204"/>
    </row>
    <row r="26" spans="1:6" ht="69" customHeight="1">
      <c r="A26" s="564" t="s">
        <v>278</v>
      </c>
      <c r="B26" s="570"/>
      <c r="C26" s="570"/>
      <c r="D26" s="570"/>
      <c r="E26" s="570"/>
      <c r="F26" s="204"/>
    </row>
    <row r="27" spans="1:6">
      <c r="A27" s="106"/>
      <c r="B27" s="333"/>
      <c r="C27" s="333"/>
      <c r="D27" s="385"/>
      <c r="E27" s="333"/>
      <c r="F27" s="204"/>
    </row>
    <row r="28" spans="1:6" ht="56.25" customHeight="1">
      <c r="A28" s="564" t="s">
        <v>279</v>
      </c>
      <c r="B28" s="570"/>
      <c r="C28" s="570"/>
      <c r="D28" s="570"/>
      <c r="E28" s="570"/>
      <c r="F28" s="204"/>
    </row>
    <row r="29" spans="1:6">
      <c r="A29" s="106"/>
      <c r="B29" s="333"/>
      <c r="C29" s="333"/>
      <c r="D29" s="385"/>
      <c r="E29" s="333"/>
      <c r="F29" s="204"/>
    </row>
    <row r="30" spans="1:6" ht="129.75" customHeight="1">
      <c r="A30" s="564" t="s">
        <v>528</v>
      </c>
      <c r="B30" s="570"/>
      <c r="C30" s="570"/>
      <c r="D30" s="570"/>
      <c r="E30" s="570"/>
      <c r="F30" s="204"/>
    </row>
    <row r="31" spans="1:6">
      <c r="A31" s="106"/>
      <c r="B31" s="333"/>
      <c r="C31" s="333"/>
      <c r="D31" s="385"/>
      <c r="E31" s="333"/>
      <c r="F31" s="204"/>
    </row>
    <row r="32" spans="1:6" ht="67.5" customHeight="1">
      <c r="A32" s="564" t="s">
        <v>280</v>
      </c>
      <c r="B32" s="570"/>
      <c r="C32" s="570"/>
      <c r="D32" s="570"/>
      <c r="E32" s="570"/>
      <c r="F32" s="204"/>
    </row>
    <row r="33" spans="1:9" ht="48.75" customHeight="1">
      <c r="A33" s="556" t="s">
        <v>281</v>
      </c>
      <c r="B33" s="556"/>
      <c r="C33" s="556"/>
      <c r="D33" s="556"/>
      <c r="E33" s="556"/>
      <c r="F33" s="122"/>
    </row>
    <row r="34" spans="1:9" ht="12" customHeight="1">
      <c r="A34" s="107"/>
      <c r="B34" s="107"/>
      <c r="C34" s="107"/>
      <c r="D34" s="331"/>
      <c r="E34" s="107"/>
      <c r="F34" s="122"/>
    </row>
    <row r="35" spans="1:9" ht="24">
      <c r="A35" s="198" t="s">
        <v>119</v>
      </c>
      <c r="B35" s="412" t="s">
        <v>282</v>
      </c>
      <c r="C35" s="120"/>
      <c r="D35" s="105"/>
      <c r="E35" s="104"/>
      <c r="F35" s="105"/>
    </row>
    <row r="36" spans="1:9" ht="132">
      <c r="A36" s="138"/>
      <c r="B36" s="107" t="s">
        <v>761</v>
      </c>
      <c r="C36" s="120"/>
      <c r="D36" s="105"/>
      <c r="E36" s="104"/>
      <c r="F36" s="105"/>
    </row>
    <row r="37" spans="1:9">
      <c r="A37" s="138"/>
      <c r="B37" s="108" t="s">
        <v>283</v>
      </c>
      <c r="C37" s="108" t="s">
        <v>172</v>
      </c>
      <c r="D37" s="105">
        <v>650</v>
      </c>
      <c r="E37" s="104"/>
      <c r="F37" s="105">
        <f>ROUND(D37*E37,2)</f>
        <v>0</v>
      </c>
      <c r="H37" s="194"/>
    </row>
    <row r="38" spans="1:9">
      <c r="A38" s="138"/>
      <c r="B38" s="108" t="s">
        <v>284</v>
      </c>
      <c r="C38" s="108" t="s">
        <v>121</v>
      </c>
      <c r="D38" s="105">
        <f>D37*0.25</f>
        <v>162.5</v>
      </c>
      <c r="E38" s="104"/>
      <c r="F38" s="105">
        <f t="shared" ref="F38:F60" si="0">ROUND(D38*E38,2)</f>
        <v>0</v>
      </c>
      <c r="H38" s="194"/>
    </row>
    <row r="39" spans="1:9">
      <c r="A39" s="138"/>
      <c r="B39" s="108" t="s">
        <v>285</v>
      </c>
      <c r="C39" s="108" t="s">
        <v>121</v>
      </c>
      <c r="D39" s="105">
        <f>D38</f>
        <v>162.5</v>
      </c>
      <c r="E39" s="104"/>
      <c r="F39" s="105">
        <f t="shared" si="0"/>
        <v>0</v>
      </c>
      <c r="H39" s="194"/>
    </row>
    <row r="40" spans="1:9">
      <c r="A40" s="198"/>
      <c r="B40" s="107"/>
      <c r="C40" s="108"/>
      <c r="D40" s="105"/>
      <c r="E40" s="104"/>
      <c r="F40" s="105"/>
      <c r="H40" s="194"/>
    </row>
    <row r="41" spans="1:9">
      <c r="A41" s="110" t="s">
        <v>122</v>
      </c>
      <c r="B41" s="199" t="s">
        <v>286</v>
      </c>
      <c r="C41" s="199"/>
      <c r="D41" s="105"/>
      <c r="E41" s="259"/>
      <c r="F41" s="105"/>
    </row>
    <row r="42" spans="1:9" ht="229.5" customHeight="1">
      <c r="A42" s="138"/>
      <c r="B42" s="106" t="s">
        <v>762</v>
      </c>
      <c r="C42" s="106"/>
      <c r="D42" s="105"/>
      <c r="E42" s="104"/>
      <c r="F42" s="105"/>
    </row>
    <row r="43" spans="1:9" ht="14.65" customHeight="1">
      <c r="A43" s="107"/>
      <c r="B43" s="413" t="s">
        <v>287</v>
      </c>
      <c r="C43" s="108" t="s">
        <v>172</v>
      </c>
      <c r="D43" s="105">
        <v>280</v>
      </c>
      <c r="E43" s="104"/>
      <c r="F43" s="105">
        <f t="shared" si="0"/>
        <v>0</v>
      </c>
      <c r="G43" s="260"/>
      <c r="H43" s="194"/>
    </row>
    <row r="44" spans="1:9" ht="14.65" customHeight="1">
      <c r="A44" s="107"/>
      <c r="B44" s="413" t="s">
        <v>288</v>
      </c>
      <c r="C44" s="108" t="s">
        <v>172</v>
      </c>
      <c r="D44" s="105">
        <v>120</v>
      </c>
      <c r="E44" s="104"/>
      <c r="F44" s="105">
        <f t="shared" si="0"/>
        <v>0</v>
      </c>
      <c r="G44" s="260"/>
      <c r="H44" s="194"/>
    </row>
    <row r="45" spans="1:9" ht="14.5" customHeight="1">
      <c r="A45" s="107"/>
      <c r="B45" s="413" t="s">
        <v>289</v>
      </c>
      <c r="C45" s="108" t="s">
        <v>172</v>
      </c>
      <c r="D45" s="105">
        <v>50</v>
      </c>
      <c r="E45" s="104"/>
      <c r="F45" s="105">
        <f t="shared" si="0"/>
        <v>0</v>
      </c>
      <c r="G45" s="260"/>
      <c r="H45" s="194"/>
    </row>
    <row r="46" spans="1:9">
      <c r="A46" s="110"/>
      <c r="B46" s="108"/>
      <c r="C46" s="108"/>
      <c r="D46" s="105"/>
      <c r="E46" s="104"/>
      <c r="F46" s="105"/>
      <c r="H46" s="194"/>
      <c r="I46" s="194"/>
    </row>
    <row r="47" spans="1:9">
      <c r="A47" s="198"/>
      <c r="B47" s="412"/>
      <c r="C47" s="194"/>
      <c r="D47" s="195"/>
      <c r="E47" s="482"/>
      <c r="F47" s="105"/>
    </row>
    <row r="48" spans="1:9">
      <c r="A48" s="198" t="s">
        <v>127</v>
      </c>
      <c r="B48" s="412" t="s">
        <v>290</v>
      </c>
      <c r="C48" s="108"/>
      <c r="D48" s="105"/>
      <c r="E48" s="104"/>
      <c r="F48" s="105"/>
    </row>
    <row r="49" spans="1:9" ht="153" customHeight="1">
      <c r="A49" s="198"/>
      <c r="B49" s="107" t="s">
        <v>291</v>
      </c>
      <c r="C49" s="108"/>
      <c r="D49" s="414"/>
      <c r="E49" s="104"/>
      <c r="F49" s="105"/>
    </row>
    <row r="50" spans="1:9" ht="96.75" customHeight="1">
      <c r="A50" s="198"/>
      <c r="B50" s="107" t="s">
        <v>292</v>
      </c>
      <c r="C50" s="108"/>
      <c r="D50" s="105"/>
      <c r="E50" s="104"/>
      <c r="F50" s="105"/>
    </row>
    <row r="51" spans="1:9" ht="15.75" customHeight="1">
      <c r="A51" s="198"/>
      <c r="B51" s="107" t="s">
        <v>293</v>
      </c>
      <c r="C51" s="108"/>
      <c r="D51" s="105"/>
      <c r="E51" s="104"/>
      <c r="F51" s="105"/>
    </row>
    <row r="52" spans="1:9">
      <c r="A52" s="198"/>
      <c r="B52" s="120" t="s">
        <v>779</v>
      </c>
      <c r="C52" s="108" t="s">
        <v>294</v>
      </c>
      <c r="D52" s="105">
        <v>36</v>
      </c>
      <c r="E52" s="104"/>
      <c r="F52" s="105">
        <f t="shared" si="0"/>
        <v>0</v>
      </c>
      <c r="H52" s="104"/>
    </row>
    <row r="53" spans="1:9" ht="13.15" customHeight="1">
      <c r="A53" s="415"/>
      <c r="B53" s="262" t="s">
        <v>295</v>
      </c>
      <c r="C53" s="120" t="s">
        <v>135</v>
      </c>
      <c r="D53" s="105">
        <v>5</v>
      </c>
      <c r="E53" s="104"/>
      <c r="F53" s="105">
        <f t="shared" si="0"/>
        <v>0</v>
      </c>
      <c r="H53" s="194"/>
      <c r="I53" s="194"/>
    </row>
    <row r="54" spans="1:9">
      <c r="A54" s="198"/>
      <c r="B54" s="120"/>
      <c r="C54" s="108"/>
      <c r="D54" s="105"/>
      <c r="E54" s="104"/>
      <c r="F54" s="105"/>
      <c r="H54" s="104"/>
    </row>
    <row r="55" spans="1:9">
      <c r="A55" s="198" t="s">
        <v>131</v>
      </c>
      <c r="B55" s="412" t="s">
        <v>296</v>
      </c>
      <c r="C55" s="108"/>
      <c r="D55" s="105"/>
      <c r="E55" s="104"/>
      <c r="F55" s="105"/>
    </row>
    <row r="56" spans="1:9" ht="107.25" customHeight="1">
      <c r="A56" s="198"/>
      <c r="B56" s="107" t="s">
        <v>297</v>
      </c>
      <c r="C56" s="108"/>
      <c r="D56" s="414"/>
      <c r="E56" s="104"/>
      <c r="F56" s="105"/>
    </row>
    <row r="57" spans="1:9">
      <c r="A57" s="198"/>
      <c r="B57" s="120" t="s">
        <v>298</v>
      </c>
      <c r="C57" s="108" t="s">
        <v>294</v>
      </c>
      <c r="D57" s="105">
        <v>42</v>
      </c>
      <c r="E57" s="104"/>
      <c r="F57" s="105">
        <f t="shared" si="0"/>
        <v>0</v>
      </c>
      <c r="H57" s="104"/>
    </row>
    <row r="58" spans="1:9">
      <c r="A58" s="198" t="s">
        <v>133</v>
      </c>
      <c r="B58" s="416" t="s">
        <v>299</v>
      </c>
      <c r="C58" s="108"/>
      <c r="D58" s="105"/>
      <c r="E58" s="104"/>
      <c r="F58" s="105"/>
      <c r="H58" s="194"/>
      <c r="I58" s="194"/>
    </row>
    <row r="59" spans="1:9" ht="137.25" customHeight="1">
      <c r="A59" s="194"/>
      <c r="B59" s="107" t="s">
        <v>760</v>
      </c>
      <c r="C59" s="120"/>
      <c r="D59" s="105"/>
      <c r="E59" s="104"/>
      <c r="F59" s="105"/>
      <c r="H59" s="194"/>
      <c r="I59" s="194"/>
    </row>
    <row r="60" spans="1:9" ht="14.25" customHeight="1">
      <c r="A60" s="110"/>
      <c r="B60" s="106"/>
      <c r="C60" s="108" t="s">
        <v>154</v>
      </c>
      <c r="D60" s="105">
        <v>66</v>
      </c>
      <c r="E60" s="104"/>
      <c r="F60" s="105">
        <f t="shared" si="0"/>
        <v>0</v>
      </c>
    </row>
    <row r="61" spans="1:9" ht="14.5" thickBot="1">
      <c r="A61" s="194"/>
      <c r="B61" s="194"/>
      <c r="C61" s="108"/>
      <c r="D61" s="105"/>
      <c r="E61" s="194"/>
      <c r="F61" s="195"/>
    </row>
    <row r="62" spans="1:9" ht="14.5" thickBot="1">
      <c r="A62" s="241" t="s">
        <v>48</v>
      </c>
      <c r="B62" s="242" t="s">
        <v>300</v>
      </c>
      <c r="C62" s="339"/>
      <c r="D62" s="244"/>
      <c r="E62" s="361" t="s">
        <v>507</v>
      </c>
      <c r="F62" s="159">
        <f>SUM(F35:F60)</f>
        <v>0</v>
      </c>
    </row>
    <row r="63" spans="1:9">
      <c r="C63" s="120"/>
      <c r="D63" s="105"/>
    </row>
    <row r="64" spans="1:9">
      <c r="C64" s="192"/>
      <c r="D64" s="105"/>
    </row>
    <row r="65" spans="2:4" ht="28.5">
      <c r="B65" s="340" t="s">
        <v>301</v>
      </c>
      <c r="C65" s="82"/>
      <c r="D65" s="122"/>
    </row>
    <row r="66" spans="2:4" ht="28.5">
      <c r="B66" s="340" t="s">
        <v>301</v>
      </c>
      <c r="C66" s="427"/>
      <c r="D66" s="122"/>
    </row>
    <row r="69" spans="2:4">
      <c r="D69" s="382"/>
    </row>
  </sheetData>
  <sheetProtection algorithmName="SHA-512" hashValue="LqR+871exZcWOFMQRmmqkYudWiANMZLuD5f3Vd6AJ5QhkP99uJbHnEEnmn3VKfRjL1ky95HT3A7yqaISxT6s9A==" saltValue="QyDU/NfvlydDuFOdE/iMiw==" spinCount="100000" sheet="1" objects="1" scenarios="1"/>
  <mergeCells count="14">
    <mergeCell ref="A33:E33"/>
    <mergeCell ref="A1:F1"/>
    <mergeCell ref="A18:E18"/>
    <mergeCell ref="A2:F2"/>
    <mergeCell ref="B10:F10"/>
    <mergeCell ref="A14:E14"/>
    <mergeCell ref="A16:E16"/>
    <mergeCell ref="A20:E20"/>
    <mergeCell ref="A22:E22"/>
    <mergeCell ref="A32:E32"/>
    <mergeCell ref="A24:E24"/>
    <mergeCell ref="A26:E26"/>
    <mergeCell ref="A28:E28"/>
    <mergeCell ref="A30:E30"/>
  </mergeCells>
  <phoneticPr fontId="28" type="noConversion"/>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2" manualBreakCount="2">
    <brk id="34" max="5" man="1"/>
    <brk id="47" max="5"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7030A0"/>
  </sheetPr>
  <dimension ref="A1:H55"/>
  <sheetViews>
    <sheetView view="pageBreakPreview" topLeftCell="A31" zoomScaleNormal="90" zoomScaleSheetLayoutView="100" workbookViewId="0">
      <selection activeCell="H30" sqref="H30"/>
    </sheetView>
  </sheetViews>
  <sheetFormatPr defaultColWidth="9.26953125" defaultRowHeight="14"/>
  <cols>
    <col min="1" max="1" width="5.54296875" style="1" customWidth="1"/>
    <col min="2" max="2" width="42" style="1" customWidth="1"/>
    <col min="3" max="3" width="7.54296875" style="128" customWidth="1"/>
    <col min="4" max="4" width="10.54296875" style="129" customWidth="1"/>
    <col min="5" max="5" width="10.54296875" style="1" customWidth="1"/>
    <col min="6" max="6" width="10.54296875" style="95" customWidth="1"/>
    <col min="7" max="7" width="9.26953125" style="1"/>
    <col min="8" max="8" width="34" style="1" customWidth="1"/>
    <col min="9" max="16384" width="9.26953125" style="1"/>
  </cols>
  <sheetData>
    <row r="1" spans="1:7">
      <c r="A1" s="138"/>
      <c r="B1" s="138"/>
      <c r="C1" s="138"/>
      <c r="D1" s="138"/>
      <c r="E1" s="138"/>
      <c r="F1" s="138"/>
      <c r="G1" s="95"/>
    </row>
    <row r="2" spans="1:7">
      <c r="A2" s="571" t="s">
        <v>96</v>
      </c>
      <c r="B2" s="572"/>
      <c r="C2" s="572"/>
      <c r="D2" s="572"/>
      <c r="E2" s="572"/>
      <c r="F2" s="573"/>
    </row>
    <row r="3" spans="1:7">
      <c r="A3" s="574" t="s">
        <v>355</v>
      </c>
      <c r="B3" s="574"/>
      <c r="C3" s="574"/>
      <c r="D3" s="574"/>
      <c r="E3" s="574"/>
      <c r="F3" s="574"/>
    </row>
    <row r="4" spans="1:7">
      <c r="A4" s="112" t="s">
        <v>98</v>
      </c>
      <c r="B4" s="112" t="s">
        <v>99</v>
      </c>
      <c r="C4" s="112" t="s">
        <v>100</v>
      </c>
      <c r="D4" s="113" t="s">
        <v>101</v>
      </c>
      <c r="E4" s="112" t="s">
        <v>102</v>
      </c>
      <c r="F4" s="112" t="s">
        <v>103</v>
      </c>
    </row>
    <row r="5" spans="1:7">
      <c r="A5" s="101"/>
      <c r="B5" s="101"/>
      <c r="C5" s="101"/>
      <c r="D5" s="114"/>
      <c r="E5" s="101"/>
      <c r="F5" s="101"/>
    </row>
    <row r="6" spans="1:7">
      <c r="A6" s="101"/>
      <c r="B6" s="101"/>
      <c r="C6" s="101"/>
      <c r="D6" s="114"/>
      <c r="E6" s="101"/>
      <c r="F6" s="101"/>
    </row>
    <row r="7" spans="1:7" ht="15" thickBot="1">
      <c r="A7" s="102" t="s">
        <v>51</v>
      </c>
      <c r="B7" s="560" t="s">
        <v>356</v>
      </c>
      <c r="C7" s="560"/>
      <c r="D7" s="560"/>
      <c r="E7" s="560"/>
      <c r="F7" s="560"/>
    </row>
    <row r="8" spans="1:7">
      <c r="A8" s="115"/>
      <c r="B8" s="116"/>
      <c r="C8" s="117"/>
      <c r="D8" s="81"/>
      <c r="E8" s="118"/>
      <c r="F8" s="103"/>
    </row>
    <row r="9" spans="1:7" ht="14.5">
      <c r="A9" s="110"/>
      <c r="B9" s="119" t="s">
        <v>75</v>
      </c>
      <c r="C9" s="120"/>
      <c r="D9" s="121"/>
      <c r="E9" s="82"/>
      <c r="F9" s="122"/>
    </row>
    <row r="10" spans="1:7" ht="14.5">
      <c r="A10" s="110"/>
      <c r="B10" s="119"/>
      <c r="C10" s="120"/>
      <c r="D10" s="121"/>
      <c r="E10" s="82"/>
      <c r="F10" s="122"/>
    </row>
    <row r="11" spans="1:7" ht="132" customHeight="1">
      <c r="A11" s="110"/>
      <c r="B11" s="556" t="s">
        <v>357</v>
      </c>
      <c r="C11" s="556"/>
      <c r="D11" s="556"/>
      <c r="E11" s="556"/>
      <c r="F11" s="122"/>
    </row>
    <row r="12" spans="1:7">
      <c r="A12" s="110"/>
      <c r="B12" s="123"/>
      <c r="C12" s="123"/>
      <c r="D12" s="124"/>
      <c r="E12" s="123"/>
      <c r="F12" s="122"/>
    </row>
    <row r="13" spans="1:7" ht="154.5" customHeight="1">
      <c r="A13" s="110"/>
      <c r="B13" s="556" t="s">
        <v>358</v>
      </c>
      <c r="C13" s="556"/>
      <c r="D13" s="556"/>
      <c r="E13" s="556"/>
      <c r="F13" s="122"/>
    </row>
    <row r="14" spans="1:7">
      <c r="A14" s="110"/>
      <c r="B14" s="107"/>
      <c r="C14" s="107"/>
      <c r="D14" s="125"/>
      <c r="E14" s="107"/>
      <c r="F14" s="122"/>
    </row>
    <row r="15" spans="1:7" ht="24.75" customHeight="1">
      <c r="A15" s="110"/>
      <c r="B15" s="556" t="s">
        <v>304</v>
      </c>
      <c r="C15" s="556"/>
      <c r="D15" s="556"/>
      <c r="E15" s="556"/>
      <c r="F15" s="122"/>
    </row>
    <row r="16" spans="1:7">
      <c r="A16" s="110"/>
      <c r="B16" s="107"/>
      <c r="C16" s="107"/>
      <c r="D16" s="125"/>
      <c r="E16" s="107"/>
      <c r="F16" s="122"/>
    </row>
    <row r="17" spans="1:6" ht="60.75" customHeight="1">
      <c r="A17" s="110"/>
      <c r="B17" s="556" t="s">
        <v>359</v>
      </c>
      <c r="C17" s="575"/>
      <c r="D17" s="575"/>
      <c r="E17" s="575"/>
      <c r="F17" s="122"/>
    </row>
    <row r="18" spans="1:6">
      <c r="A18" s="110"/>
      <c r="B18" s="123"/>
      <c r="C18" s="123"/>
      <c r="D18" s="124"/>
      <c r="E18" s="123"/>
      <c r="F18" s="122"/>
    </row>
    <row r="19" spans="1:6" ht="84.75" customHeight="1">
      <c r="A19" s="110"/>
      <c r="B19" s="556" t="s">
        <v>360</v>
      </c>
      <c r="C19" s="556"/>
      <c r="D19" s="556"/>
      <c r="E19" s="556"/>
      <c r="F19" s="122"/>
    </row>
    <row r="20" spans="1:6">
      <c r="A20" s="110"/>
      <c r="B20" s="107"/>
      <c r="C20" s="123"/>
      <c r="D20" s="124"/>
      <c r="E20" s="123"/>
      <c r="F20" s="122"/>
    </row>
    <row r="21" spans="1:6" ht="12" customHeight="1">
      <c r="A21" s="110"/>
      <c r="B21" s="576" t="s">
        <v>361</v>
      </c>
      <c r="C21" s="576"/>
      <c r="D21" s="576"/>
      <c r="E21" s="576"/>
      <c r="F21" s="122"/>
    </row>
    <row r="22" spans="1:6">
      <c r="A22" s="110"/>
      <c r="B22" s="123"/>
      <c r="C22" s="123"/>
      <c r="D22" s="124"/>
      <c r="E22" s="123"/>
      <c r="F22" s="122"/>
    </row>
    <row r="23" spans="1:6" ht="51.75" customHeight="1">
      <c r="A23" s="110"/>
      <c r="B23" s="556" t="s">
        <v>362</v>
      </c>
      <c r="C23" s="556"/>
      <c r="D23" s="556"/>
      <c r="E23" s="556"/>
      <c r="F23" s="122"/>
    </row>
    <row r="24" spans="1:6">
      <c r="A24" s="110"/>
      <c r="B24" s="107"/>
      <c r="C24" s="107"/>
      <c r="D24" s="125"/>
      <c r="E24" s="107"/>
      <c r="F24" s="122"/>
    </row>
    <row r="25" spans="1:6" ht="126" customHeight="1">
      <c r="A25" s="110"/>
      <c r="B25" s="556" t="s">
        <v>363</v>
      </c>
      <c r="C25" s="556"/>
      <c r="D25" s="556"/>
      <c r="E25" s="556"/>
      <c r="F25" s="122"/>
    </row>
    <row r="26" spans="1:6">
      <c r="A26" s="110"/>
      <c r="B26" s="107"/>
      <c r="C26" s="107"/>
      <c r="D26" s="125"/>
      <c r="E26" s="107"/>
      <c r="F26" s="122"/>
    </row>
    <row r="27" spans="1:6" ht="84.75" customHeight="1">
      <c r="A27" s="110"/>
      <c r="B27" s="556" t="s">
        <v>364</v>
      </c>
      <c r="C27" s="556"/>
      <c r="D27" s="556"/>
      <c r="E27" s="556"/>
      <c r="F27" s="122"/>
    </row>
    <row r="28" spans="1:6">
      <c r="A28" s="110"/>
      <c r="B28" s="123"/>
      <c r="C28" s="123"/>
      <c r="D28" s="124"/>
      <c r="E28" s="123"/>
      <c r="F28" s="122"/>
    </row>
    <row r="29" spans="1:6" ht="48.75" customHeight="1">
      <c r="A29" s="110"/>
      <c r="B29" s="556" t="s">
        <v>365</v>
      </c>
      <c r="C29" s="556"/>
      <c r="D29" s="556"/>
      <c r="E29" s="556"/>
      <c r="F29" s="122"/>
    </row>
    <row r="30" spans="1:6">
      <c r="A30" s="110"/>
      <c r="B30" s="107"/>
      <c r="C30" s="107"/>
      <c r="D30" s="125"/>
      <c r="E30" s="107"/>
      <c r="F30" s="122"/>
    </row>
    <row r="31" spans="1:6" ht="60.75" customHeight="1">
      <c r="A31" s="110"/>
      <c r="B31" s="556" t="s">
        <v>366</v>
      </c>
      <c r="C31" s="556"/>
      <c r="D31" s="556"/>
      <c r="E31" s="556"/>
      <c r="F31" s="122"/>
    </row>
    <row r="32" spans="1:6">
      <c r="A32" s="110"/>
      <c r="B32" s="107"/>
      <c r="C32" s="107"/>
      <c r="D32" s="125"/>
      <c r="E32" s="107"/>
      <c r="F32" s="122"/>
    </row>
    <row r="33" spans="1:8" ht="24.75" customHeight="1">
      <c r="A33" s="110"/>
      <c r="B33" s="556" t="s">
        <v>310</v>
      </c>
      <c r="C33" s="556"/>
      <c r="D33" s="556"/>
      <c r="E33" s="556"/>
      <c r="F33" s="122"/>
    </row>
    <row r="34" spans="1:8">
      <c r="A34" s="110"/>
      <c r="B34" s="107"/>
      <c r="C34" s="107"/>
      <c r="D34" s="125"/>
      <c r="E34" s="107"/>
      <c r="F34" s="122"/>
    </row>
    <row r="35" spans="1:8" ht="83.25" customHeight="1">
      <c r="A35" s="110"/>
      <c r="B35" s="556" t="s">
        <v>311</v>
      </c>
      <c r="C35" s="556"/>
      <c r="D35" s="556"/>
      <c r="E35" s="556"/>
      <c r="F35" s="122"/>
      <c r="G35" s="126"/>
    </row>
    <row r="36" spans="1:8">
      <c r="A36" s="110"/>
      <c r="B36" s="107"/>
      <c r="C36" s="107"/>
      <c r="D36" s="107"/>
      <c r="E36" s="107"/>
      <c r="F36" s="122"/>
      <c r="G36" s="126"/>
    </row>
    <row r="37" spans="1:8">
      <c r="A37" s="110"/>
      <c r="B37" s="107"/>
      <c r="C37" s="107"/>
      <c r="D37" s="107"/>
      <c r="E37" s="107"/>
      <c r="F37" s="122"/>
      <c r="G37" s="126"/>
    </row>
    <row r="38" spans="1:8">
      <c r="A38" s="106" t="s">
        <v>119</v>
      </c>
      <c r="B38" s="137" t="s">
        <v>367</v>
      </c>
      <c r="C38" s="109"/>
      <c r="D38" s="132"/>
      <c r="E38" s="104"/>
      <c r="F38" s="87"/>
      <c r="G38" s="126"/>
    </row>
    <row r="39" spans="1:8" ht="48">
      <c r="A39" s="106"/>
      <c r="B39" s="79" t="s">
        <v>368</v>
      </c>
      <c r="C39" s="109"/>
      <c r="D39" s="132"/>
      <c r="E39" s="104"/>
      <c r="F39" s="87"/>
      <c r="G39" s="126"/>
    </row>
    <row r="40" spans="1:8" ht="156">
      <c r="A40" s="110"/>
      <c r="B40" s="79" t="s">
        <v>369</v>
      </c>
      <c r="C40" s="109"/>
      <c r="D40" s="132"/>
      <c r="E40" s="104"/>
      <c r="F40" s="87"/>
      <c r="G40" s="126"/>
    </row>
    <row r="41" spans="1:8" ht="63.75" customHeight="1">
      <c r="A41" s="110"/>
      <c r="B41" s="79" t="s">
        <v>370</v>
      </c>
      <c r="C41" s="86"/>
      <c r="D41" s="81"/>
      <c r="E41" s="104"/>
      <c r="F41" s="105"/>
      <c r="G41" s="126"/>
    </row>
    <row r="42" spans="1:8" ht="26.25" customHeight="1">
      <c r="A42" s="110"/>
      <c r="B42" s="111" t="s">
        <v>371</v>
      </c>
      <c r="C42" s="86"/>
      <c r="D42" s="81"/>
      <c r="E42" s="104"/>
      <c r="F42" s="105"/>
      <c r="G42" s="126"/>
    </row>
    <row r="43" spans="1:8" ht="15" customHeight="1">
      <c r="A43" s="110"/>
      <c r="B43" s="111" t="s">
        <v>372</v>
      </c>
      <c r="C43" s="86"/>
      <c r="D43" s="81"/>
      <c r="E43" s="104"/>
      <c r="F43" s="105"/>
      <c r="G43" s="126"/>
    </row>
    <row r="44" spans="1:8">
      <c r="A44" s="110"/>
      <c r="B44" s="111" t="s">
        <v>373</v>
      </c>
      <c r="C44" s="86"/>
      <c r="D44" s="81"/>
      <c r="E44" s="104"/>
      <c r="F44" s="105"/>
      <c r="G44" s="126"/>
    </row>
    <row r="45" spans="1:8">
      <c r="A45" s="110"/>
      <c r="B45" s="86" t="s">
        <v>374</v>
      </c>
      <c r="C45" s="86" t="s">
        <v>135</v>
      </c>
      <c r="D45" s="134">
        <v>4</v>
      </c>
      <c r="E45" s="104">
        <v>4500</v>
      </c>
      <c r="F45" s="96">
        <f>D45*E45</f>
        <v>18000</v>
      </c>
      <c r="G45" s="126"/>
      <c r="H45" s="146"/>
    </row>
    <row r="46" spans="1:8">
      <c r="A46" s="110"/>
      <c r="B46" s="79"/>
      <c r="C46" s="108"/>
      <c r="D46" s="81"/>
      <c r="E46" s="104"/>
      <c r="F46" s="135"/>
      <c r="G46" s="126"/>
    </row>
    <row r="47" spans="1:8" ht="14.5" thickBot="1">
      <c r="A47" s="141"/>
      <c r="B47" s="144"/>
      <c r="C47" s="145"/>
      <c r="D47" s="142"/>
      <c r="E47" s="140"/>
      <c r="F47" s="143"/>
      <c r="G47" s="126"/>
    </row>
    <row r="48" spans="1:8" ht="15" thickBot="1">
      <c r="A48" s="97" t="s">
        <v>51</v>
      </c>
      <c r="B48" s="98" t="s">
        <v>375</v>
      </c>
      <c r="C48" s="131"/>
      <c r="D48" s="99"/>
      <c r="E48" s="100" t="s">
        <v>27</v>
      </c>
      <c r="F48" s="147">
        <f>F45</f>
        <v>18000</v>
      </c>
    </row>
    <row r="50" spans="2:4">
      <c r="D50" s="134"/>
    </row>
    <row r="52" spans="2:4">
      <c r="B52" s="127"/>
    </row>
    <row r="53" spans="2:4">
      <c r="B53" s="127"/>
    </row>
    <row r="54" spans="2:4">
      <c r="D54" s="130"/>
    </row>
    <row r="55" spans="2:4">
      <c r="D55" s="130"/>
    </row>
  </sheetData>
  <mergeCells count="16">
    <mergeCell ref="B27:E27"/>
    <mergeCell ref="B29:E29"/>
    <mergeCell ref="B31:E31"/>
    <mergeCell ref="B33:E33"/>
    <mergeCell ref="B35:E35"/>
    <mergeCell ref="B25:E25"/>
    <mergeCell ref="A2:F2"/>
    <mergeCell ref="A3:F3"/>
    <mergeCell ref="B7:F7"/>
    <mergeCell ref="B11:E11"/>
    <mergeCell ref="B13:E13"/>
    <mergeCell ref="B15:E15"/>
    <mergeCell ref="B17:E17"/>
    <mergeCell ref="B19:E19"/>
    <mergeCell ref="B21:E21"/>
    <mergeCell ref="B23:E23"/>
  </mergeCells>
  <pageMargins left="0.70866141732283472" right="0.19685039370078741" top="0.74803149606299213" bottom="0.74803149606299213" header="0.31496062992125984" footer="0.31496062992125984"/>
  <pageSetup paperSize="9" orientation="portrait" r:id="rId1"/>
  <headerFooter alignWithMargins="0">
    <oddHeader>&amp;L&amp;"Calibri,Regular"&amp;9&amp;K00-023Projektni ured:  PLANETARIS d.o.o., Vončinina ulica 2, Zagreb
Građevina:  STAMBENO-POSLOVNA ZGRADA, Ulica Dinka Trinajstića 4, 4 A-E,6,8, Pazin, k.č.br. 1785/13, k.o. Pazin</oddHeader>
    <oddFooter>&amp;L&amp;"Calibri,Regular"&amp;9&amp;K00-028Zagreb, siječanj 2016. godine&amp;R&amp;9&amp;K00-032&amp;P/&amp;N</oddFooter>
  </headerFooter>
  <rowBreaks count="2" manualBreakCount="2">
    <brk id="20" max="5" man="1"/>
    <brk id="36" max="5" man="1"/>
  </rowBreaks>
  <colBreaks count="1" manualBreakCount="1">
    <brk id="6" max="1048575"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180"/>
  <sheetViews>
    <sheetView view="pageBreakPreview" topLeftCell="A171" zoomScaleNormal="100" zoomScaleSheetLayoutView="100" workbookViewId="0">
      <selection activeCell="B174" sqref="B174"/>
    </sheetView>
  </sheetViews>
  <sheetFormatPr defaultColWidth="6.7265625" defaultRowHeight="14"/>
  <cols>
    <col min="1" max="1" width="6.7265625" style="1" customWidth="1"/>
    <col min="2" max="2" width="48.7265625" style="1" customWidth="1"/>
    <col min="3" max="3" width="5.453125" style="128" customWidth="1"/>
    <col min="4" max="4" width="5" style="129" customWidth="1"/>
    <col min="5" max="5" width="8.81640625" style="1" customWidth="1"/>
    <col min="6" max="6" width="11.81640625" style="95" customWidth="1"/>
    <col min="7" max="7" width="6.7265625" style="1" customWidth="1"/>
    <col min="8" max="8" width="6.7265625" style="104" customWidth="1"/>
    <col min="9" max="10" width="6.7265625" style="104"/>
    <col min="11" max="16384" width="6.7265625" style="1"/>
  </cols>
  <sheetData>
    <row r="1" spans="1:10" ht="14.5">
      <c r="A1" s="133"/>
      <c r="B1" s="133"/>
      <c r="C1" s="205"/>
      <c r="D1" s="200"/>
      <c r="E1" s="133"/>
      <c r="F1" s="203"/>
      <c r="G1" s="95"/>
      <c r="J1" s="146"/>
    </row>
    <row r="2" spans="1:10">
      <c r="A2" s="551" t="s">
        <v>706</v>
      </c>
      <c r="B2" s="552"/>
      <c r="C2" s="552"/>
      <c r="D2" s="552"/>
      <c r="E2" s="552"/>
      <c r="F2" s="553"/>
      <c r="J2" s="146"/>
    </row>
    <row r="3" spans="1:10">
      <c r="A3" s="555" t="s">
        <v>302</v>
      </c>
      <c r="B3" s="555"/>
      <c r="C3" s="555"/>
      <c r="D3" s="555"/>
      <c r="E3" s="555"/>
      <c r="F3" s="555"/>
      <c r="J3" s="146"/>
    </row>
    <row r="4" spans="1:10">
      <c r="A4" s="112" t="s">
        <v>98</v>
      </c>
      <c r="B4" s="112" t="s">
        <v>99</v>
      </c>
      <c r="C4" s="112" t="s">
        <v>100</v>
      </c>
      <c r="D4" s="113" t="s">
        <v>101</v>
      </c>
      <c r="E4" s="112" t="s">
        <v>102</v>
      </c>
      <c r="F4" s="112" t="s">
        <v>103</v>
      </c>
      <c r="J4" s="146"/>
    </row>
    <row r="5" spans="1:10">
      <c r="A5" s="101"/>
      <c r="B5" s="101"/>
      <c r="C5" s="101"/>
      <c r="D5" s="114"/>
      <c r="E5" s="101"/>
      <c r="F5" s="101"/>
      <c r="J5" s="146"/>
    </row>
    <row r="6" spans="1:10">
      <c r="A6" s="101"/>
      <c r="B6" s="101"/>
      <c r="C6" s="101"/>
      <c r="D6" s="114"/>
      <c r="E6" s="101"/>
      <c r="F6" s="101"/>
    </row>
    <row r="7" spans="1:10" ht="15" thickBot="1">
      <c r="A7" s="102" t="s">
        <v>69</v>
      </c>
      <c r="B7" s="560" t="s">
        <v>540</v>
      </c>
      <c r="C7" s="560"/>
      <c r="D7" s="560"/>
      <c r="E7" s="560"/>
      <c r="F7" s="560"/>
    </row>
    <row r="8" spans="1:10">
      <c r="A8" s="115"/>
      <c r="B8" s="116"/>
      <c r="C8" s="117"/>
      <c r="D8" s="81"/>
      <c r="E8" s="118"/>
      <c r="F8" s="103"/>
    </row>
    <row r="9" spans="1:10" ht="14.5">
      <c r="A9" s="110"/>
      <c r="B9" s="323" t="s">
        <v>75</v>
      </c>
      <c r="C9" s="120"/>
      <c r="D9" s="200"/>
      <c r="E9" s="133"/>
      <c r="F9" s="201"/>
    </row>
    <row r="10" spans="1:10" ht="14.5">
      <c r="A10" s="110"/>
      <c r="B10" s="323"/>
      <c r="C10" s="120"/>
      <c r="D10" s="200"/>
      <c r="E10" s="133"/>
      <c r="F10" s="201"/>
    </row>
    <row r="11" spans="1:10" ht="141.75" customHeight="1">
      <c r="A11" s="110"/>
      <c r="B11" s="556" t="s">
        <v>303</v>
      </c>
      <c r="C11" s="556"/>
      <c r="D11" s="556"/>
      <c r="E11" s="556"/>
      <c r="F11" s="201"/>
    </row>
    <row r="12" spans="1:10">
      <c r="A12" s="110"/>
      <c r="B12" s="107"/>
      <c r="C12" s="107"/>
      <c r="D12" s="125"/>
      <c r="E12" s="107"/>
      <c r="F12" s="201"/>
    </row>
    <row r="13" spans="1:10" ht="232.5" customHeight="1">
      <c r="A13" s="110"/>
      <c r="B13" s="556" t="s">
        <v>797</v>
      </c>
      <c r="C13" s="556"/>
      <c r="D13" s="556"/>
      <c r="E13" s="556"/>
      <c r="F13" s="201"/>
    </row>
    <row r="14" spans="1:10" ht="33.75" customHeight="1">
      <c r="A14" s="110"/>
      <c r="B14" s="556" t="s">
        <v>304</v>
      </c>
      <c r="C14" s="556"/>
      <c r="D14" s="556"/>
      <c r="E14" s="556"/>
      <c r="F14" s="201"/>
    </row>
    <row r="15" spans="1:10">
      <c r="A15" s="110"/>
      <c r="B15" s="107"/>
      <c r="C15" s="107"/>
      <c r="D15" s="125"/>
      <c r="E15" s="107"/>
      <c r="F15" s="201"/>
    </row>
    <row r="16" spans="1:10" ht="65.25" customHeight="1">
      <c r="A16" s="110"/>
      <c r="B16" s="556" t="s">
        <v>305</v>
      </c>
      <c r="C16" s="556"/>
      <c r="D16" s="556"/>
      <c r="E16" s="556"/>
      <c r="F16" s="201"/>
    </row>
    <row r="17" spans="1:7">
      <c r="A17" s="110"/>
      <c r="B17" s="107"/>
      <c r="C17" s="107"/>
      <c r="D17" s="125"/>
      <c r="E17" s="107"/>
      <c r="F17" s="201"/>
    </row>
    <row r="18" spans="1:7" ht="74.25" customHeight="1">
      <c r="A18" s="110"/>
      <c r="B18" s="556" t="s">
        <v>306</v>
      </c>
      <c r="C18" s="556"/>
      <c r="D18" s="556"/>
      <c r="E18" s="556"/>
      <c r="F18" s="201"/>
    </row>
    <row r="19" spans="1:7">
      <c r="A19" s="110"/>
      <c r="B19" s="107"/>
      <c r="C19" s="107"/>
      <c r="D19" s="125"/>
      <c r="E19" s="107"/>
      <c r="F19" s="201"/>
    </row>
    <row r="20" spans="1:7" ht="12" customHeight="1">
      <c r="A20" s="110"/>
      <c r="B20" s="576" t="s">
        <v>307</v>
      </c>
      <c r="C20" s="576"/>
      <c r="D20" s="576"/>
      <c r="E20" s="576"/>
      <c r="F20" s="201"/>
    </row>
    <row r="21" spans="1:7">
      <c r="A21" s="110"/>
      <c r="B21" s="107"/>
      <c r="C21" s="107"/>
      <c r="D21" s="125"/>
      <c r="E21" s="107"/>
      <c r="F21" s="201"/>
    </row>
    <row r="22" spans="1:7" ht="147" customHeight="1">
      <c r="A22" s="110"/>
      <c r="B22" s="556" t="s">
        <v>308</v>
      </c>
      <c r="C22" s="556"/>
      <c r="D22" s="556"/>
      <c r="E22" s="556"/>
      <c r="F22" s="201"/>
    </row>
    <row r="23" spans="1:7">
      <c r="A23" s="110"/>
      <c r="B23" s="107"/>
      <c r="C23" s="107"/>
      <c r="D23" s="125"/>
      <c r="E23" s="107"/>
      <c r="F23" s="201"/>
    </row>
    <row r="24" spans="1:7" ht="54" customHeight="1">
      <c r="A24" s="110"/>
      <c r="B24" s="556" t="s">
        <v>788</v>
      </c>
      <c r="C24" s="556"/>
      <c r="D24" s="556"/>
      <c r="E24" s="556"/>
      <c r="F24" s="201"/>
    </row>
    <row r="25" spans="1:7">
      <c r="A25" s="110"/>
      <c r="B25" s="107"/>
      <c r="C25" s="107"/>
      <c r="D25" s="125"/>
      <c r="E25" s="107"/>
      <c r="F25" s="201"/>
    </row>
    <row r="26" spans="1:7" ht="21" customHeight="1">
      <c r="A26" s="110"/>
      <c r="B26" s="556" t="s">
        <v>309</v>
      </c>
      <c r="C26" s="556"/>
      <c r="D26" s="556"/>
      <c r="E26" s="556"/>
      <c r="F26" s="201"/>
    </row>
    <row r="27" spans="1:7">
      <c r="A27" s="110"/>
      <c r="B27" s="107"/>
      <c r="C27" s="107"/>
      <c r="D27" s="125"/>
      <c r="E27" s="107"/>
      <c r="F27" s="201"/>
    </row>
    <row r="28" spans="1:7" ht="35.25" customHeight="1">
      <c r="A28" s="110"/>
      <c r="B28" s="556" t="s">
        <v>310</v>
      </c>
      <c r="C28" s="556"/>
      <c r="D28" s="556"/>
      <c r="E28" s="556"/>
      <c r="F28" s="201"/>
    </row>
    <row r="29" spans="1:7" ht="106.5" customHeight="1">
      <c r="A29" s="110"/>
      <c r="B29" s="556" t="s">
        <v>524</v>
      </c>
      <c r="C29" s="556"/>
      <c r="D29" s="556"/>
      <c r="E29" s="556"/>
      <c r="F29" s="201"/>
      <c r="G29" s="126"/>
    </row>
    <row r="30" spans="1:7" ht="14.25" customHeight="1">
      <c r="A30" s="110" t="s">
        <v>119</v>
      </c>
      <c r="B30" s="199" t="s">
        <v>312</v>
      </c>
      <c r="C30" s="107"/>
      <c r="D30" s="107"/>
      <c r="E30" s="107"/>
      <c r="F30" s="344"/>
      <c r="G30" s="126"/>
    </row>
    <row r="31" spans="1:7" ht="45" customHeight="1">
      <c r="A31" s="90"/>
      <c r="B31" s="417" t="s">
        <v>313</v>
      </c>
      <c r="C31" s="418"/>
      <c r="D31" s="419"/>
      <c r="E31" s="104"/>
      <c r="F31" s="96"/>
      <c r="G31" s="126"/>
    </row>
    <row r="32" spans="1:7">
      <c r="A32" s="210" t="s">
        <v>246</v>
      </c>
      <c r="B32" s="417" t="s">
        <v>791</v>
      </c>
      <c r="C32" s="418"/>
      <c r="D32" s="419"/>
      <c r="E32" s="104"/>
      <c r="F32" s="96"/>
      <c r="G32" s="126"/>
    </row>
    <row r="33" spans="1:7" ht="28.5" customHeight="1">
      <c r="A33" s="210" t="s">
        <v>249</v>
      </c>
      <c r="B33" s="417" t="s">
        <v>314</v>
      </c>
      <c r="C33" s="418"/>
      <c r="D33" s="419"/>
      <c r="E33" s="104"/>
      <c r="F33" s="96"/>
      <c r="G33" s="126"/>
    </row>
    <row r="34" spans="1:7" ht="16.899999999999999" customHeight="1">
      <c r="A34" s="210" t="s">
        <v>251</v>
      </c>
      <c r="B34" s="417" t="s">
        <v>315</v>
      </c>
      <c r="C34" s="418"/>
      <c r="D34" s="419"/>
      <c r="E34" s="104"/>
      <c r="F34" s="96"/>
      <c r="G34" s="126"/>
    </row>
    <row r="35" spans="1:7">
      <c r="A35" s="210" t="s">
        <v>253</v>
      </c>
      <c r="B35" s="417" t="s">
        <v>316</v>
      </c>
      <c r="C35" s="418"/>
      <c r="D35" s="419"/>
      <c r="E35" s="104"/>
      <c r="F35" s="96"/>
      <c r="G35" s="126"/>
    </row>
    <row r="36" spans="1:7" ht="39.65" customHeight="1">
      <c r="A36" s="210" t="s">
        <v>255</v>
      </c>
      <c r="B36" s="417" t="s">
        <v>317</v>
      </c>
      <c r="C36" s="418"/>
      <c r="D36" s="419"/>
      <c r="E36" s="104"/>
      <c r="F36" s="96"/>
      <c r="G36" s="126"/>
    </row>
    <row r="37" spans="1:7" ht="53.25" customHeight="1">
      <c r="A37" s="210" t="s">
        <v>257</v>
      </c>
      <c r="B37" s="417" t="s">
        <v>318</v>
      </c>
      <c r="C37" s="418"/>
      <c r="D37" s="419"/>
      <c r="E37" s="104"/>
      <c r="F37" s="96"/>
      <c r="G37" s="126"/>
    </row>
    <row r="38" spans="1:7" ht="68.25" customHeight="1">
      <c r="A38" s="110"/>
      <c r="B38" s="106" t="s">
        <v>756</v>
      </c>
      <c r="C38" s="120"/>
      <c r="D38" s="81"/>
      <c r="E38" s="104"/>
      <c r="F38" s="96"/>
      <c r="G38" s="126"/>
    </row>
    <row r="39" spans="1:7" ht="30.75" customHeight="1">
      <c r="A39" s="110"/>
      <c r="B39" s="106" t="s">
        <v>319</v>
      </c>
      <c r="C39" s="133"/>
      <c r="D39" s="81"/>
      <c r="E39" s="104"/>
      <c r="F39" s="96"/>
      <c r="G39" s="126"/>
    </row>
    <row r="40" spans="1:7" ht="14.25" customHeight="1">
      <c r="A40" s="110"/>
      <c r="B40" s="111" t="s">
        <v>320</v>
      </c>
      <c r="C40" s="120" t="s">
        <v>135</v>
      </c>
      <c r="D40" s="86">
        <v>11</v>
      </c>
      <c r="E40" s="104"/>
      <c r="F40" s="193">
        <f>ROUND(D40*E40,2)</f>
        <v>0</v>
      </c>
      <c r="G40" s="126"/>
    </row>
    <row r="41" spans="1:7" ht="48" customHeight="1">
      <c r="A41" s="110"/>
      <c r="B41" s="304"/>
      <c r="C41" s="1"/>
      <c r="D41" s="86"/>
      <c r="E41" s="104"/>
      <c r="F41" s="193"/>
      <c r="G41" s="126"/>
    </row>
    <row r="42" spans="1:7" ht="14.25" customHeight="1">
      <c r="A42" s="341"/>
      <c r="B42" s="342"/>
      <c r="C42" s="343"/>
      <c r="D42" s="468"/>
      <c r="E42" s="345"/>
      <c r="F42" s="193"/>
      <c r="G42" s="126"/>
    </row>
    <row r="43" spans="1:7" ht="14.25" customHeight="1">
      <c r="A43" s="110" t="s">
        <v>122</v>
      </c>
      <c r="B43" s="199" t="s">
        <v>321</v>
      </c>
      <c r="C43" s="107"/>
      <c r="D43" s="79"/>
      <c r="E43" s="488"/>
      <c r="F43" s="193"/>
      <c r="G43" s="126"/>
    </row>
    <row r="44" spans="1:7" ht="39.75" customHeight="1">
      <c r="A44" s="90"/>
      <c r="B44" s="417" t="s">
        <v>322</v>
      </c>
      <c r="C44" s="418"/>
      <c r="D44" s="466"/>
      <c r="E44" s="104"/>
      <c r="F44" s="193"/>
      <c r="G44" s="126"/>
    </row>
    <row r="45" spans="1:7">
      <c r="A45" s="210" t="s">
        <v>246</v>
      </c>
      <c r="B45" s="417" t="s">
        <v>790</v>
      </c>
      <c r="C45" s="418"/>
      <c r="D45" s="466"/>
      <c r="E45" s="104"/>
      <c r="F45" s="193"/>
      <c r="G45" s="126"/>
    </row>
    <row r="46" spans="1:7" ht="27" customHeight="1">
      <c r="A46" s="210" t="s">
        <v>249</v>
      </c>
      <c r="B46" s="417" t="s">
        <v>314</v>
      </c>
      <c r="C46" s="418"/>
      <c r="D46" s="466"/>
      <c r="E46" s="104"/>
      <c r="F46" s="193"/>
      <c r="G46" s="126"/>
    </row>
    <row r="47" spans="1:7" ht="14.5" customHeight="1">
      <c r="A47" s="210" t="s">
        <v>251</v>
      </c>
      <c r="B47" s="417" t="s">
        <v>315</v>
      </c>
      <c r="C47" s="418"/>
      <c r="D47" s="466"/>
      <c r="E47" s="104"/>
      <c r="F47" s="193"/>
      <c r="G47" s="126"/>
    </row>
    <row r="48" spans="1:7" ht="28.5" customHeight="1">
      <c r="A48" s="210" t="s">
        <v>253</v>
      </c>
      <c r="B48" s="417" t="s">
        <v>316</v>
      </c>
      <c r="C48" s="418"/>
      <c r="D48" s="466"/>
      <c r="E48" s="104"/>
      <c r="F48" s="193"/>
      <c r="G48" s="126"/>
    </row>
    <row r="49" spans="1:7" ht="40.9" customHeight="1">
      <c r="A49" s="210" t="s">
        <v>255</v>
      </c>
      <c r="B49" s="417" t="s">
        <v>317</v>
      </c>
      <c r="C49" s="418"/>
      <c r="D49" s="466"/>
      <c r="E49" s="104"/>
      <c r="F49" s="193"/>
      <c r="G49" s="126"/>
    </row>
    <row r="50" spans="1:7" ht="51.75" customHeight="1">
      <c r="A50" s="210" t="s">
        <v>257</v>
      </c>
      <c r="B50" s="417" t="s">
        <v>318</v>
      </c>
      <c r="C50" s="418"/>
      <c r="D50" s="466"/>
      <c r="E50" s="104"/>
      <c r="F50" s="193"/>
      <c r="G50" s="126"/>
    </row>
    <row r="51" spans="1:7" ht="67.5" customHeight="1">
      <c r="A51" s="110"/>
      <c r="B51" s="106" t="s">
        <v>756</v>
      </c>
      <c r="C51" s="120"/>
      <c r="D51" s="86"/>
      <c r="E51" s="104"/>
      <c r="F51" s="193"/>
      <c r="G51" s="126"/>
    </row>
    <row r="52" spans="1:7" ht="35.25" customHeight="1">
      <c r="A52" s="110"/>
      <c r="B52" s="106" t="s">
        <v>319</v>
      </c>
      <c r="C52" s="133"/>
      <c r="D52" s="86"/>
      <c r="E52" s="104"/>
      <c r="F52" s="193"/>
      <c r="G52" s="126"/>
    </row>
    <row r="53" spans="1:7">
      <c r="A53" s="110"/>
      <c r="B53" s="111" t="s">
        <v>320</v>
      </c>
      <c r="C53" s="120" t="s">
        <v>135</v>
      </c>
      <c r="D53" s="86">
        <v>4</v>
      </c>
      <c r="E53" s="104"/>
      <c r="F53" s="193">
        <f t="shared" ref="F53:F93" si="0">ROUND(D53*E53,2)</f>
        <v>0</v>
      </c>
      <c r="G53" s="126"/>
    </row>
    <row r="54" spans="1:7">
      <c r="A54" s="110"/>
      <c r="B54" s="304"/>
      <c r="C54" s="1"/>
      <c r="D54" s="86"/>
      <c r="E54" s="104"/>
      <c r="F54" s="193"/>
      <c r="G54" s="126"/>
    </row>
    <row r="55" spans="1:7" ht="14.25" customHeight="1">
      <c r="A55" s="341"/>
      <c r="B55" s="342"/>
      <c r="C55" s="343"/>
      <c r="D55" s="468"/>
      <c r="E55" s="345"/>
      <c r="F55" s="193"/>
      <c r="G55" s="126"/>
    </row>
    <row r="56" spans="1:7">
      <c r="A56" s="110" t="s">
        <v>127</v>
      </c>
      <c r="B56" s="199" t="s">
        <v>323</v>
      </c>
      <c r="C56" s="107"/>
      <c r="D56" s="79"/>
      <c r="E56" s="488"/>
      <c r="F56" s="193"/>
      <c r="G56" s="126"/>
    </row>
    <row r="57" spans="1:7" ht="45" customHeight="1">
      <c r="A57" s="90"/>
      <c r="B57" s="417" t="s">
        <v>324</v>
      </c>
      <c r="C57" s="418"/>
      <c r="D57" s="466"/>
      <c r="E57" s="104"/>
      <c r="F57" s="193"/>
      <c r="G57" s="126"/>
    </row>
    <row r="58" spans="1:7" ht="24.75" customHeight="1">
      <c r="A58" s="210" t="s">
        <v>246</v>
      </c>
      <c r="B58" s="417" t="s">
        <v>790</v>
      </c>
      <c r="C58" s="418"/>
      <c r="D58" s="466"/>
      <c r="E58" s="104"/>
      <c r="F58" s="193"/>
      <c r="G58" s="126"/>
    </row>
    <row r="59" spans="1:7" ht="29.25" customHeight="1">
      <c r="A59" s="210" t="s">
        <v>249</v>
      </c>
      <c r="B59" s="417" t="s">
        <v>314</v>
      </c>
      <c r="C59" s="418"/>
      <c r="D59" s="466"/>
      <c r="E59" s="104"/>
      <c r="F59" s="193"/>
      <c r="G59" s="126"/>
    </row>
    <row r="60" spans="1:7" ht="14.5" customHeight="1">
      <c r="A60" s="210" t="s">
        <v>251</v>
      </c>
      <c r="B60" s="417" t="s">
        <v>315</v>
      </c>
      <c r="C60" s="418"/>
      <c r="D60" s="466"/>
      <c r="E60" s="104"/>
      <c r="F60" s="193"/>
      <c r="G60" s="126"/>
    </row>
    <row r="61" spans="1:7" ht="24" customHeight="1">
      <c r="A61" s="210" t="s">
        <v>253</v>
      </c>
      <c r="B61" s="417" t="s">
        <v>316</v>
      </c>
      <c r="C61" s="418"/>
      <c r="D61" s="466"/>
      <c r="E61" s="104"/>
      <c r="F61" s="193"/>
      <c r="G61" s="126"/>
    </row>
    <row r="62" spans="1:7" ht="38.5" customHeight="1">
      <c r="A62" s="210" t="s">
        <v>255</v>
      </c>
      <c r="B62" s="417" t="s">
        <v>317</v>
      </c>
      <c r="C62" s="418"/>
      <c r="D62" s="466"/>
      <c r="E62" s="104"/>
      <c r="F62" s="193"/>
      <c r="G62" s="126"/>
    </row>
    <row r="63" spans="1:7" ht="36">
      <c r="A63" s="210" t="s">
        <v>257</v>
      </c>
      <c r="B63" s="417" t="s">
        <v>318</v>
      </c>
      <c r="C63" s="418"/>
      <c r="D63" s="466"/>
      <c r="E63" s="104"/>
      <c r="F63" s="193"/>
      <c r="G63" s="126"/>
    </row>
    <row r="64" spans="1:7" ht="24">
      <c r="A64" s="210" t="s">
        <v>259</v>
      </c>
      <c r="B64" s="417" t="s">
        <v>325</v>
      </c>
      <c r="C64" s="418"/>
      <c r="D64" s="466"/>
      <c r="E64" s="104"/>
      <c r="F64" s="193"/>
      <c r="G64" s="126"/>
    </row>
    <row r="65" spans="1:7" ht="62.25" customHeight="1">
      <c r="A65" s="110"/>
      <c r="B65" s="106" t="s">
        <v>756</v>
      </c>
      <c r="C65" s="120"/>
      <c r="D65" s="86"/>
      <c r="E65" s="104"/>
      <c r="F65" s="193"/>
      <c r="G65" s="126"/>
    </row>
    <row r="66" spans="1:7" ht="32.25" customHeight="1">
      <c r="A66" s="110"/>
      <c r="B66" s="106" t="s">
        <v>319</v>
      </c>
      <c r="C66" s="133"/>
      <c r="D66" s="86"/>
      <c r="E66" s="104"/>
      <c r="F66" s="193"/>
      <c r="G66" s="126"/>
    </row>
    <row r="67" spans="1:7">
      <c r="A67" s="110"/>
      <c r="B67" s="111" t="s">
        <v>320</v>
      </c>
      <c r="C67" s="120" t="s">
        <v>135</v>
      </c>
      <c r="D67" s="86">
        <v>3</v>
      </c>
      <c r="E67" s="104"/>
      <c r="F67" s="193">
        <f t="shared" si="0"/>
        <v>0</v>
      </c>
      <c r="G67" s="126"/>
    </row>
    <row r="68" spans="1:7">
      <c r="A68" s="110"/>
      <c r="B68" s="304"/>
      <c r="C68" s="1"/>
      <c r="D68" s="86"/>
      <c r="E68" s="104"/>
      <c r="F68" s="193"/>
      <c r="G68" s="126"/>
    </row>
    <row r="69" spans="1:7" ht="14.25" customHeight="1">
      <c r="A69" s="341"/>
      <c r="B69" s="342"/>
      <c r="C69" s="343"/>
      <c r="D69" s="468"/>
      <c r="E69" s="345"/>
      <c r="F69" s="193"/>
      <c r="G69" s="126"/>
    </row>
    <row r="70" spans="1:7">
      <c r="A70" s="110" t="s">
        <v>131</v>
      </c>
      <c r="B70" s="199" t="s">
        <v>326</v>
      </c>
      <c r="C70" s="107"/>
      <c r="D70" s="79"/>
      <c r="E70" s="488"/>
      <c r="F70" s="193"/>
      <c r="G70" s="126"/>
    </row>
    <row r="71" spans="1:7" ht="45.75" customHeight="1">
      <c r="A71" s="90"/>
      <c r="B71" s="417" t="s">
        <v>327</v>
      </c>
      <c r="C71" s="418"/>
      <c r="D71" s="466"/>
      <c r="E71" s="104"/>
      <c r="F71" s="193"/>
      <c r="G71" s="126"/>
    </row>
    <row r="72" spans="1:7" ht="30" customHeight="1">
      <c r="A72" s="210" t="s">
        <v>246</v>
      </c>
      <c r="B72" s="417" t="s">
        <v>790</v>
      </c>
      <c r="C72" s="418"/>
      <c r="D72" s="466"/>
      <c r="E72" s="104"/>
      <c r="F72" s="193"/>
      <c r="G72" s="126"/>
    </row>
    <row r="73" spans="1:7" ht="31.5" customHeight="1">
      <c r="A73" s="210" t="s">
        <v>249</v>
      </c>
      <c r="B73" s="417" t="s">
        <v>314</v>
      </c>
      <c r="C73" s="418"/>
      <c r="D73" s="466"/>
      <c r="E73" s="104"/>
      <c r="F73" s="193"/>
      <c r="G73" s="126"/>
    </row>
    <row r="74" spans="1:7">
      <c r="A74" s="210" t="s">
        <v>251</v>
      </c>
      <c r="B74" s="417" t="s">
        <v>315</v>
      </c>
      <c r="C74" s="418"/>
      <c r="D74" s="466"/>
      <c r="E74" s="104"/>
      <c r="F74" s="193"/>
      <c r="G74" s="126"/>
    </row>
    <row r="75" spans="1:7" ht="30" customHeight="1">
      <c r="A75" s="210" t="s">
        <v>253</v>
      </c>
      <c r="B75" s="417" t="s">
        <v>316</v>
      </c>
      <c r="C75" s="418"/>
      <c r="D75" s="466"/>
      <c r="E75" s="104"/>
      <c r="F75" s="193"/>
      <c r="G75" s="126"/>
    </row>
    <row r="76" spans="1:7" ht="45" customHeight="1">
      <c r="A76" s="210" t="s">
        <v>255</v>
      </c>
      <c r="B76" s="417" t="s">
        <v>317</v>
      </c>
      <c r="C76" s="418"/>
      <c r="D76" s="466"/>
      <c r="E76" s="104"/>
      <c r="F76" s="193"/>
      <c r="G76" s="126"/>
    </row>
    <row r="77" spans="1:7" ht="49.5" customHeight="1">
      <c r="A77" s="210" t="s">
        <v>257</v>
      </c>
      <c r="B77" s="417" t="s">
        <v>318</v>
      </c>
      <c r="C77" s="418"/>
      <c r="D77" s="466"/>
      <c r="E77" s="104"/>
      <c r="F77" s="193"/>
      <c r="G77" s="126"/>
    </row>
    <row r="78" spans="1:7" ht="30" customHeight="1">
      <c r="A78" s="210" t="s">
        <v>259</v>
      </c>
      <c r="B78" s="417" t="s">
        <v>325</v>
      </c>
      <c r="C78" s="418"/>
      <c r="D78" s="466"/>
      <c r="E78" s="104"/>
      <c r="F78" s="193"/>
      <c r="G78" s="126"/>
    </row>
    <row r="79" spans="1:7" ht="63" customHeight="1">
      <c r="A79" s="110"/>
      <c r="B79" s="106" t="s">
        <v>756</v>
      </c>
      <c r="C79" s="120"/>
      <c r="D79" s="86"/>
      <c r="E79" s="104"/>
      <c r="F79" s="193"/>
      <c r="G79" s="126"/>
    </row>
    <row r="80" spans="1:7" ht="30" customHeight="1">
      <c r="A80" s="110"/>
      <c r="B80" s="106" t="s">
        <v>319</v>
      </c>
      <c r="C80" s="133"/>
      <c r="D80" s="86"/>
      <c r="E80" s="104"/>
      <c r="F80" s="193"/>
      <c r="G80" s="126"/>
    </row>
    <row r="81" spans="1:7">
      <c r="A81" s="110"/>
      <c r="B81" s="111" t="s">
        <v>320</v>
      </c>
      <c r="C81" s="120" t="s">
        <v>135</v>
      </c>
      <c r="D81" s="86">
        <v>3</v>
      </c>
      <c r="E81" s="104"/>
      <c r="F81" s="193">
        <f t="shared" si="0"/>
        <v>0</v>
      </c>
      <c r="G81" s="126"/>
    </row>
    <row r="82" spans="1:7">
      <c r="A82" s="110"/>
      <c r="B82" s="304"/>
      <c r="C82" s="1"/>
      <c r="D82" s="86"/>
      <c r="E82" s="104"/>
      <c r="F82" s="193"/>
      <c r="G82" s="126"/>
    </row>
    <row r="83" spans="1:7" ht="14.25" customHeight="1">
      <c r="A83" s="341"/>
      <c r="B83" s="342"/>
      <c r="C83" s="343"/>
      <c r="D83" s="468"/>
      <c r="E83" s="345"/>
      <c r="F83" s="193"/>
      <c r="G83" s="126"/>
    </row>
    <row r="84" spans="1:7">
      <c r="A84" s="110" t="s">
        <v>133</v>
      </c>
      <c r="B84" s="199" t="s">
        <v>328</v>
      </c>
      <c r="C84" s="107"/>
      <c r="D84" s="79"/>
      <c r="E84" s="488"/>
      <c r="F84" s="193"/>
      <c r="G84" s="126"/>
    </row>
    <row r="85" spans="1:7" ht="41.25" customHeight="1">
      <c r="A85" s="90"/>
      <c r="B85" s="417" t="s">
        <v>329</v>
      </c>
      <c r="C85" s="418"/>
      <c r="D85" s="466"/>
      <c r="E85" s="104"/>
      <c r="F85" s="193"/>
      <c r="G85" s="126"/>
    </row>
    <row r="86" spans="1:7" ht="25.9" customHeight="1">
      <c r="A86" s="210" t="s">
        <v>246</v>
      </c>
      <c r="B86" s="417" t="s">
        <v>314</v>
      </c>
      <c r="C86" s="418"/>
      <c r="D86" s="466"/>
      <c r="E86" s="104"/>
      <c r="F86" s="193"/>
      <c r="G86" s="126"/>
    </row>
    <row r="87" spans="1:7" ht="16.149999999999999" customHeight="1">
      <c r="A87" s="210" t="s">
        <v>249</v>
      </c>
      <c r="B87" s="417" t="s">
        <v>315</v>
      </c>
      <c r="C87" s="418"/>
      <c r="D87" s="466"/>
      <c r="E87" s="104"/>
      <c r="F87" s="193"/>
      <c r="G87" s="126"/>
    </row>
    <row r="88" spans="1:7">
      <c r="A88" s="210" t="s">
        <v>251</v>
      </c>
      <c r="B88" s="417" t="s">
        <v>316</v>
      </c>
      <c r="C88" s="418"/>
      <c r="D88" s="466"/>
      <c r="E88" s="104"/>
      <c r="F88" s="193"/>
      <c r="G88" s="126"/>
    </row>
    <row r="89" spans="1:7" ht="36">
      <c r="A89" s="210" t="s">
        <v>253</v>
      </c>
      <c r="B89" s="417" t="s">
        <v>317</v>
      </c>
      <c r="C89" s="418"/>
      <c r="D89" s="466"/>
      <c r="E89" s="104"/>
      <c r="F89" s="193"/>
      <c r="G89" s="126"/>
    </row>
    <row r="90" spans="1:7" ht="39" customHeight="1">
      <c r="A90" s="210" t="s">
        <v>255</v>
      </c>
      <c r="B90" s="417" t="s">
        <v>330</v>
      </c>
      <c r="C90" s="418"/>
      <c r="D90" s="466"/>
      <c r="E90" s="104"/>
      <c r="F90" s="193"/>
      <c r="G90" s="126"/>
    </row>
    <row r="91" spans="1:7" ht="65.25" customHeight="1">
      <c r="A91" s="110"/>
      <c r="B91" s="106" t="s">
        <v>756</v>
      </c>
      <c r="C91" s="120"/>
      <c r="D91" s="86"/>
      <c r="E91" s="104"/>
      <c r="F91" s="193"/>
      <c r="G91" s="126"/>
    </row>
    <row r="92" spans="1:7" ht="30.75" customHeight="1">
      <c r="A92" s="110"/>
      <c r="B92" s="106" t="s">
        <v>319</v>
      </c>
      <c r="C92" s="133"/>
      <c r="D92" s="86"/>
      <c r="E92" s="104"/>
      <c r="F92" s="193"/>
      <c r="G92" s="126"/>
    </row>
    <row r="93" spans="1:7">
      <c r="A93" s="110"/>
      <c r="B93" s="111" t="s">
        <v>320</v>
      </c>
      <c r="C93" s="120" t="s">
        <v>135</v>
      </c>
      <c r="D93" s="86">
        <v>3</v>
      </c>
      <c r="E93" s="104"/>
      <c r="F93" s="193">
        <f t="shared" si="0"/>
        <v>0</v>
      </c>
      <c r="G93" s="126"/>
    </row>
    <row r="94" spans="1:7">
      <c r="A94" s="110"/>
      <c r="B94" s="304"/>
      <c r="C94" s="1"/>
      <c r="D94" s="86"/>
      <c r="E94" s="104"/>
      <c r="F94" s="193"/>
      <c r="G94" s="126"/>
    </row>
    <row r="95" spans="1:7" ht="14.25" customHeight="1">
      <c r="A95" s="341"/>
      <c r="B95" s="342"/>
      <c r="C95" s="343"/>
      <c r="D95" s="468"/>
      <c r="E95" s="345"/>
      <c r="F95" s="193"/>
      <c r="G95" s="126"/>
    </row>
    <row r="96" spans="1:7">
      <c r="A96" s="110" t="s">
        <v>168</v>
      </c>
      <c r="B96" s="199" t="s">
        <v>331</v>
      </c>
      <c r="C96" s="343"/>
      <c r="D96" s="468"/>
      <c r="E96" s="345"/>
      <c r="F96" s="193"/>
      <c r="G96" s="126"/>
    </row>
    <row r="97" spans="1:7" ht="41.25" customHeight="1">
      <c r="A97" s="90"/>
      <c r="B97" s="417" t="s">
        <v>332</v>
      </c>
      <c r="C97" s="418"/>
      <c r="D97" s="466"/>
      <c r="E97" s="104"/>
      <c r="F97" s="193"/>
      <c r="G97" s="126"/>
    </row>
    <row r="98" spans="1:7" ht="27.75" customHeight="1">
      <c r="A98" s="210" t="s">
        <v>246</v>
      </c>
      <c r="B98" s="417" t="s">
        <v>790</v>
      </c>
      <c r="C98" s="418"/>
      <c r="D98" s="466"/>
      <c r="E98" s="104"/>
      <c r="F98" s="193"/>
      <c r="G98" s="126"/>
    </row>
    <row r="99" spans="1:7" ht="26.25" customHeight="1">
      <c r="A99" s="210" t="s">
        <v>249</v>
      </c>
      <c r="B99" s="417" t="s">
        <v>314</v>
      </c>
      <c r="C99" s="418"/>
      <c r="D99" s="466"/>
      <c r="E99" s="104"/>
      <c r="F99" s="193"/>
      <c r="G99" s="126"/>
    </row>
    <row r="100" spans="1:7" ht="18" customHeight="1">
      <c r="A100" s="210" t="s">
        <v>251</v>
      </c>
      <c r="B100" s="417" t="s">
        <v>315</v>
      </c>
      <c r="C100" s="418"/>
      <c r="D100" s="466"/>
      <c r="E100" s="104"/>
      <c r="F100" s="193"/>
      <c r="G100" s="126"/>
    </row>
    <row r="101" spans="1:7" ht="25.5" customHeight="1">
      <c r="A101" s="210" t="s">
        <v>253</v>
      </c>
      <c r="B101" s="417" t="s">
        <v>316</v>
      </c>
      <c r="C101" s="418"/>
      <c r="D101" s="466"/>
      <c r="E101" s="104"/>
      <c r="F101" s="193"/>
      <c r="G101" s="126"/>
    </row>
    <row r="102" spans="1:7" ht="42" customHeight="1">
      <c r="A102" s="210" t="s">
        <v>255</v>
      </c>
      <c r="B102" s="417" t="s">
        <v>317</v>
      </c>
      <c r="C102" s="418"/>
      <c r="D102" s="466"/>
      <c r="E102" s="104"/>
      <c r="F102" s="193"/>
      <c r="G102" s="126"/>
    </row>
    <row r="103" spans="1:7" ht="50.25" customHeight="1">
      <c r="A103" s="210" t="s">
        <v>257</v>
      </c>
      <c r="B103" s="417" t="s">
        <v>330</v>
      </c>
      <c r="C103" s="418"/>
      <c r="D103" s="466"/>
      <c r="E103" s="104"/>
      <c r="F103" s="193"/>
      <c r="G103" s="126"/>
    </row>
    <row r="104" spans="1:7" ht="65.25" customHeight="1">
      <c r="A104" s="110"/>
      <c r="B104" s="106" t="s">
        <v>756</v>
      </c>
      <c r="C104" s="120"/>
      <c r="D104" s="86"/>
      <c r="E104" s="104"/>
      <c r="F104" s="193"/>
      <c r="G104" s="126"/>
    </row>
    <row r="105" spans="1:7" ht="30" customHeight="1">
      <c r="A105" s="110"/>
      <c r="B105" s="106" t="s">
        <v>319</v>
      </c>
      <c r="C105" s="133"/>
      <c r="D105" s="86"/>
      <c r="E105" s="104"/>
      <c r="F105" s="193"/>
      <c r="G105" s="126"/>
    </row>
    <row r="106" spans="1:7">
      <c r="A106" s="110"/>
      <c r="B106" s="111" t="s">
        <v>320</v>
      </c>
      <c r="C106" s="120" t="s">
        <v>135</v>
      </c>
      <c r="D106" s="86">
        <v>1</v>
      </c>
      <c r="E106" s="104"/>
      <c r="F106" s="193">
        <f t="shared" ref="F106:F166" si="1">ROUND(D106*E106,2)</f>
        <v>0</v>
      </c>
      <c r="G106" s="126"/>
    </row>
    <row r="107" spans="1:7">
      <c r="A107" s="110"/>
      <c r="B107" s="304"/>
      <c r="C107" s="1"/>
      <c r="D107" s="86"/>
      <c r="E107" s="104"/>
      <c r="F107" s="193"/>
      <c r="G107" s="126"/>
    </row>
    <row r="108" spans="1:7">
      <c r="A108" s="110"/>
      <c r="B108" s="420"/>
      <c r="C108" s="1"/>
      <c r="D108" s="86"/>
      <c r="E108" s="104"/>
      <c r="F108" s="193"/>
      <c r="G108" s="126"/>
    </row>
    <row r="109" spans="1:7">
      <c r="A109" s="110" t="s">
        <v>174</v>
      </c>
      <c r="B109" s="199" t="s">
        <v>333</v>
      </c>
      <c r="C109" s="343"/>
      <c r="D109" s="468"/>
      <c r="E109" s="345"/>
      <c r="F109" s="193"/>
      <c r="G109" s="126"/>
    </row>
    <row r="110" spans="1:7" ht="36">
      <c r="A110" s="90"/>
      <c r="B110" s="417" t="s">
        <v>334</v>
      </c>
      <c r="C110" s="418"/>
      <c r="D110" s="466"/>
      <c r="E110" s="104"/>
      <c r="F110" s="193"/>
      <c r="G110" s="126"/>
    </row>
    <row r="111" spans="1:7" ht="26.25" customHeight="1">
      <c r="A111" s="210" t="s">
        <v>246</v>
      </c>
      <c r="B111" s="417" t="s">
        <v>792</v>
      </c>
      <c r="C111" s="418"/>
      <c r="D111" s="466"/>
      <c r="E111" s="104"/>
      <c r="F111" s="193"/>
      <c r="G111" s="126"/>
    </row>
    <row r="112" spans="1:7" ht="36">
      <c r="A112" s="210" t="s">
        <v>249</v>
      </c>
      <c r="B112" s="417" t="s">
        <v>530</v>
      </c>
      <c r="C112" s="418"/>
      <c r="D112" s="466"/>
      <c r="E112" s="104"/>
      <c r="F112" s="193"/>
      <c r="G112" s="126"/>
    </row>
    <row r="113" spans="1:7">
      <c r="A113" s="210" t="s">
        <v>251</v>
      </c>
      <c r="B113" s="417" t="s">
        <v>342</v>
      </c>
      <c r="C113" s="418"/>
      <c r="D113" s="466"/>
      <c r="E113" s="104"/>
      <c r="F113" s="193"/>
      <c r="G113" s="126"/>
    </row>
    <row r="114" spans="1:7" ht="36">
      <c r="A114" s="210" t="s">
        <v>253</v>
      </c>
      <c r="B114" s="417" t="s">
        <v>336</v>
      </c>
      <c r="C114" s="418"/>
      <c r="D114" s="466"/>
      <c r="E114" s="104"/>
      <c r="F114" s="193"/>
      <c r="G114" s="126"/>
    </row>
    <row r="115" spans="1:7" ht="36">
      <c r="A115" s="210" t="s">
        <v>255</v>
      </c>
      <c r="B115" s="417" t="s">
        <v>330</v>
      </c>
      <c r="C115" s="418"/>
      <c r="D115" s="466"/>
      <c r="E115" s="104"/>
      <c r="F115" s="193"/>
      <c r="G115" s="126"/>
    </row>
    <row r="116" spans="1:7" ht="48">
      <c r="A116" s="110"/>
      <c r="B116" s="106" t="s">
        <v>756</v>
      </c>
      <c r="C116" s="120"/>
      <c r="D116" s="86"/>
      <c r="E116" s="104"/>
      <c r="F116" s="193"/>
      <c r="G116" s="126"/>
    </row>
    <row r="117" spans="1:7" ht="24">
      <c r="A117" s="110"/>
      <c r="B117" s="106" t="s">
        <v>319</v>
      </c>
      <c r="C117" s="133"/>
      <c r="D117" s="86"/>
      <c r="E117" s="104"/>
      <c r="F117" s="193"/>
      <c r="G117" s="126"/>
    </row>
    <row r="118" spans="1:7">
      <c r="A118" s="110"/>
      <c r="B118" s="111" t="s">
        <v>320</v>
      </c>
      <c r="C118" s="120" t="s">
        <v>135</v>
      </c>
      <c r="D118" s="86">
        <v>2</v>
      </c>
      <c r="E118" s="104"/>
      <c r="F118" s="193">
        <f t="shared" si="1"/>
        <v>0</v>
      </c>
      <c r="G118" s="126"/>
    </row>
    <row r="119" spans="1:7">
      <c r="A119" s="110"/>
      <c r="B119" s="304"/>
      <c r="C119" s="1"/>
      <c r="D119" s="86"/>
      <c r="E119" s="104"/>
      <c r="F119" s="193"/>
      <c r="G119" s="126"/>
    </row>
    <row r="120" spans="1:7" ht="14.25" customHeight="1">
      <c r="A120" s="341"/>
      <c r="B120" s="342"/>
      <c r="C120" s="343"/>
      <c r="D120" s="468"/>
      <c r="E120" s="345"/>
      <c r="F120" s="193"/>
      <c r="G120" s="126"/>
    </row>
    <row r="121" spans="1:7">
      <c r="A121" s="110" t="s">
        <v>179</v>
      </c>
      <c r="B121" s="199" t="s">
        <v>337</v>
      </c>
      <c r="C121" s="107"/>
      <c r="D121" s="79"/>
      <c r="E121" s="488"/>
      <c r="F121" s="193"/>
      <c r="G121" s="126"/>
    </row>
    <row r="122" spans="1:7" ht="36">
      <c r="A122" s="90"/>
      <c r="B122" s="417" t="s">
        <v>338</v>
      </c>
      <c r="C122" s="418"/>
      <c r="D122" s="466"/>
      <c r="E122" s="104"/>
      <c r="F122" s="193"/>
      <c r="G122" s="126"/>
    </row>
    <row r="123" spans="1:7" ht="26.25" customHeight="1">
      <c r="A123" s="210" t="s">
        <v>246</v>
      </c>
      <c r="B123" s="417" t="s">
        <v>793</v>
      </c>
      <c r="C123" s="418"/>
      <c r="D123" s="466"/>
      <c r="E123" s="104"/>
      <c r="F123" s="193"/>
      <c r="G123" s="126"/>
    </row>
    <row r="124" spans="1:7" ht="36">
      <c r="A124" s="210" t="s">
        <v>249</v>
      </c>
      <c r="B124" s="417" t="s">
        <v>530</v>
      </c>
      <c r="C124" s="418"/>
      <c r="D124" s="466"/>
      <c r="E124" s="104"/>
      <c r="F124" s="193"/>
      <c r="G124" s="126"/>
    </row>
    <row r="125" spans="1:7" ht="15.65" customHeight="1">
      <c r="A125" s="210" t="s">
        <v>251</v>
      </c>
      <c r="B125" s="417" t="s">
        <v>342</v>
      </c>
      <c r="C125" s="418"/>
      <c r="D125" s="466"/>
      <c r="E125" s="104"/>
      <c r="F125" s="193"/>
      <c r="G125" s="126"/>
    </row>
    <row r="126" spans="1:7" ht="48.75" customHeight="1">
      <c r="A126" s="210" t="s">
        <v>253</v>
      </c>
      <c r="B126" s="417" t="s">
        <v>336</v>
      </c>
      <c r="C126" s="418"/>
      <c r="D126" s="466"/>
      <c r="E126" s="104"/>
      <c r="F126" s="193"/>
      <c r="G126" s="126"/>
    </row>
    <row r="127" spans="1:7" ht="36">
      <c r="A127" s="210" t="s">
        <v>255</v>
      </c>
      <c r="B127" s="417" t="s">
        <v>330</v>
      </c>
      <c r="C127" s="418"/>
      <c r="D127" s="466"/>
      <c r="E127" s="104"/>
      <c r="F127" s="193"/>
      <c r="G127" s="126"/>
    </row>
    <row r="128" spans="1:7" ht="63.75" customHeight="1">
      <c r="A128" s="110"/>
      <c r="B128" s="106" t="s">
        <v>756</v>
      </c>
      <c r="C128" s="120"/>
      <c r="D128" s="86"/>
      <c r="E128" s="104"/>
      <c r="F128" s="193"/>
      <c r="G128" s="126"/>
    </row>
    <row r="129" spans="1:7" ht="24">
      <c r="A129" s="110"/>
      <c r="B129" s="106" t="s">
        <v>319</v>
      </c>
      <c r="C129" s="133"/>
      <c r="D129" s="86"/>
      <c r="E129" s="104"/>
      <c r="F129" s="193"/>
      <c r="G129" s="126"/>
    </row>
    <row r="130" spans="1:7">
      <c r="A130" s="110"/>
      <c r="B130" s="111" t="s">
        <v>320</v>
      </c>
      <c r="C130" s="120" t="s">
        <v>135</v>
      </c>
      <c r="D130" s="86">
        <v>3</v>
      </c>
      <c r="E130" s="104"/>
      <c r="F130" s="193">
        <f t="shared" si="1"/>
        <v>0</v>
      </c>
      <c r="G130" s="126"/>
    </row>
    <row r="131" spans="1:7">
      <c r="A131" s="110"/>
      <c r="B131" s="304"/>
      <c r="C131" s="1"/>
      <c r="D131" s="86"/>
      <c r="E131" s="104"/>
      <c r="F131" s="193"/>
      <c r="G131" s="126"/>
    </row>
    <row r="132" spans="1:7">
      <c r="A132" s="341"/>
      <c r="B132" s="342"/>
      <c r="C132" s="343"/>
      <c r="D132" s="468"/>
      <c r="E132" s="345"/>
      <c r="F132" s="193"/>
      <c r="G132" s="126"/>
    </row>
    <row r="133" spans="1:7">
      <c r="A133" s="110" t="s">
        <v>339</v>
      </c>
      <c r="B133" s="199" t="s">
        <v>340</v>
      </c>
      <c r="C133" s="107"/>
      <c r="D133" s="79"/>
      <c r="E133" s="488"/>
      <c r="F133" s="193"/>
      <c r="G133" s="126"/>
    </row>
    <row r="134" spans="1:7" ht="48">
      <c r="A134" s="90"/>
      <c r="B134" s="417" t="s">
        <v>341</v>
      </c>
      <c r="C134" s="418"/>
      <c r="D134" s="466"/>
      <c r="E134" s="104"/>
      <c r="F134" s="193"/>
      <c r="G134" s="126"/>
    </row>
    <row r="135" spans="1:7" ht="36">
      <c r="A135" s="210" t="s">
        <v>246</v>
      </c>
      <c r="B135" s="417" t="s">
        <v>794</v>
      </c>
      <c r="C135" s="418"/>
      <c r="D135" s="466"/>
      <c r="E135" s="104"/>
      <c r="F135" s="193"/>
      <c r="G135" s="126"/>
    </row>
    <row r="136" spans="1:7" ht="24">
      <c r="A136" s="210" t="s">
        <v>249</v>
      </c>
      <c r="B136" s="417" t="s">
        <v>335</v>
      </c>
      <c r="C136" s="418"/>
      <c r="D136" s="466"/>
      <c r="E136" s="104"/>
      <c r="F136" s="193"/>
      <c r="G136" s="126"/>
    </row>
    <row r="137" spans="1:7">
      <c r="A137" s="210" t="s">
        <v>251</v>
      </c>
      <c r="B137" s="417" t="s">
        <v>342</v>
      </c>
      <c r="C137" s="418"/>
      <c r="D137" s="466"/>
      <c r="E137" s="104"/>
      <c r="F137" s="193"/>
      <c r="G137" s="126"/>
    </row>
    <row r="138" spans="1:7" ht="36">
      <c r="A138" s="210" t="s">
        <v>253</v>
      </c>
      <c r="B138" s="417" t="s">
        <v>317</v>
      </c>
      <c r="C138" s="418"/>
      <c r="D138" s="466"/>
      <c r="E138" s="104"/>
      <c r="F138" s="193"/>
      <c r="G138" s="126"/>
    </row>
    <row r="139" spans="1:7" ht="24">
      <c r="A139" s="210" t="s">
        <v>255</v>
      </c>
      <c r="B139" s="417" t="s">
        <v>343</v>
      </c>
      <c r="C139" s="418"/>
      <c r="D139" s="466"/>
      <c r="E139" s="104"/>
      <c r="F139" s="193"/>
      <c r="G139" s="126"/>
    </row>
    <row r="140" spans="1:7" ht="36">
      <c r="A140" s="210" t="s">
        <v>257</v>
      </c>
      <c r="B140" s="417" t="s">
        <v>330</v>
      </c>
      <c r="C140" s="418"/>
      <c r="D140" s="466"/>
      <c r="E140" s="104"/>
      <c r="F140" s="193"/>
      <c r="G140" s="126"/>
    </row>
    <row r="141" spans="1:7" ht="63" customHeight="1">
      <c r="A141" s="110"/>
      <c r="B141" s="106" t="s">
        <v>756</v>
      </c>
      <c r="C141" s="120"/>
      <c r="D141" s="86"/>
      <c r="E141" s="104"/>
      <c r="F141" s="193"/>
      <c r="G141" s="126"/>
    </row>
    <row r="142" spans="1:7" ht="24">
      <c r="A142" s="110"/>
      <c r="B142" s="106" t="s">
        <v>319</v>
      </c>
      <c r="C142" s="133"/>
      <c r="D142" s="86"/>
      <c r="E142" s="104"/>
      <c r="F142" s="193"/>
      <c r="G142" s="126"/>
    </row>
    <row r="143" spans="1:7">
      <c r="A143" s="110"/>
      <c r="B143" s="111" t="s">
        <v>320</v>
      </c>
      <c r="C143" s="120" t="s">
        <v>135</v>
      </c>
      <c r="D143" s="86">
        <v>3</v>
      </c>
      <c r="E143" s="104"/>
      <c r="F143" s="193">
        <f t="shared" si="1"/>
        <v>0</v>
      </c>
      <c r="G143" s="126"/>
    </row>
    <row r="144" spans="1:7">
      <c r="A144" s="110"/>
      <c r="B144" s="304"/>
      <c r="C144" s="1"/>
      <c r="D144" s="86"/>
      <c r="E144" s="104"/>
      <c r="F144" s="193"/>
      <c r="G144" s="126"/>
    </row>
    <row r="145" spans="1:7" ht="14.25" customHeight="1">
      <c r="A145" s="341"/>
      <c r="B145" s="342"/>
      <c r="C145" s="343"/>
      <c r="D145" s="468"/>
      <c r="E145" s="345"/>
      <c r="F145" s="193"/>
      <c r="G145" s="126"/>
    </row>
    <row r="146" spans="1:7">
      <c r="A146" s="110" t="s">
        <v>344</v>
      </c>
      <c r="B146" s="199" t="s">
        <v>345</v>
      </c>
      <c r="C146" s="107"/>
      <c r="D146" s="79"/>
      <c r="E146" s="488"/>
      <c r="F146" s="193"/>
      <c r="G146" s="126"/>
    </row>
    <row r="147" spans="1:7" ht="36">
      <c r="A147" s="90"/>
      <c r="B147" s="417" t="s">
        <v>346</v>
      </c>
      <c r="C147" s="418"/>
      <c r="D147" s="466"/>
      <c r="E147" s="104"/>
      <c r="F147" s="193"/>
      <c r="G147" s="126"/>
    </row>
    <row r="148" spans="1:7" ht="27.75" customHeight="1">
      <c r="A148" s="210" t="s">
        <v>246</v>
      </c>
      <c r="B148" s="417" t="s">
        <v>790</v>
      </c>
      <c r="C148" s="418"/>
      <c r="D148" s="466"/>
      <c r="E148" s="104"/>
      <c r="F148" s="193"/>
      <c r="G148" s="126"/>
    </row>
    <row r="149" spans="1:7" ht="24">
      <c r="A149" s="210" t="s">
        <v>249</v>
      </c>
      <c r="B149" s="417" t="s">
        <v>335</v>
      </c>
      <c r="C149" s="418"/>
      <c r="D149" s="466"/>
      <c r="E149" s="104"/>
      <c r="F149" s="193"/>
      <c r="G149" s="126"/>
    </row>
    <row r="150" spans="1:7">
      <c r="A150" s="210" t="s">
        <v>251</v>
      </c>
      <c r="B150" s="417" t="s">
        <v>342</v>
      </c>
      <c r="C150" s="418"/>
      <c r="D150" s="466"/>
      <c r="E150" s="104"/>
      <c r="F150" s="193"/>
      <c r="G150" s="126"/>
    </row>
    <row r="151" spans="1:7" ht="36">
      <c r="A151" s="210" t="s">
        <v>253</v>
      </c>
      <c r="B151" s="417" t="s">
        <v>336</v>
      </c>
      <c r="C151" s="418"/>
      <c r="D151" s="466"/>
      <c r="E151" s="104"/>
      <c r="F151" s="193"/>
      <c r="G151" s="126"/>
    </row>
    <row r="152" spans="1:7" ht="36">
      <c r="A152" s="210" t="s">
        <v>255</v>
      </c>
      <c r="B152" s="417" t="s">
        <v>330</v>
      </c>
      <c r="C152" s="418"/>
      <c r="D152" s="466"/>
      <c r="E152" s="104"/>
      <c r="F152" s="193"/>
      <c r="G152" s="126"/>
    </row>
    <row r="153" spans="1:7" ht="66" customHeight="1">
      <c r="A153" s="110"/>
      <c r="B153" s="106" t="s">
        <v>756</v>
      </c>
      <c r="C153" s="120"/>
      <c r="D153" s="86"/>
      <c r="E153" s="104"/>
      <c r="F153" s="193"/>
      <c r="G153" s="126"/>
    </row>
    <row r="154" spans="1:7" ht="24">
      <c r="A154" s="110"/>
      <c r="B154" s="106" t="s">
        <v>319</v>
      </c>
      <c r="C154" s="133"/>
      <c r="D154" s="86"/>
      <c r="E154" s="104"/>
      <c r="F154" s="193"/>
      <c r="G154" s="126"/>
    </row>
    <row r="155" spans="1:7">
      <c r="A155" s="110"/>
      <c r="B155" s="111" t="s">
        <v>320</v>
      </c>
      <c r="C155" s="120" t="s">
        <v>135</v>
      </c>
      <c r="D155" s="86">
        <v>35</v>
      </c>
      <c r="E155" s="104"/>
      <c r="F155" s="193">
        <f t="shared" si="1"/>
        <v>0</v>
      </c>
      <c r="G155" s="126"/>
    </row>
    <row r="156" spans="1:7">
      <c r="A156" s="110"/>
      <c r="B156" s="304"/>
      <c r="C156" s="1"/>
      <c r="D156" s="86"/>
      <c r="E156" s="104"/>
      <c r="F156" s="193"/>
      <c r="G156" s="126"/>
    </row>
    <row r="157" spans="1:7" ht="14.25" customHeight="1">
      <c r="A157" s="341"/>
      <c r="B157" s="342"/>
      <c r="C157" s="343"/>
      <c r="D157" s="468"/>
      <c r="E157" s="345"/>
      <c r="F157" s="193"/>
      <c r="G157" s="126"/>
    </row>
    <row r="158" spans="1:7" ht="14.25" customHeight="1">
      <c r="A158" s="110" t="s">
        <v>347</v>
      </c>
      <c r="B158" s="199" t="s">
        <v>348</v>
      </c>
      <c r="C158" s="107"/>
      <c r="D158" s="79"/>
      <c r="E158" s="488"/>
      <c r="F158" s="193"/>
      <c r="G158" s="126"/>
    </row>
    <row r="159" spans="1:7" ht="54.75" customHeight="1">
      <c r="A159" s="90"/>
      <c r="B159" s="417" t="s">
        <v>349</v>
      </c>
      <c r="C159" s="418"/>
      <c r="D159" s="466"/>
      <c r="E159" s="104"/>
      <c r="F159" s="193"/>
      <c r="G159" s="126"/>
    </row>
    <row r="160" spans="1:7" ht="26.25" customHeight="1">
      <c r="A160" s="210" t="s">
        <v>246</v>
      </c>
      <c r="B160" s="417" t="s">
        <v>790</v>
      </c>
      <c r="C160" s="418"/>
      <c r="D160" s="466"/>
      <c r="E160" s="104"/>
      <c r="F160" s="193"/>
      <c r="G160" s="126"/>
    </row>
    <row r="161" spans="1:7" ht="21" customHeight="1">
      <c r="A161" s="210" t="s">
        <v>249</v>
      </c>
      <c r="B161" s="417" t="s">
        <v>350</v>
      </c>
      <c r="C161" s="418"/>
      <c r="D161" s="466"/>
      <c r="E161" s="104"/>
      <c r="F161" s="193"/>
      <c r="G161" s="126"/>
    </row>
    <row r="162" spans="1:7" ht="16.5" customHeight="1">
      <c r="A162" s="210" t="s">
        <v>251</v>
      </c>
      <c r="B162" s="417" t="s">
        <v>529</v>
      </c>
      <c r="C162" s="418"/>
      <c r="D162" s="466"/>
      <c r="E162" s="104"/>
      <c r="F162" s="193"/>
      <c r="G162" s="126"/>
    </row>
    <row r="163" spans="1:7" ht="53.25" customHeight="1">
      <c r="A163" s="210" t="s">
        <v>253</v>
      </c>
      <c r="B163" s="417" t="s">
        <v>330</v>
      </c>
      <c r="C163" s="418"/>
      <c r="D163" s="466"/>
      <c r="E163" s="104"/>
      <c r="F163" s="193"/>
      <c r="G163" s="126"/>
    </row>
    <row r="164" spans="1:7" ht="65.25" customHeight="1">
      <c r="B164" s="106" t="s">
        <v>758</v>
      </c>
      <c r="C164" s="120"/>
      <c r="D164" s="86"/>
      <c r="E164" s="104"/>
      <c r="F164" s="193"/>
      <c r="G164" s="126"/>
    </row>
    <row r="165" spans="1:7" ht="30" customHeight="1">
      <c r="B165" s="106" t="s">
        <v>319</v>
      </c>
      <c r="C165" s="133"/>
      <c r="D165" s="86"/>
      <c r="E165" s="104"/>
      <c r="F165" s="193"/>
      <c r="G165" s="126"/>
    </row>
    <row r="166" spans="1:7" ht="14.25" customHeight="1">
      <c r="A166" s="110"/>
      <c r="B166" s="111" t="s">
        <v>320</v>
      </c>
      <c r="C166" s="120" t="s">
        <v>135</v>
      </c>
      <c r="D166" s="86">
        <v>5</v>
      </c>
      <c r="E166" s="104"/>
      <c r="F166" s="193">
        <f t="shared" si="1"/>
        <v>0</v>
      </c>
      <c r="G166" s="126"/>
    </row>
    <row r="167" spans="1:7">
      <c r="A167" s="110"/>
      <c r="B167" s="304"/>
      <c r="C167" s="1"/>
      <c r="D167" s="86"/>
      <c r="E167" s="104"/>
      <c r="F167" s="193"/>
      <c r="G167" s="126"/>
    </row>
    <row r="168" spans="1:7" ht="14.25" customHeight="1">
      <c r="A168" s="341"/>
      <c r="B168" s="342"/>
      <c r="C168" s="343"/>
      <c r="D168" s="468"/>
      <c r="E168" s="345"/>
      <c r="F168" s="193"/>
      <c r="G168" s="126"/>
    </row>
    <row r="169" spans="1:7">
      <c r="A169" s="110" t="s">
        <v>351</v>
      </c>
      <c r="B169" s="199" t="s">
        <v>352</v>
      </c>
      <c r="C169" s="107"/>
      <c r="D169" s="79"/>
      <c r="E169" s="488"/>
      <c r="F169" s="193"/>
      <c r="G169" s="126"/>
    </row>
    <row r="170" spans="1:7" ht="41.25" customHeight="1">
      <c r="A170" s="90"/>
      <c r="B170" s="417" t="s">
        <v>353</v>
      </c>
      <c r="C170" s="418"/>
      <c r="D170" s="466"/>
      <c r="E170" s="104"/>
      <c r="F170" s="193"/>
      <c r="G170" s="126"/>
    </row>
    <row r="171" spans="1:7" ht="13.9" customHeight="1">
      <c r="A171" s="210" t="s">
        <v>246</v>
      </c>
      <c r="B171" s="417" t="s">
        <v>790</v>
      </c>
      <c r="C171" s="418"/>
      <c r="D171" s="466"/>
      <c r="E171" s="104"/>
      <c r="F171" s="193"/>
      <c r="G171" s="126"/>
    </row>
    <row r="172" spans="1:7" ht="18.75" customHeight="1">
      <c r="A172" s="210" t="s">
        <v>249</v>
      </c>
      <c r="B172" s="417" t="s">
        <v>350</v>
      </c>
      <c r="C172" s="418"/>
      <c r="D172" s="466"/>
      <c r="E172" s="104"/>
      <c r="F172" s="193"/>
      <c r="G172" s="126"/>
    </row>
    <row r="173" spans="1:7" ht="18.75" customHeight="1">
      <c r="A173" s="210" t="s">
        <v>251</v>
      </c>
      <c r="B173" s="417" t="s">
        <v>529</v>
      </c>
      <c r="C173" s="418"/>
      <c r="D173" s="466"/>
      <c r="E173" s="104"/>
      <c r="F173" s="193"/>
      <c r="G173" s="126"/>
    </row>
    <row r="174" spans="1:7" ht="39" customHeight="1">
      <c r="A174" s="210" t="s">
        <v>253</v>
      </c>
      <c r="B174" s="417" t="s">
        <v>330</v>
      </c>
      <c r="C174" s="418"/>
      <c r="D174" s="466"/>
      <c r="E174" s="104"/>
      <c r="F174" s="193"/>
      <c r="G174" s="126"/>
    </row>
    <row r="175" spans="1:7" ht="49.9" customHeight="1">
      <c r="B175" s="106" t="s">
        <v>758</v>
      </c>
      <c r="C175" s="120"/>
      <c r="D175" s="86"/>
      <c r="E175" s="104"/>
      <c r="F175" s="193"/>
      <c r="G175" s="126"/>
    </row>
    <row r="176" spans="1:7" ht="30" customHeight="1">
      <c r="B176" s="106" t="s">
        <v>319</v>
      </c>
      <c r="C176" s="133"/>
      <c r="D176" s="86"/>
      <c r="E176" s="104"/>
      <c r="F176" s="193"/>
      <c r="G176" s="126"/>
    </row>
    <row r="177" spans="1:7">
      <c r="A177" s="110"/>
      <c r="B177" s="111" t="s">
        <v>320</v>
      </c>
      <c r="C177" s="120" t="s">
        <v>135</v>
      </c>
      <c r="D177" s="86">
        <v>1</v>
      </c>
      <c r="E177" s="104"/>
      <c r="F177" s="193">
        <f t="shared" ref="F177" si="2">ROUND(D177*E177,2)</f>
        <v>0</v>
      </c>
      <c r="G177" s="126"/>
    </row>
    <row r="178" spans="1:7">
      <c r="A178" s="110"/>
      <c r="B178" s="304"/>
      <c r="C178" s="1"/>
      <c r="D178" s="96"/>
      <c r="E178" s="104"/>
      <c r="F178" s="96"/>
      <c r="G178" s="126"/>
    </row>
    <row r="179" spans="1:7" ht="14.25" customHeight="1" thickBot="1">
      <c r="A179" s="341"/>
      <c r="B179" s="342"/>
      <c r="C179" s="343"/>
      <c r="D179" s="344"/>
      <c r="E179" s="345"/>
      <c r="F179" s="344"/>
      <c r="G179" s="126"/>
    </row>
    <row r="180" spans="1:7" ht="14.5" thickBot="1">
      <c r="A180" s="438" t="s">
        <v>50</v>
      </c>
      <c r="B180" s="454" t="s">
        <v>354</v>
      </c>
      <c r="C180" s="455"/>
      <c r="D180" s="456"/>
      <c r="E180" s="446" t="s">
        <v>507</v>
      </c>
      <c r="F180" s="457">
        <f>F177+F166+F155+F143+F130+F118+F106+F93+F81+F67+F53+F40</f>
        <v>0</v>
      </c>
    </row>
  </sheetData>
  <sheetProtection algorithmName="SHA-512" hashValue="Sb273Sa5gx8fCbhKOBeyJdSRLZSSoD3LcwKmj386g2YWW8aTKbF52+uSpKjXrmhNAhTv81ncV6lo0/zQpwDWiQ==" saltValue="4sLnZgA80Bl4+h7XnU6DCQ==" spinCount="100000" sheet="1" objects="1" scenarios="1"/>
  <mergeCells count="14">
    <mergeCell ref="B29:E29"/>
    <mergeCell ref="B16:E16"/>
    <mergeCell ref="B18:E18"/>
    <mergeCell ref="B20:E20"/>
    <mergeCell ref="B22:E22"/>
    <mergeCell ref="B14:E14"/>
    <mergeCell ref="B26:E26"/>
    <mergeCell ref="B28:E28"/>
    <mergeCell ref="B24:E24"/>
    <mergeCell ref="A2:F2"/>
    <mergeCell ref="A3:F3"/>
    <mergeCell ref="B7:F7"/>
    <mergeCell ref="B11:E11"/>
    <mergeCell ref="B13:E13"/>
  </mergeCells>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12" manualBreakCount="12">
    <brk id="29" max="5" man="1"/>
    <brk id="42" max="5" man="1"/>
    <brk id="55" max="5" man="1"/>
    <brk id="69" max="5" man="1"/>
    <brk id="83" max="5" man="1"/>
    <brk id="95" max="5" man="1"/>
    <brk id="108" max="5" man="1"/>
    <brk id="120" max="5" man="1"/>
    <brk id="132" max="5" man="1"/>
    <brk id="145" max="5" man="1"/>
    <brk id="157" max="5" man="1"/>
    <brk id="168" max="5"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30"/>
  <sheetViews>
    <sheetView view="pageBreakPreview" topLeftCell="A219" zoomScaleNormal="100" zoomScaleSheetLayoutView="100" workbookViewId="0">
      <selection activeCell="E227" sqref="E18:E227"/>
    </sheetView>
  </sheetViews>
  <sheetFormatPr defaultColWidth="6.54296875" defaultRowHeight="14"/>
  <cols>
    <col min="1" max="1" width="6" style="1" bestFit="1" customWidth="1"/>
    <col min="2" max="2" width="47.453125" style="1" customWidth="1"/>
    <col min="3" max="3" width="5.453125" style="128" customWidth="1"/>
    <col min="4" max="4" width="4.81640625" style="129" bestFit="1" customWidth="1"/>
    <col min="5" max="5" width="8.453125" style="1" bestFit="1" customWidth="1"/>
    <col min="6" max="6" width="10.7265625" style="95" customWidth="1"/>
    <col min="7" max="7" width="6.54296875" style="1" customWidth="1"/>
    <col min="8" max="8" width="6.54296875" style="212" customWidth="1"/>
    <col min="9" max="16384" width="6.54296875" style="1"/>
  </cols>
  <sheetData>
    <row r="1" spans="1:7" ht="14.5">
      <c r="A1" s="133"/>
      <c r="B1" s="133"/>
      <c r="C1" s="205"/>
      <c r="D1" s="200"/>
      <c r="E1" s="133"/>
      <c r="F1" s="203"/>
      <c r="G1" s="95"/>
    </row>
    <row r="2" spans="1:7">
      <c r="A2" s="551" t="s">
        <v>706</v>
      </c>
      <c r="B2" s="552"/>
      <c r="C2" s="552"/>
      <c r="D2" s="552"/>
      <c r="E2" s="552"/>
      <c r="F2" s="553"/>
    </row>
    <row r="3" spans="1:7">
      <c r="A3" s="555" t="s">
        <v>376</v>
      </c>
      <c r="B3" s="555"/>
      <c r="C3" s="555"/>
      <c r="D3" s="555"/>
      <c r="E3" s="555"/>
      <c r="F3" s="555"/>
    </row>
    <row r="4" spans="1:7">
      <c r="A4" s="112" t="s">
        <v>98</v>
      </c>
      <c r="B4" s="112" t="s">
        <v>99</v>
      </c>
      <c r="C4" s="112" t="s">
        <v>100</v>
      </c>
      <c r="D4" s="113" t="s">
        <v>101</v>
      </c>
      <c r="E4" s="112" t="s">
        <v>102</v>
      </c>
      <c r="F4" s="112" t="s">
        <v>103</v>
      </c>
    </row>
    <row r="5" spans="1:7">
      <c r="A5" s="101"/>
      <c r="B5" s="101"/>
      <c r="C5" s="101"/>
      <c r="D5" s="114"/>
      <c r="E5" s="101"/>
      <c r="F5" s="101"/>
    </row>
    <row r="6" spans="1:7">
      <c r="A6" s="101"/>
      <c r="B6" s="101"/>
      <c r="C6" s="101"/>
      <c r="D6" s="114"/>
      <c r="E6" s="101"/>
      <c r="F6" s="101"/>
    </row>
    <row r="7" spans="1:7" ht="15" thickBot="1">
      <c r="A7" s="102" t="s">
        <v>70</v>
      </c>
      <c r="B7" s="560" t="s">
        <v>377</v>
      </c>
      <c r="C7" s="560"/>
      <c r="D7" s="560"/>
      <c r="E7" s="560"/>
      <c r="F7" s="560"/>
    </row>
    <row r="8" spans="1:7">
      <c r="A8" s="115"/>
      <c r="B8" s="116"/>
      <c r="C8" s="117"/>
      <c r="D8" s="81"/>
      <c r="E8" s="118"/>
      <c r="F8" s="103"/>
    </row>
    <row r="9" spans="1:7" ht="14.25" customHeight="1">
      <c r="A9" s="341"/>
      <c r="B9" s="342"/>
      <c r="C9" s="343"/>
      <c r="D9" s="344"/>
      <c r="E9" s="345"/>
      <c r="F9" s="344"/>
      <c r="G9" s="126"/>
    </row>
    <row r="10" spans="1:7">
      <c r="A10" s="107" t="s">
        <v>119</v>
      </c>
      <c r="B10" s="137" t="s">
        <v>378</v>
      </c>
      <c r="C10" s="120"/>
      <c r="D10" s="81"/>
      <c r="E10" s="104"/>
      <c r="F10" s="96"/>
      <c r="G10" s="126"/>
    </row>
    <row r="11" spans="1:7" ht="48">
      <c r="A11" s="90"/>
      <c r="B11" s="417" t="s">
        <v>379</v>
      </c>
      <c r="C11" s="418"/>
      <c r="D11" s="419"/>
      <c r="E11" s="104"/>
      <c r="F11" s="96"/>
      <c r="G11" s="126"/>
    </row>
    <row r="12" spans="1:7">
      <c r="A12" s="210" t="s">
        <v>246</v>
      </c>
      <c r="B12" s="417" t="s">
        <v>789</v>
      </c>
      <c r="C12" s="418"/>
      <c r="D12" s="419"/>
      <c r="E12" s="104"/>
      <c r="F12" s="96"/>
      <c r="G12" s="126"/>
    </row>
    <row r="13" spans="1:7" ht="25.5" customHeight="1">
      <c r="A13" s="210" t="s">
        <v>249</v>
      </c>
      <c r="B13" s="417" t="s">
        <v>380</v>
      </c>
      <c r="C13" s="418"/>
      <c r="D13" s="419"/>
      <c r="E13" s="104"/>
      <c r="F13" s="96"/>
      <c r="G13" s="126"/>
    </row>
    <row r="14" spans="1:7" ht="36">
      <c r="A14" s="210" t="s">
        <v>251</v>
      </c>
      <c r="B14" s="417" t="s">
        <v>531</v>
      </c>
      <c r="C14" s="418"/>
      <c r="D14" s="419"/>
      <c r="E14" s="104"/>
      <c r="F14" s="96"/>
      <c r="G14" s="126"/>
    </row>
    <row r="15" spans="1:7" ht="27">
      <c r="A15" s="210" t="s">
        <v>253</v>
      </c>
      <c r="B15" s="417" t="s">
        <v>381</v>
      </c>
      <c r="C15" s="418"/>
      <c r="D15" s="419"/>
      <c r="E15" s="104"/>
      <c r="F15" s="96"/>
      <c r="G15" s="126"/>
    </row>
    <row r="16" spans="1:7" ht="36">
      <c r="A16" s="210" t="s">
        <v>255</v>
      </c>
      <c r="B16" s="417" t="s">
        <v>330</v>
      </c>
      <c r="C16" s="418"/>
      <c r="D16" s="419"/>
      <c r="E16" s="104"/>
      <c r="F16" s="96"/>
      <c r="G16" s="126"/>
    </row>
    <row r="17" spans="1:9" ht="60">
      <c r="A17" s="110"/>
      <c r="B17" s="106" t="s">
        <v>756</v>
      </c>
      <c r="C17" s="120"/>
      <c r="D17" s="81"/>
      <c r="E17" s="104"/>
      <c r="F17" s="96"/>
      <c r="G17" s="126"/>
    </row>
    <row r="18" spans="1:9" ht="30.75" customHeight="1">
      <c r="A18" s="110"/>
      <c r="B18" s="106" t="s">
        <v>319</v>
      </c>
      <c r="C18" s="133"/>
      <c r="D18" s="81"/>
      <c r="E18" s="104"/>
      <c r="F18" s="96"/>
      <c r="G18" s="126"/>
    </row>
    <row r="19" spans="1:9" ht="12" customHeight="1">
      <c r="A19" s="110"/>
      <c r="B19" s="111" t="s">
        <v>382</v>
      </c>
      <c r="C19" s="120" t="s">
        <v>135</v>
      </c>
      <c r="D19" s="86">
        <v>21</v>
      </c>
      <c r="E19" s="104"/>
      <c r="F19" s="193">
        <f>ROUND(D19*E19,2)</f>
        <v>0</v>
      </c>
      <c r="G19" s="126"/>
    </row>
    <row r="20" spans="1:9" ht="48.75" customHeight="1">
      <c r="A20" s="110"/>
      <c r="B20" s="304"/>
      <c r="C20" s="1"/>
      <c r="D20" s="86"/>
      <c r="E20" s="104"/>
      <c r="F20" s="193"/>
      <c r="G20" s="126"/>
    </row>
    <row r="21" spans="1:9">
      <c r="A21" s="110"/>
      <c r="B21" s="304"/>
      <c r="C21" s="1"/>
      <c r="D21" s="86"/>
      <c r="E21" s="104"/>
      <c r="F21" s="193"/>
      <c r="G21" s="126"/>
    </row>
    <row r="22" spans="1:9">
      <c r="A22" s="107" t="s">
        <v>122</v>
      </c>
      <c r="B22" s="137" t="s">
        <v>383</v>
      </c>
      <c r="C22" s="120"/>
      <c r="D22" s="86"/>
      <c r="E22" s="104"/>
      <c r="F22" s="193"/>
      <c r="G22" s="126"/>
    </row>
    <row r="23" spans="1:9" ht="67.5" customHeight="1">
      <c r="A23" s="90"/>
      <c r="B23" s="417" t="s">
        <v>379</v>
      </c>
      <c r="C23" s="418"/>
      <c r="D23" s="466"/>
      <c r="E23" s="104"/>
      <c r="F23" s="193"/>
      <c r="G23" s="126"/>
    </row>
    <row r="24" spans="1:9" ht="31.5" customHeight="1">
      <c r="A24" s="210" t="s">
        <v>246</v>
      </c>
      <c r="B24" s="417" t="s">
        <v>790</v>
      </c>
      <c r="C24" s="418"/>
      <c r="D24" s="466"/>
      <c r="E24" s="104"/>
      <c r="F24" s="193"/>
      <c r="G24" s="126"/>
    </row>
    <row r="25" spans="1:9" ht="27" customHeight="1">
      <c r="A25" s="210" t="s">
        <v>249</v>
      </c>
      <c r="B25" s="417" t="s">
        <v>380</v>
      </c>
      <c r="C25" s="418"/>
      <c r="D25" s="466"/>
      <c r="E25" s="104"/>
      <c r="F25" s="193"/>
      <c r="G25" s="126"/>
    </row>
    <row r="26" spans="1:9" ht="48" customHeight="1">
      <c r="A26" s="210" t="s">
        <v>251</v>
      </c>
      <c r="B26" s="417" t="s">
        <v>531</v>
      </c>
      <c r="C26" s="418"/>
      <c r="D26" s="466"/>
      <c r="E26" s="104"/>
      <c r="F26" s="193"/>
      <c r="G26" s="126"/>
    </row>
    <row r="27" spans="1:9" ht="31.5" customHeight="1">
      <c r="A27" s="210" t="s">
        <v>253</v>
      </c>
      <c r="B27" s="417" t="s">
        <v>381</v>
      </c>
      <c r="C27" s="418"/>
      <c r="D27" s="466"/>
      <c r="E27" s="104"/>
      <c r="F27" s="193"/>
      <c r="G27" s="126"/>
    </row>
    <row r="28" spans="1:9" ht="36">
      <c r="A28" s="210" t="s">
        <v>255</v>
      </c>
      <c r="B28" s="417" t="s">
        <v>330</v>
      </c>
      <c r="C28" s="418"/>
      <c r="D28" s="466"/>
      <c r="E28" s="104"/>
      <c r="F28" s="193"/>
      <c r="G28" s="126"/>
    </row>
    <row r="29" spans="1:9" ht="78.75" customHeight="1">
      <c r="A29" s="110"/>
      <c r="B29" s="106" t="s">
        <v>756</v>
      </c>
      <c r="C29" s="120"/>
      <c r="D29" s="86"/>
      <c r="E29" s="104"/>
      <c r="F29" s="193"/>
      <c r="G29" s="126"/>
    </row>
    <row r="30" spans="1:9" s="346" customFormat="1" ht="30.75" customHeight="1">
      <c r="A30" s="110"/>
      <c r="B30" s="106" t="s">
        <v>319</v>
      </c>
      <c r="C30" s="133"/>
      <c r="D30" s="86"/>
      <c r="E30" s="104"/>
      <c r="F30" s="193"/>
      <c r="G30" s="347"/>
    </row>
    <row r="31" spans="1:9" s="346" customFormat="1">
      <c r="A31" s="110"/>
      <c r="B31" s="111" t="s">
        <v>320</v>
      </c>
      <c r="C31" s="120" t="s">
        <v>135</v>
      </c>
      <c r="D31" s="86">
        <v>12</v>
      </c>
      <c r="E31" s="104"/>
      <c r="F31" s="193">
        <f t="shared" ref="F31:F79" si="0">ROUND(D31*E31,2)</f>
        <v>0</v>
      </c>
      <c r="G31" s="126"/>
      <c r="H31" s="212"/>
      <c r="I31" s="1"/>
    </row>
    <row r="32" spans="1:9">
      <c r="A32" s="110"/>
      <c r="B32" s="304"/>
      <c r="C32" s="1"/>
      <c r="D32" s="86"/>
      <c r="E32" s="104"/>
      <c r="F32" s="193"/>
      <c r="G32" s="126"/>
    </row>
    <row r="33" spans="1:8">
      <c r="A33" s="110"/>
      <c r="B33" s="304"/>
      <c r="C33" s="1"/>
      <c r="D33" s="86"/>
      <c r="E33" s="104"/>
      <c r="F33" s="193"/>
      <c r="G33" s="126"/>
    </row>
    <row r="34" spans="1:8">
      <c r="A34" s="107" t="s">
        <v>127</v>
      </c>
      <c r="B34" s="137" t="s">
        <v>384</v>
      </c>
      <c r="C34" s="120"/>
      <c r="D34" s="86"/>
      <c r="E34" s="104"/>
      <c r="F34" s="193"/>
      <c r="G34" s="126"/>
    </row>
    <row r="35" spans="1:8" ht="66.75" customHeight="1">
      <c r="A35" s="90"/>
      <c r="B35" s="417" t="s">
        <v>385</v>
      </c>
      <c r="C35" s="418"/>
      <c r="D35" s="466"/>
      <c r="E35" s="104"/>
      <c r="F35" s="193"/>
      <c r="G35" s="126"/>
    </row>
    <row r="36" spans="1:8" ht="30.75" customHeight="1">
      <c r="A36" s="210" t="s">
        <v>246</v>
      </c>
      <c r="B36" s="417" t="s">
        <v>790</v>
      </c>
      <c r="C36" s="418"/>
      <c r="D36" s="466"/>
      <c r="E36" s="104"/>
      <c r="F36" s="193"/>
      <c r="G36" s="126"/>
    </row>
    <row r="37" spans="1:8" ht="31.5" customHeight="1">
      <c r="A37" s="210" t="s">
        <v>249</v>
      </c>
      <c r="B37" s="417" t="s">
        <v>380</v>
      </c>
      <c r="C37" s="418"/>
      <c r="D37" s="466"/>
      <c r="E37" s="104"/>
      <c r="F37" s="193"/>
      <c r="G37" s="126"/>
    </row>
    <row r="38" spans="1:8" ht="50.25" customHeight="1">
      <c r="A38" s="210" t="s">
        <v>251</v>
      </c>
      <c r="B38" s="417" t="s">
        <v>531</v>
      </c>
      <c r="C38" s="418"/>
      <c r="D38" s="466"/>
      <c r="E38" s="104"/>
      <c r="F38" s="193"/>
      <c r="G38" s="126"/>
    </row>
    <row r="39" spans="1:8" ht="26.25" customHeight="1">
      <c r="A39" s="210" t="s">
        <v>253</v>
      </c>
      <c r="B39" s="417" t="s">
        <v>381</v>
      </c>
      <c r="C39" s="418"/>
      <c r="D39" s="466"/>
      <c r="E39" s="104"/>
      <c r="F39" s="193"/>
      <c r="G39" s="126"/>
    </row>
    <row r="40" spans="1:8" ht="55.5" customHeight="1">
      <c r="A40" s="210" t="s">
        <v>255</v>
      </c>
      <c r="B40" s="417" t="s">
        <v>330</v>
      </c>
      <c r="C40" s="418"/>
      <c r="D40" s="466"/>
      <c r="E40" s="104"/>
      <c r="F40" s="193"/>
      <c r="G40" s="126"/>
    </row>
    <row r="41" spans="1:8" ht="76.5" customHeight="1">
      <c r="A41" s="110"/>
      <c r="B41" s="106" t="s">
        <v>756</v>
      </c>
      <c r="C41" s="418"/>
      <c r="D41" s="466"/>
      <c r="E41" s="104"/>
      <c r="F41" s="193"/>
      <c r="G41" s="126"/>
    </row>
    <row r="42" spans="1:8" ht="24">
      <c r="A42" s="110"/>
      <c r="B42" s="106" t="s">
        <v>319</v>
      </c>
      <c r="C42" s="133"/>
      <c r="D42" s="86"/>
      <c r="E42" s="104"/>
      <c r="F42" s="193"/>
      <c r="G42" s="126"/>
    </row>
    <row r="43" spans="1:8">
      <c r="A43" s="110"/>
      <c r="B43" s="111" t="s">
        <v>382</v>
      </c>
      <c r="C43" s="120" t="s">
        <v>135</v>
      </c>
      <c r="D43" s="86">
        <v>5</v>
      </c>
      <c r="E43" s="104"/>
      <c r="F43" s="193">
        <f t="shared" si="0"/>
        <v>0</v>
      </c>
      <c r="G43" s="126"/>
    </row>
    <row r="44" spans="1:8" s="400" customFormat="1">
      <c r="A44" s="399"/>
      <c r="B44" s="304"/>
      <c r="D44" s="467"/>
      <c r="E44" s="370"/>
      <c r="F44" s="193"/>
      <c r="G44" s="401"/>
      <c r="H44" s="402"/>
    </row>
    <row r="45" spans="1:8" s="400" customFormat="1">
      <c r="A45" s="399"/>
      <c r="B45" s="304"/>
      <c r="D45" s="467"/>
      <c r="E45" s="370"/>
      <c r="F45" s="193"/>
      <c r="G45" s="401"/>
      <c r="H45" s="402"/>
    </row>
    <row r="46" spans="1:8">
      <c r="A46" s="107" t="s">
        <v>131</v>
      </c>
      <c r="B46" s="137" t="s">
        <v>386</v>
      </c>
      <c r="C46" s="120"/>
      <c r="D46" s="86"/>
      <c r="E46" s="104"/>
      <c r="F46" s="193"/>
      <c r="G46" s="126"/>
    </row>
    <row r="47" spans="1:8" ht="36">
      <c r="A47" s="90"/>
      <c r="B47" s="417" t="s">
        <v>387</v>
      </c>
      <c r="C47" s="418"/>
      <c r="D47" s="466"/>
      <c r="E47" s="104"/>
      <c r="F47" s="193"/>
      <c r="G47" s="126"/>
    </row>
    <row r="48" spans="1:8" ht="25.15" customHeight="1">
      <c r="A48" s="210" t="s">
        <v>246</v>
      </c>
      <c r="B48" s="417" t="s">
        <v>790</v>
      </c>
      <c r="C48" s="418"/>
      <c r="D48" s="466"/>
      <c r="E48" s="104"/>
      <c r="F48" s="193"/>
      <c r="G48" s="126"/>
    </row>
    <row r="49" spans="1:7" ht="24.75" customHeight="1">
      <c r="A49" s="210" t="s">
        <v>249</v>
      </c>
      <c r="B49" s="417" t="s">
        <v>380</v>
      </c>
      <c r="C49" s="418"/>
      <c r="D49" s="466"/>
      <c r="E49" s="104"/>
      <c r="F49" s="193"/>
      <c r="G49" s="126"/>
    </row>
    <row r="50" spans="1:7" ht="57" customHeight="1">
      <c r="A50" s="210" t="s">
        <v>251</v>
      </c>
      <c r="B50" s="417" t="s">
        <v>531</v>
      </c>
      <c r="C50" s="418"/>
      <c r="D50" s="466"/>
      <c r="E50" s="104"/>
      <c r="F50" s="193"/>
      <c r="G50" s="126"/>
    </row>
    <row r="51" spans="1:7" ht="28.9" customHeight="1">
      <c r="A51" s="210" t="s">
        <v>253</v>
      </c>
      <c r="B51" s="417" t="s">
        <v>381</v>
      </c>
      <c r="C51" s="418"/>
      <c r="D51" s="466"/>
      <c r="E51" s="104"/>
      <c r="F51" s="193"/>
      <c r="G51" s="126"/>
    </row>
    <row r="52" spans="1:7" ht="40.9" customHeight="1">
      <c r="A52" s="210" t="s">
        <v>255</v>
      </c>
      <c r="B52" s="417" t="s">
        <v>330</v>
      </c>
      <c r="C52" s="418"/>
      <c r="D52" s="466"/>
      <c r="E52" s="104"/>
      <c r="F52" s="193"/>
      <c r="G52" s="126"/>
    </row>
    <row r="53" spans="1:7" ht="77.25" customHeight="1">
      <c r="A53" s="110"/>
      <c r="B53" s="106" t="s">
        <v>756</v>
      </c>
      <c r="C53" s="120"/>
      <c r="D53" s="86"/>
      <c r="E53" s="104"/>
      <c r="F53" s="193"/>
      <c r="G53" s="126"/>
    </row>
    <row r="54" spans="1:7" ht="28.5" customHeight="1">
      <c r="A54" s="110"/>
      <c r="B54" s="106" t="s">
        <v>319</v>
      </c>
      <c r="C54" s="133"/>
      <c r="D54" s="86"/>
      <c r="E54" s="104"/>
      <c r="F54" s="193"/>
      <c r="G54" s="126"/>
    </row>
    <row r="55" spans="1:7">
      <c r="A55" s="110"/>
      <c r="B55" s="111" t="s">
        <v>382</v>
      </c>
      <c r="C55" s="120" t="s">
        <v>135</v>
      </c>
      <c r="D55" s="86">
        <v>23</v>
      </c>
      <c r="E55" s="104"/>
      <c r="F55" s="193">
        <f t="shared" si="0"/>
        <v>0</v>
      </c>
      <c r="G55" s="126"/>
    </row>
    <row r="56" spans="1:7">
      <c r="A56" s="110"/>
      <c r="B56" s="304"/>
      <c r="C56" s="1"/>
      <c r="D56" s="86"/>
      <c r="E56" s="104"/>
      <c r="F56" s="193"/>
      <c r="G56" s="126"/>
    </row>
    <row r="57" spans="1:7">
      <c r="A57" s="110"/>
      <c r="B57" s="304"/>
      <c r="C57" s="1"/>
      <c r="D57" s="86"/>
      <c r="E57" s="104"/>
      <c r="F57" s="193"/>
      <c r="G57" s="126"/>
    </row>
    <row r="58" spans="1:7">
      <c r="A58" s="107" t="s">
        <v>133</v>
      </c>
      <c r="B58" s="137" t="s">
        <v>388</v>
      </c>
      <c r="C58" s="120"/>
      <c r="D58" s="86"/>
      <c r="E58" s="104"/>
      <c r="F58" s="193"/>
      <c r="G58" s="126"/>
    </row>
    <row r="59" spans="1:7" ht="55.5" customHeight="1">
      <c r="A59" s="90"/>
      <c r="B59" s="417" t="s">
        <v>389</v>
      </c>
      <c r="C59" s="418"/>
      <c r="D59" s="466"/>
      <c r="E59" s="104"/>
      <c r="F59" s="193"/>
      <c r="G59" s="126"/>
    </row>
    <row r="60" spans="1:7" ht="30" customHeight="1">
      <c r="A60" s="210" t="s">
        <v>246</v>
      </c>
      <c r="B60" s="417" t="s">
        <v>790</v>
      </c>
      <c r="C60" s="418"/>
      <c r="D60" s="466"/>
      <c r="E60" s="104"/>
      <c r="F60" s="193"/>
      <c r="G60" s="126"/>
    </row>
    <row r="61" spans="1:7" ht="31.5" customHeight="1">
      <c r="A61" s="210" t="s">
        <v>249</v>
      </c>
      <c r="B61" s="417" t="s">
        <v>380</v>
      </c>
      <c r="C61" s="418"/>
      <c r="D61" s="466"/>
      <c r="E61" s="104"/>
      <c r="F61" s="193"/>
      <c r="G61" s="126"/>
    </row>
    <row r="62" spans="1:7" ht="51.75" customHeight="1">
      <c r="A62" s="210" t="s">
        <v>251</v>
      </c>
      <c r="B62" s="417" t="s">
        <v>531</v>
      </c>
      <c r="C62" s="418"/>
      <c r="D62" s="466"/>
      <c r="E62" s="104"/>
      <c r="F62" s="193"/>
      <c r="G62" s="126"/>
    </row>
    <row r="63" spans="1:7" ht="27.75" customHeight="1">
      <c r="A63" s="210" t="s">
        <v>253</v>
      </c>
      <c r="B63" s="417" t="s">
        <v>381</v>
      </c>
      <c r="C63" s="418"/>
      <c r="D63" s="466"/>
      <c r="E63" s="104"/>
      <c r="F63" s="193"/>
      <c r="G63" s="126"/>
    </row>
    <row r="64" spans="1:7" ht="51.75" customHeight="1">
      <c r="A64" s="210" t="s">
        <v>255</v>
      </c>
      <c r="B64" s="417" t="s">
        <v>330</v>
      </c>
      <c r="C64" s="418"/>
      <c r="D64" s="466"/>
      <c r="E64" s="104"/>
      <c r="F64" s="193"/>
      <c r="G64" s="126"/>
    </row>
    <row r="65" spans="1:7" ht="13.9" customHeight="1">
      <c r="A65" s="110"/>
      <c r="B65" s="111" t="s">
        <v>382</v>
      </c>
      <c r="C65" s="120" t="s">
        <v>135</v>
      </c>
      <c r="D65" s="86">
        <v>4</v>
      </c>
      <c r="E65" s="104"/>
      <c r="F65" s="193">
        <f t="shared" si="0"/>
        <v>0</v>
      </c>
      <c r="G65" s="126"/>
    </row>
    <row r="66" spans="1:7" ht="60.65" customHeight="1">
      <c r="A66" s="110"/>
      <c r="B66" s="304"/>
      <c r="C66" s="1"/>
      <c r="D66" s="86"/>
      <c r="E66" s="104"/>
      <c r="F66" s="193"/>
      <c r="G66" s="126"/>
    </row>
    <row r="67" spans="1:7">
      <c r="A67" s="110"/>
      <c r="B67" s="304"/>
      <c r="C67" s="1"/>
      <c r="D67" s="86"/>
      <c r="E67" s="104"/>
      <c r="F67" s="193"/>
      <c r="G67" s="126"/>
    </row>
    <row r="68" spans="1:7">
      <c r="A68" s="107" t="s">
        <v>168</v>
      </c>
      <c r="B68" s="137" t="s">
        <v>390</v>
      </c>
      <c r="C68" s="120"/>
      <c r="D68" s="86"/>
      <c r="E68" s="104"/>
      <c r="F68" s="193"/>
      <c r="G68" s="126"/>
    </row>
    <row r="69" spans="1:7" ht="36">
      <c r="A69" s="90"/>
      <c r="B69" s="417" t="s">
        <v>391</v>
      </c>
      <c r="C69" s="418"/>
      <c r="D69" s="466"/>
      <c r="E69" s="104"/>
      <c r="F69" s="193"/>
      <c r="G69" s="126"/>
    </row>
    <row r="70" spans="1:7">
      <c r="A70" s="210" t="s">
        <v>246</v>
      </c>
      <c r="B70" s="417" t="s">
        <v>790</v>
      </c>
      <c r="C70" s="418"/>
      <c r="D70" s="466"/>
      <c r="E70" s="104"/>
      <c r="F70" s="193"/>
      <c r="G70" s="126"/>
    </row>
    <row r="71" spans="1:7" ht="24">
      <c r="A71" s="210" t="s">
        <v>249</v>
      </c>
      <c r="B71" s="417" t="s">
        <v>314</v>
      </c>
      <c r="C71" s="418"/>
      <c r="D71" s="466"/>
      <c r="E71" s="104"/>
      <c r="F71" s="193"/>
      <c r="G71" s="126"/>
    </row>
    <row r="72" spans="1:7">
      <c r="A72" s="210" t="s">
        <v>251</v>
      </c>
      <c r="B72" s="417" t="s">
        <v>315</v>
      </c>
      <c r="C72" s="418"/>
      <c r="D72" s="466"/>
      <c r="E72" s="104"/>
      <c r="F72" s="193"/>
      <c r="G72" s="126"/>
    </row>
    <row r="73" spans="1:7" ht="24">
      <c r="A73" s="210" t="s">
        <v>253</v>
      </c>
      <c r="B73" s="417" t="s">
        <v>392</v>
      </c>
      <c r="C73" s="418"/>
      <c r="D73" s="466"/>
      <c r="E73" s="104"/>
      <c r="F73" s="193"/>
      <c r="G73" s="126"/>
    </row>
    <row r="74" spans="1:7" ht="36">
      <c r="A74" s="210" t="s">
        <v>255</v>
      </c>
      <c r="B74" s="417" t="s">
        <v>531</v>
      </c>
      <c r="C74" s="418"/>
      <c r="D74" s="466"/>
      <c r="E74" s="104"/>
      <c r="F74" s="193"/>
      <c r="G74" s="126"/>
    </row>
    <row r="75" spans="1:7" ht="27">
      <c r="A75" s="210" t="s">
        <v>257</v>
      </c>
      <c r="B75" s="417" t="s">
        <v>381</v>
      </c>
      <c r="C75" s="418"/>
      <c r="D75" s="466"/>
      <c r="E75" s="104"/>
      <c r="F75" s="193"/>
      <c r="G75" s="126"/>
    </row>
    <row r="76" spans="1:7" ht="36">
      <c r="A76" s="210" t="s">
        <v>259</v>
      </c>
      <c r="B76" s="417" t="s">
        <v>330</v>
      </c>
      <c r="C76" s="418"/>
      <c r="D76" s="466"/>
      <c r="E76" s="104"/>
      <c r="F76" s="193"/>
      <c r="G76" s="126"/>
    </row>
    <row r="77" spans="1:7" ht="60">
      <c r="A77" s="110"/>
      <c r="B77" s="106" t="s">
        <v>756</v>
      </c>
      <c r="C77" s="120"/>
      <c r="D77" s="86"/>
      <c r="E77" s="104"/>
      <c r="F77" s="193"/>
      <c r="G77" s="126"/>
    </row>
    <row r="78" spans="1:7" ht="24">
      <c r="A78" s="110"/>
      <c r="B78" s="106" t="s">
        <v>319</v>
      </c>
      <c r="C78" s="133"/>
      <c r="D78" s="86"/>
      <c r="E78" s="104"/>
      <c r="F78" s="193"/>
      <c r="G78" s="126"/>
    </row>
    <row r="79" spans="1:7">
      <c r="A79" s="110"/>
      <c r="B79" s="111" t="s">
        <v>320</v>
      </c>
      <c r="C79" s="120" t="s">
        <v>135</v>
      </c>
      <c r="D79" s="86">
        <v>17</v>
      </c>
      <c r="E79" s="104"/>
      <c r="F79" s="193">
        <f t="shared" si="0"/>
        <v>0</v>
      </c>
      <c r="G79" s="126"/>
    </row>
    <row r="80" spans="1:7">
      <c r="A80" s="110"/>
      <c r="B80" s="304"/>
      <c r="C80" s="1"/>
      <c r="D80" s="86"/>
      <c r="E80" s="104"/>
      <c r="F80" s="193"/>
      <c r="G80" s="126"/>
    </row>
    <row r="81" spans="1:8">
      <c r="A81" s="110"/>
      <c r="B81" s="304"/>
      <c r="C81" s="1"/>
      <c r="D81" s="86"/>
      <c r="E81" s="104"/>
      <c r="F81" s="193"/>
      <c r="G81" s="126"/>
    </row>
    <row r="82" spans="1:8">
      <c r="A82" s="107" t="s">
        <v>174</v>
      </c>
      <c r="B82" s="137" t="s">
        <v>393</v>
      </c>
      <c r="C82" s="120"/>
      <c r="D82" s="86"/>
      <c r="E82" s="104"/>
      <c r="F82" s="193"/>
      <c r="G82" s="126"/>
    </row>
    <row r="83" spans="1:8" ht="36">
      <c r="A83" s="90"/>
      <c r="B83" s="417" t="s">
        <v>394</v>
      </c>
      <c r="C83" s="418"/>
      <c r="D83" s="466"/>
      <c r="E83" s="104"/>
      <c r="F83" s="193"/>
      <c r="G83" s="126"/>
    </row>
    <row r="84" spans="1:8">
      <c r="A84" s="210" t="s">
        <v>246</v>
      </c>
      <c r="B84" s="417" t="s">
        <v>790</v>
      </c>
      <c r="C84" s="418"/>
      <c r="D84" s="466"/>
      <c r="E84" s="104"/>
      <c r="F84" s="193"/>
      <c r="G84" s="126"/>
    </row>
    <row r="85" spans="1:8" ht="24">
      <c r="A85" s="210" t="s">
        <v>249</v>
      </c>
      <c r="B85" s="417" t="s">
        <v>314</v>
      </c>
      <c r="C85" s="418"/>
      <c r="D85" s="466"/>
      <c r="E85" s="104"/>
      <c r="F85" s="193"/>
      <c r="G85" s="126"/>
    </row>
    <row r="86" spans="1:8">
      <c r="A86" s="210" t="s">
        <v>251</v>
      </c>
      <c r="B86" s="417" t="s">
        <v>315</v>
      </c>
      <c r="C86" s="418"/>
      <c r="D86" s="466"/>
      <c r="E86" s="104"/>
      <c r="F86" s="193"/>
      <c r="G86" s="126"/>
    </row>
    <row r="87" spans="1:8" ht="24">
      <c r="A87" s="210" t="s">
        <v>253</v>
      </c>
      <c r="B87" s="417" t="s">
        <v>392</v>
      </c>
      <c r="C87" s="418"/>
      <c r="D87" s="466"/>
      <c r="E87" s="104"/>
      <c r="F87" s="193"/>
      <c r="G87" s="126"/>
    </row>
    <row r="88" spans="1:8" ht="36">
      <c r="A88" s="210" t="s">
        <v>255</v>
      </c>
      <c r="B88" s="417" t="s">
        <v>531</v>
      </c>
      <c r="C88" s="418"/>
      <c r="D88" s="466"/>
      <c r="E88" s="104"/>
      <c r="F88" s="193"/>
      <c r="G88" s="126"/>
    </row>
    <row r="89" spans="1:8" ht="27">
      <c r="A89" s="210" t="s">
        <v>257</v>
      </c>
      <c r="B89" s="417" t="s">
        <v>381</v>
      </c>
      <c r="C89" s="418"/>
      <c r="D89" s="466"/>
      <c r="E89" s="104"/>
      <c r="F89" s="193"/>
      <c r="G89" s="126"/>
    </row>
    <row r="90" spans="1:8" ht="36">
      <c r="A90" s="210" t="s">
        <v>259</v>
      </c>
      <c r="B90" s="417" t="s">
        <v>330</v>
      </c>
      <c r="C90" s="418"/>
      <c r="D90" s="466"/>
      <c r="E90" s="104"/>
      <c r="F90" s="193"/>
      <c r="G90" s="126"/>
    </row>
    <row r="91" spans="1:8" ht="60">
      <c r="A91" s="110"/>
      <c r="B91" s="106" t="s">
        <v>756</v>
      </c>
      <c r="C91" s="120"/>
      <c r="D91" s="86"/>
      <c r="E91" s="104"/>
      <c r="F91" s="193"/>
      <c r="G91" s="126"/>
    </row>
    <row r="92" spans="1:8" ht="24">
      <c r="A92" s="110"/>
      <c r="B92" s="106" t="s">
        <v>319</v>
      </c>
      <c r="C92" s="133"/>
      <c r="D92" s="86"/>
      <c r="E92" s="104"/>
      <c r="F92" s="193"/>
      <c r="G92" s="126"/>
    </row>
    <row r="93" spans="1:8">
      <c r="A93" s="110"/>
      <c r="B93" s="111" t="s">
        <v>320</v>
      </c>
      <c r="C93" s="120" t="s">
        <v>135</v>
      </c>
      <c r="D93" s="86">
        <v>7</v>
      </c>
      <c r="E93" s="104"/>
      <c r="F93" s="193">
        <f t="shared" ref="F93:F135" si="1">ROUND(D93*E93,2)</f>
        <v>0</v>
      </c>
      <c r="G93" s="126"/>
    </row>
    <row r="94" spans="1:8" s="400" customFormat="1">
      <c r="A94" s="399"/>
      <c r="B94" s="304"/>
      <c r="D94" s="467"/>
      <c r="E94" s="370"/>
      <c r="F94" s="193"/>
      <c r="G94" s="401"/>
      <c r="H94" s="402"/>
    </row>
    <row r="95" spans="1:8" s="400" customFormat="1">
      <c r="A95" s="399"/>
      <c r="B95" s="304"/>
      <c r="D95" s="467"/>
      <c r="E95" s="370"/>
      <c r="F95" s="193"/>
      <c r="G95" s="401"/>
      <c r="H95" s="402"/>
    </row>
    <row r="96" spans="1:8">
      <c r="A96" s="107" t="s">
        <v>179</v>
      </c>
      <c r="B96" s="137" t="s">
        <v>395</v>
      </c>
      <c r="C96" s="120"/>
      <c r="D96" s="86"/>
      <c r="E96" s="104"/>
      <c r="F96" s="193"/>
      <c r="G96" s="126"/>
    </row>
    <row r="97" spans="1:8" ht="36">
      <c r="A97" s="90"/>
      <c r="B97" s="417" t="s">
        <v>396</v>
      </c>
      <c r="C97" s="418"/>
      <c r="D97" s="466"/>
      <c r="E97" s="104"/>
      <c r="F97" s="193"/>
      <c r="G97" s="126"/>
    </row>
    <row r="98" spans="1:8">
      <c r="A98" s="210" t="s">
        <v>246</v>
      </c>
      <c r="B98" s="417" t="s">
        <v>790</v>
      </c>
      <c r="C98" s="418"/>
      <c r="D98" s="466"/>
      <c r="E98" s="104"/>
      <c r="F98" s="193"/>
      <c r="G98" s="126"/>
    </row>
    <row r="99" spans="1:8" ht="24">
      <c r="A99" s="210" t="s">
        <v>249</v>
      </c>
      <c r="B99" s="417" t="s">
        <v>314</v>
      </c>
      <c r="C99" s="418"/>
      <c r="D99" s="466"/>
      <c r="E99" s="104"/>
      <c r="F99" s="193"/>
      <c r="G99" s="126"/>
    </row>
    <row r="100" spans="1:8">
      <c r="A100" s="210" t="s">
        <v>251</v>
      </c>
      <c r="B100" s="417" t="s">
        <v>315</v>
      </c>
      <c r="C100" s="418"/>
      <c r="D100" s="466"/>
      <c r="E100" s="104"/>
      <c r="F100" s="193"/>
      <c r="G100" s="126"/>
    </row>
    <row r="101" spans="1:8" ht="24">
      <c r="A101" s="210" t="s">
        <v>253</v>
      </c>
      <c r="B101" s="417" t="s">
        <v>392</v>
      </c>
      <c r="C101" s="418"/>
      <c r="D101" s="466"/>
      <c r="E101" s="104"/>
      <c r="F101" s="193"/>
      <c r="G101" s="126"/>
    </row>
    <row r="102" spans="1:8" ht="36">
      <c r="A102" s="210" t="s">
        <v>255</v>
      </c>
      <c r="B102" s="417" t="s">
        <v>531</v>
      </c>
      <c r="C102" s="418"/>
      <c r="D102" s="466"/>
      <c r="E102" s="104"/>
      <c r="F102" s="193"/>
      <c r="G102" s="126"/>
    </row>
    <row r="103" spans="1:8" ht="27">
      <c r="A103" s="210" t="s">
        <v>257</v>
      </c>
      <c r="B103" s="417" t="s">
        <v>381</v>
      </c>
      <c r="C103" s="418"/>
      <c r="D103" s="466"/>
      <c r="E103" s="104"/>
      <c r="F103" s="193"/>
      <c r="G103" s="126"/>
    </row>
    <row r="104" spans="1:8" ht="36">
      <c r="A104" s="210" t="s">
        <v>259</v>
      </c>
      <c r="B104" s="417" t="s">
        <v>330</v>
      </c>
      <c r="C104" s="418"/>
      <c r="D104" s="466"/>
      <c r="E104" s="104"/>
      <c r="F104" s="193"/>
      <c r="G104" s="126"/>
    </row>
    <row r="105" spans="1:8" ht="60">
      <c r="A105" s="110"/>
      <c r="B105" s="106" t="s">
        <v>756</v>
      </c>
      <c r="C105" s="120"/>
      <c r="D105" s="86"/>
      <c r="E105" s="104"/>
      <c r="F105" s="193"/>
      <c r="G105" s="126"/>
    </row>
    <row r="106" spans="1:8" ht="24">
      <c r="A106" s="110"/>
      <c r="B106" s="106" t="s">
        <v>319</v>
      </c>
      <c r="C106" s="133"/>
      <c r="D106" s="86"/>
      <c r="E106" s="104"/>
      <c r="F106" s="193"/>
      <c r="G106" s="126"/>
    </row>
    <row r="107" spans="1:8">
      <c r="A107" s="110"/>
      <c r="B107" s="111" t="s">
        <v>320</v>
      </c>
      <c r="C107" s="120" t="s">
        <v>135</v>
      </c>
      <c r="D107" s="86">
        <v>5</v>
      </c>
      <c r="E107" s="104"/>
      <c r="F107" s="193">
        <f t="shared" si="1"/>
        <v>0</v>
      </c>
      <c r="G107" s="126"/>
    </row>
    <row r="108" spans="1:8" s="400" customFormat="1">
      <c r="A108" s="399"/>
      <c r="B108" s="304"/>
      <c r="D108" s="467"/>
      <c r="E108" s="370"/>
      <c r="F108" s="193"/>
      <c r="G108" s="401"/>
      <c r="H108" s="402"/>
    </row>
    <row r="109" spans="1:8" s="400" customFormat="1">
      <c r="A109" s="399"/>
      <c r="B109" s="304"/>
      <c r="D109" s="467"/>
      <c r="E109" s="370"/>
      <c r="F109" s="193"/>
      <c r="G109" s="401"/>
      <c r="H109" s="402"/>
    </row>
    <row r="110" spans="1:8">
      <c r="A110" s="107" t="s">
        <v>339</v>
      </c>
      <c r="B110" s="137" t="s">
        <v>397</v>
      </c>
      <c r="C110" s="120"/>
      <c r="D110" s="86"/>
      <c r="E110" s="104"/>
      <c r="F110" s="193"/>
      <c r="G110" s="126"/>
    </row>
    <row r="111" spans="1:8" ht="24">
      <c r="A111" s="90"/>
      <c r="B111" s="417" t="s">
        <v>398</v>
      </c>
      <c r="C111" s="418"/>
      <c r="D111" s="466"/>
      <c r="E111" s="104"/>
      <c r="F111" s="193"/>
      <c r="G111" s="126"/>
    </row>
    <row r="112" spans="1:8">
      <c r="A112" s="210" t="s">
        <v>246</v>
      </c>
      <c r="B112" s="417" t="s">
        <v>790</v>
      </c>
      <c r="C112" s="418"/>
      <c r="D112" s="466"/>
      <c r="E112" s="104"/>
      <c r="F112" s="193"/>
      <c r="G112" s="126"/>
    </row>
    <row r="113" spans="1:8" ht="24">
      <c r="A113" s="210" t="s">
        <v>249</v>
      </c>
      <c r="B113" s="417" t="s">
        <v>314</v>
      </c>
      <c r="C113" s="418"/>
      <c r="D113" s="466"/>
      <c r="E113" s="104"/>
      <c r="F113" s="193"/>
      <c r="G113" s="126"/>
    </row>
    <row r="114" spans="1:8">
      <c r="A114" s="210" t="s">
        <v>251</v>
      </c>
      <c r="B114" s="417" t="s">
        <v>315</v>
      </c>
      <c r="C114" s="418"/>
      <c r="D114" s="466"/>
      <c r="E114" s="104"/>
      <c r="F114" s="193"/>
      <c r="G114" s="126"/>
    </row>
    <row r="115" spans="1:8" ht="24">
      <c r="A115" s="210" t="s">
        <v>253</v>
      </c>
      <c r="B115" s="417" t="s">
        <v>392</v>
      </c>
      <c r="C115" s="418"/>
      <c r="D115" s="466"/>
      <c r="E115" s="104"/>
      <c r="F115" s="193"/>
      <c r="G115" s="126"/>
    </row>
    <row r="116" spans="1:8" ht="36">
      <c r="A116" s="210" t="s">
        <v>255</v>
      </c>
      <c r="B116" s="417" t="s">
        <v>531</v>
      </c>
      <c r="C116" s="418"/>
      <c r="D116" s="466"/>
      <c r="E116" s="104"/>
      <c r="F116" s="193"/>
      <c r="G116" s="126"/>
    </row>
    <row r="117" spans="1:8" ht="27">
      <c r="A117" s="210" t="s">
        <v>257</v>
      </c>
      <c r="B117" s="417" t="s">
        <v>381</v>
      </c>
      <c r="C117" s="418"/>
      <c r="D117" s="466"/>
      <c r="E117" s="104"/>
      <c r="F117" s="193"/>
      <c r="G117" s="126"/>
    </row>
    <row r="118" spans="1:8" ht="36">
      <c r="A118" s="210" t="s">
        <v>259</v>
      </c>
      <c r="B118" s="417" t="s">
        <v>330</v>
      </c>
      <c r="C118" s="418"/>
      <c r="D118" s="466"/>
      <c r="E118" s="104"/>
      <c r="F118" s="193"/>
      <c r="G118" s="126"/>
    </row>
    <row r="119" spans="1:8" ht="60">
      <c r="A119" s="110"/>
      <c r="B119" s="106" t="s">
        <v>756</v>
      </c>
      <c r="C119" s="120"/>
      <c r="D119" s="86"/>
      <c r="E119" s="104"/>
      <c r="F119" s="193"/>
      <c r="G119" s="126"/>
    </row>
    <row r="120" spans="1:8" ht="24">
      <c r="A120" s="110"/>
      <c r="B120" s="106" t="s">
        <v>319</v>
      </c>
      <c r="C120" s="133"/>
      <c r="D120" s="86"/>
      <c r="E120" s="104"/>
      <c r="F120" s="193"/>
      <c r="G120" s="126"/>
    </row>
    <row r="121" spans="1:8">
      <c r="A121" s="110"/>
      <c r="B121" s="111" t="s">
        <v>320</v>
      </c>
      <c r="C121" s="120" t="s">
        <v>135</v>
      </c>
      <c r="D121" s="86">
        <v>1</v>
      </c>
      <c r="E121" s="104"/>
      <c r="F121" s="193">
        <f t="shared" si="1"/>
        <v>0</v>
      </c>
      <c r="G121" s="126"/>
    </row>
    <row r="122" spans="1:8" s="400" customFormat="1">
      <c r="A122" s="399"/>
      <c r="B122" s="304"/>
      <c r="D122" s="467"/>
      <c r="E122" s="370"/>
      <c r="F122" s="193"/>
      <c r="G122" s="401"/>
      <c r="H122" s="402"/>
    </row>
    <row r="123" spans="1:8" s="400" customFormat="1">
      <c r="A123" s="399"/>
      <c r="B123" s="304"/>
      <c r="D123" s="467"/>
      <c r="E123" s="370"/>
      <c r="F123" s="193"/>
      <c r="G123" s="401"/>
      <c r="H123" s="402"/>
    </row>
    <row r="124" spans="1:8">
      <c r="A124" s="107" t="s">
        <v>344</v>
      </c>
      <c r="B124" s="137" t="s">
        <v>399</v>
      </c>
      <c r="C124" s="120"/>
      <c r="D124" s="86"/>
      <c r="E124" s="104"/>
      <c r="F124" s="193"/>
      <c r="G124" s="126"/>
    </row>
    <row r="125" spans="1:8" ht="24">
      <c r="A125" s="90"/>
      <c r="B125" s="417" t="s">
        <v>400</v>
      </c>
      <c r="C125" s="418"/>
      <c r="D125" s="466"/>
      <c r="E125" s="104"/>
      <c r="F125" s="193"/>
      <c r="G125" s="126"/>
    </row>
    <row r="126" spans="1:8">
      <c r="A126" s="210" t="s">
        <v>246</v>
      </c>
      <c r="B126" s="417" t="s">
        <v>790</v>
      </c>
      <c r="C126" s="418"/>
      <c r="D126" s="466"/>
      <c r="E126" s="104"/>
      <c r="F126" s="193"/>
      <c r="G126" s="126"/>
    </row>
    <row r="127" spans="1:8" ht="24">
      <c r="A127" s="210" t="s">
        <v>249</v>
      </c>
      <c r="B127" s="417" t="s">
        <v>314</v>
      </c>
      <c r="C127" s="418"/>
      <c r="D127" s="466"/>
      <c r="E127" s="104"/>
      <c r="F127" s="193"/>
      <c r="G127" s="126"/>
    </row>
    <row r="128" spans="1:8" ht="18.75" customHeight="1">
      <c r="A128" s="210" t="s">
        <v>251</v>
      </c>
      <c r="B128" s="417" t="s">
        <v>315</v>
      </c>
      <c r="C128" s="418"/>
      <c r="D128" s="466"/>
      <c r="E128" s="104"/>
      <c r="F128" s="193"/>
      <c r="G128" s="126"/>
    </row>
    <row r="129" spans="1:8" ht="24">
      <c r="A129" s="210" t="s">
        <v>253</v>
      </c>
      <c r="B129" s="417" t="s">
        <v>392</v>
      </c>
      <c r="C129" s="418"/>
      <c r="D129" s="466"/>
      <c r="E129" s="104"/>
      <c r="F129" s="193"/>
      <c r="G129" s="126"/>
    </row>
    <row r="130" spans="1:8" ht="36">
      <c r="A130" s="210" t="s">
        <v>255</v>
      </c>
      <c r="B130" s="417" t="s">
        <v>531</v>
      </c>
      <c r="C130" s="418"/>
      <c r="D130" s="466"/>
      <c r="E130" s="104"/>
      <c r="F130" s="193"/>
      <c r="G130" s="126"/>
    </row>
    <row r="131" spans="1:8" ht="27">
      <c r="A131" s="210" t="s">
        <v>257</v>
      </c>
      <c r="B131" s="417" t="s">
        <v>381</v>
      </c>
      <c r="C131" s="418"/>
      <c r="D131" s="466"/>
      <c r="E131" s="104"/>
      <c r="F131" s="193"/>
      <c r="G131" s="126"/>
    </row>
    <row r="132" spans="1:8" ht="36">
      <c r="A132" s="210" t="s">
        <v>259</v>
      </c>
      <c r="B132" s="417" t="s">
        <v>330</v>
      </c>
      <c r="C132" s="418"/>
      <c r="D132" s="466"/>
      <c r="E132" s="104"/>
      <c r="F132" s="193"/>
      <c r="G132" s="126"/>
    </row>
    <row r="133" spans="1:8" ht="60">
      <c r="A133" s="110"/>
      <c r="B133" s="106" t="s">
        <v>756</v>
      </c>
      <c r="C133" s="120"/>
      <c r="D133" s="86"/>
      <c r="E133" s="104"/>
      <c r="F133" s="193"/>
      <c r="G133" s="126"/>
    </row>
    <row r="134" spans="1:8" ht="24">
      <c r="A134" s="110"/>
      <c r="B134" s="106" t="s">
        <v>319</v>
      </c>
      <c r="C134" s="133"/>
      <c r="D134" s="86"/>
      <c r="E134" s="104"/>
      <c r="F134" s="193"/>
      <c r="G134" s="126"/>
    </row>
    <row r="135" spans="1:8">
      <c r="A135" s="110"/>
      <c r="B135" s="111" t="s">
        <v>320</v>
      </c>
      <c r="C135" s="120" t="s">
        <v>135</v>
      </c>
      <c r="D135" s="86">
        <v>1</v>
      </c>
      <c r="E135" s="104"/>
      <c r="F135" s="193">
        <f t="shared" si="1"/>
        <v>0</v>
      </c>
      <c r="G135" s="126"/>
    </row>
    <row r="136" spans="1:8" s="400" customFormat="1">
      <c r="A136" s="399"/>
      <c r="B136" s="304"/>
      <c r="D136" s="467"/>
      <c r="E136" s="370"/>
      <c r="F136" s="193"/>
      <c r="G136" s="401"/>
      <c r="H136" s="402"/>
    </row>
    <row r="137" spans="1:8" s="400" customFormat="1">
      <c r="A137" s="399"/>
      <c r="B137" s="304"/>
      <c r="D137" s="467"/>
      <c r="E137" s="370"/>
      <c r="F137" s="193"/>
      <c r="G137" s="401"/>
      <c r="H137" s="402"/>
    </row>
    <row r="138" spans="1:8">
      <c r="A138" s="107" t="s">
        <v>347</v>
      </c>
      <c r="B138" s="137" t="s">
        <v>401</v>
      </c>
      <c r="C138" s="120"/>
      <c r="D138" s="86"/>
      <c r="E138" s="104"/>
      <c r="F138" s="193"/>
      <c r="G138" s="126"/>
    </row>
    <row r="139" spans="1:8" ht="24">
      <c r="A139" s="90"/>
      <c r="B139" s="417" t="s">
        <v>402</v>
      </c>
      <c r="C139" s="418"/>
      <c r="D139" s="466"/>
      <c r="E139" s="104"/>
      <c r="F139" s="193"/>
      <c r="G139" s="126"/>
    </row>
    <row r="140" spans="1:8">
      <c r="A140" s="210" t="s">
        <v>246</v>
      </c>
      <c r="B140" s="417" t="s">
        <v>790</v>
      </c>
      <c r="C140" s="418"/>
      <c r="D140" s="466"/>
      <c r="E140" s="104"/>
      <c r="F140" s="193"/>
      <c r="G140" s="126"/>
    </row>
    <row r="141" spans="1:8" ht="24">
      <c r="A141" s="210" t="s">
        <v>249</v>
      </c>
      <c r="B141" s="417" t="s">
        <v>314</v>
      </c>
      <c r="C141" s="418"/>
      <c r="D141" s="466"/>
      <c r="E141" s="104"/>
      <c r="F141" s="193"/>
      <c r="G141" s="126"/>
    </row>
    <row r="142" spans="1:8" ht="17.25" customHeight="1">
      <c r="A142" s="210" t="s">
        <v>251</v>
      </c>
      <c r="B142" s="417" t="s">
        <v>315</v>
      </c>
      <c r="C142" s="418"/>
      <c r="D142" s="466"/>
      <c r="E142" s="104"/>
      <c r="F142" s="193"/>
      <c r="G142" s="126"/>
    </row>
    <row r="143" spans="1:8" ht="24">
      <c r="A143" s="210" t="s">
        <v>253</v>
      </c>
      <c r="B143" s="417" t="s">
        <v>392</v>
      </c>
      <c r="C143" s="418"/>
      <c r="D143" s="466"/>
      <c r="E143" s="104"/>
      <c r="F143" s="193"/>
      <c r="G143" s="126"/>
    </row>
    <row r="144" spans="1:8" ht="36">
      <c r="A144" s="210" t="s">
        <v>255</v>
      </c>
      <c r="B144" s="417" t="s">
        <v>531</v>
      </c>
      <c r="C144" s="418"/>
      <c r="D144" s="466"/>
      <c r="E144" s="104"/>
      <c r="F144" s="193"/>
      <c r="G144" s="126"/>
    </row>
    <row r="145" spans="1:8" ht="27">
      <c r="A145" s="210" t="s">
        <v>257</v>
      </c>
      <c r="B145" s="417" t="s">
        <v>381</v>
      </c>
      <c r="C145" s="418"/>
      <c r="D145" s="466"/>
      <c r="E145" s="104"/>
      <c r="F145" s="193"/>
      <c r="G145" s="126"/>
    </row>
    <row r="146" spans="1:8" ht="36">
      <c r="A146" s="210" t="s">
        <v>259</v>
      </c>
      <c r="B146" s="417" t="s">
        <v>330</v>
      </c>
      <c r="C146" s="418"/>
      <c r="D146" s="466"/>
      <c r="E146" s="104"/>
      <c r="F146" s="193"/>
      <c r="G146" s="126"/>
    </row>
    <row r="147" spans="1:8" ht="60">
      <c r="A147" s="110"/>
      <c r="B147" s="106" t="s">
        <v>756</v>
      </c>
      <c r="C147" s="120"/>
      <c r="D147" s="86"/>
      <c r="E147" s="104"/>
      <c r="F147" s="193"/>
      <c r="G147" s="126"/>
    </row>
    <row r="148" spans="1:8" ht="24">
      <c r="A148" s="110"/>
      <c r="B148" s="106" t="s">
        <v>319</v>
      </c>
      <c r="C148" s="133"/>
      <c r="D148" s="86"/>
      <c r="E148" s="104"/>
      <c r="F148" s="193"/>
      <c r="G148" s="126"/>
    </row>
    <row r="149" spans="1:8">
      <c r="A149" s="110"/>
      <c r="B149" s="111" t="s">
        <v>320</v>
      </c>
      <c r="C149" s="120" t="s">
        <v>135</v>
      </c>
      <c r="D149" s="86">
        <v>8</v>
      </c>
      <c r="E149" s="104"/>
      <c r="F149" s="193">
        <f t="shared" ref="F149:F204" si="2">ROUND(D149*E149,2)</f>
        <v>0</v>
      </c>
      <c r="G149" s="126"/>
    </row>
    <row r="150" spans="1:8" s="400" customFormat="1">
      <c r="A150" s="399"/>
      <c r="B150" s="304"/>
      <c r="D150" s="467"/>
      <c r="E150" s="370"/>
      <c r="F150" s="193"/>
      <c r="G150" s="401"/>
      <c r="H150" s="402"/>
    </row>
    <row r="151" spans="1:8" s="400" customFormat="1">
      <c r="A151" s="399"/>
      <c r="B151" s="304"/>
      <c r="D151" s="467"/>
      <c r="E151" s="370"/>
      <c r="F151" s="193"/>
      <c r="G151" s="401"/>
      <c r="H151" s="402"/>
    </row>
    <row r="152" spans="1:8">
      <c r="A152" s="107" t="s">
        <v>351</v>
      </c>
      <c r="B152" s="137" t="s">
        <v>403</v>
      </c>
      <c r="C152" s="120"/>
      <c r="D152" s="86"/>
      <c r="E152" s="104"/>
      <c r="F152" s="193"/>
      <c r="G152" s="126"/>
    </row>
    <row r="153" spans="1:8" ht="24">
      <c r="A153" s="90"/>
      <c r="B153" s="417" t="s">
        <v>404</v>
      </c>
      <c r="C153" s="418"/>
      <c r="D153" s="466"/>
      <c r="E153" s="104"/>
      <c r="F153" s="193"/>
      <c r="G153" s="126"/>
    </row>
    <row r="154" spans="1:8">
      <c r="A154" s="210" t="s">
        <v>246</v>
      </c>
      <c r="B154" s="417" t="s">
        <v>790</v>
      </c>
      <c r="C154" s="418"/>
      <c r="D154" s="466"/>
      <c r="E154" s="104"/>
      <c r="F154" s="193"/>
      <c r="G154" s="126"/>
    </row>
    <row r="155" spans="1:8" ht="24">
      <c r="A155" s="210" t="s">
        <v>249</v>
      </c>
      <c r="B155" s="417" t="s">
        <v>314</v>
      </c>
      <c r="C155" s="418"/>
      <c r="D155" s="466"/>
      <c r="E155" s="104"/>
      <c r="F155" s="193"/>
      <c r="G155" s="126"/>
    </row>
    <row r="156" spans="1:8">
      <c r="A156" s="210" t="s">
        <v>251</v>
      </c>
      <c r="B156" s="417" t="s">
        <v>315</v>
      </c>
      <c r="C156" s="418"/>
      <c r="D156" s="466"/>
      <c r="E156" s="104"/>
      <c r="F156" s="193"/>
      <c r="G156" s="126"/>
    </row>
    <row r="157" spans="1:8" ht="24">
      <c r="A157" s="210" t="s">
        <v>253</v>
      </c>
      <c r="B157" s="417" t="s">
        <v>392</v>
      </c>
      <c r="C157" s="418"/>
      <c r="D157" s="466"/>
      <c r="E157" s="104"/>
      <c r="F157" s="193"/>
      <c r="G157" s="126"/>
    </row>
    <row r="158" spans="1:8" ht="36">
      <c r="A158" s="210" t="s">
        <v>255</v>
      </c>
      <c r="B158" s="417" t="s">
        <v>531</v>
      </c>
      <c r="C158" s="418"/>
      <c r="D158" s="466"/>
      <c r="E158" s="104"/>
      <c r="F158" s="193"/>
      <c r="G158" s="126"/>
    </row>
    <row r="159" spans="1:8" ht="27">
      <c r="A159" s="210" t="s">
        <v>257</v>
      </c>
      <c r="B159" s="417" t="s">
        <v>381</v>
      </c>
      <c r="C159" s="418"/>
      <c r="D159" s="466"/>
      <c r="E159" s="104"/>
      <c r="F159" s="193"/>
      <c r="G159" s="126"/>
    </row>
    <row r="160" spans="1:8" ht="36">
      <c r="A160" s="210" t="s">
        <v>259</v>
      </c>
      <c r="B160" s="417" t="s">
        <v>330</v>
      </c>
      <c r="C160" s="418"/>
      <c r="D160" s="466"/>
      <c r="E160" s="104"/>
      <c r="F160" s="193"/>
      <c r="G160" s="126"/>
    </row>
    <row r="161" spans="1:8" ht="60">
      <c r="A161" s="110"/>
      <c r="B161" s="106" t="s">
        <v>756</v>
      </c>
      <c r="C161" s="120"/>
      <c r="D161" s="86"/>
      <c r="E161" s="104"/>
      <c r="F161" s="193"/>
      <c r="G161" s="126"/>
    </row>
    <row r="162" spans="1:8" ht="24">
      <c r="A162" s="110"/>
      <c r="B162" s="106" t="s">
        <v>319</v>
      </c>
      <c r="C162" s="133"/>
      <c r="D162" s="86"/>
      <c r="E162" s="104"/>
      <c r="F162" s="193"/>
      <c r="G162" s="126"/>
    </row>
    <row r="163" spans="1:8">
      <c r="A163" s="110"/>
      <c r="B163" s="111" t="s">
        <v>320</v>
      </c>
      <c r="C163" s="120" t="s">
        <v>135</v>
      </c>
      <c r="D163" s="86">
        <v>21</v>
      </c>
      <c r="E163" s="104"/>
      <c r="F163" s="193">
        <f t="shared" si="2"/>
        <v>0</v>
      </c>
      <c r="G163" s="126"/>
    </row>
    <row r="164" spans="1:8" s="400" customFormat="1">
      <c r="A164" s="399"/>
      <c r="B164" s="304"/>
      <c r="D164" s="467"/>
      <c r="E164" s="370"/>
      <c r="F164" s="193"/>
      <c r="G164" s="401"/>
      <c r="H164" s="402"/>
    </row>
    <row r="165" spans="1:8" s="400" customFormat="1">
      <c r="A165" s="399"/>
      <c r="B165" s="304"/>
      <c r="D165" s="467"/>
      <c r="E165" s="370"/>
      <c r="F165" s="193"/>
      <c r="G165" s="401"/>
      <c r="H165" s="402"/>
    </row>
    <row r="166" spans="1:8">
      <c r="A166" s="107" t="s">
        <v>405</v>
      </c>
      <c r="B166" s="137" t="s">
        <v>406</v>
      </c>
      <c r="C166" s="120"/>
      <c r="D166" s="86"/>
      <c r="E166" s="104"/>
      <c r="F166" s="193"/>
      <c r="G166" s="126"/>
    </row>
    <row r="167" spans="1:8" ht="24">
      <c r="A167" s="90"/>
      <c r="B167" s="417" t="s">
        <v>407</v>
      </c>
      <c r="C167" s="418"/>
      <c r="D167" s="466"/>
      <c r="E167" s="104"/>
      <c r="F167" s="193"/>
      <c r="G167" s="126"/>
    </row>
    <row r="168" spans="1:8">
      <c r="A168" s="210" t="s">
        <v>246</v>
      </c>
      <c r="B168" s="417" t="s">
        <v>790</v>
      </c>
      <c r="C168" s="418"/>
      <c r="D168" s="466"/>
      <c r="E168" s="104"/>
      <c r="F168" s="193"/>
      <c r="G168" s="126"/>
    </row>
    <row r="169" spans="1:8" ht="24">
      <c r="A169" s="210" t="s">
        <v>249</v>
      </c>
      <c r="B169" s="417" t="s">
        <v>314</v>
      </c>
      <c r="C169" s="418"/>
      <c r="D169" s="466"/>
      <c r="E169" s="104"/>
      <c r="F169" s="193"/>
      <c r="G169" s="126"/>
    </row>
    <row r="170" spans="1:8">
      <c r="A170" s="210" t="s">
        <v>251</v>
      </c>
      <c r="B170" s="417" t="s">
        <v>315</v>
      </c>
      <c r="C170" s="418"/>
      <c r="D170" s="466"/>
      <c r="E170" s="104"/>
      <c r="F170" s="193"/>
      <c r="G170" s="126"/>
    </row>
    <row r="171" spans="1:8" ht="24">
      <c r="A171" s="210" t="s">
        <v>253</v>
      </c>
      <c r="B171" s="417" t="s">
        <v>392</v>
      </c>
      <c r="C171" s="418"/>
      <c r="D171" s="466"/>
      <c r="E171" s="104"/>
      <c r="F171" s="193"/>
      <c r="G171" s="126"/>
    </row>
    <row r="172" spans="1:8" ht="36">
      <c r="A172" s="210" t="s">
        <v>255</v>
      </c>
      <c r="B172" s="417" t="s">
        <v>531</v>
      </c>
      <c r="C172" s="418"/>
      <c r="D172" s="466"/>
      <c r="E172" s="104"/>
      <c r="F172" s="193"/>
      <c r="G172" s="126"/>
    </row>
    <row r="173" spans="1:8" ht="27">
      <c r="A173" s="210" t="s">
        <v>257</v>
      </c>
      <c r="B173" s="417" t="s">
        <v>381</v>
      </c>
      <c r="C173" s="418"/>
      <c r="D173" s="466"/>
      <c r="E173" s="104"/>
      <c r="F173" s="193"/>
      <c r="G173" s="126"/>
    </row>
    <row r="174" spans="1:8" ht="36">
      <c r="A174" s="210" t="s">
        <v>259</v>
      </c>
      <c r="B174" s="417" t="s">
        <v>330</v>
      </c>
      <c r="C174" s="418"/>
      <c r="D174" s="466"/>
      <c r="E174" s="104"/>
      <c r="F174" s="193"/>
      <c r="G174" s="126"/>
    </row>
    <row r="175" spans="1:8" ht="60">
      <c r="A175" s="110"/>
      <c r="B175" s="106" t="s">
        <v>756</v>
      </c>
      <c r="C175" s="120"/>
      <c r="D175" s="86"/>
      <c r="E175" s="104"/>
      <c r="F175" s="193"/>
      <c r="G175" s="126"/>
    </row>
    <row r="176" spans="1:8" ht="24">
      <c r="A176" s="110"/>
      <c r="B176" s="106" t="s">
        <v>319</v>
      </c>
      <c r="C176" s="133"/>
      <c r="D176" s="86"/>
      <c r="E176" s="104"/>
      <c r="F176" s="193"/>
      <c r="G176" s="126"/>
    </row>
    <row r="177" spans="1:9">
      <c r="A177" s="110"/>
      <c r="B177" s="111" t="s">
        <v>320</v>
      </c>
      <c r="C177" s="120" t="s">
        <v>135</v>
      </c>
      <c r="D177" s="86">
        <v>2</v>
      </c>
      <c r="E177" s="104"/>
      <c r="F177" s="193">
        <f t="shared" si="2"/>
        <v>0</v>
      </c>
      <c r="G177" s="126"/>
    </row>
    <row r="178" spans="1:9" s="400" customFormat="1">
      <c r="A178" s="399"/>
      <c r="B178" s="304"/>
      <c r="D178" s="467"/>
      <c r="E178" s="370"/>
      <c r="F178" s="193"/>
      <c r="G178" s="401"/>
      <c r="H178" s="402"/>
    </row>
    <row r="179" spans="1:9" s="400" customFormat="1">
      <c r="A179" s="399"/>
      <c r="B179" s="304"/>
      <c r="D179" s="467"/>
      <c r="E179" s="370"/>
      <c r="F179" s="193"/>
      <c r="G179" s="401"/>
      <c r="H179" s="402"/>
    </row>
    <row r="180" spans="1:9" s="400" customFormat="1">
      <c r="A180" s="107" t="s">
        <v>408</v>
      </c>
      <c r="B180" s="137" t="s">
        <v>409</v>
      </c>
      <c r="C180" s="120"/>
      <c r="D180" s="86"/>
      <c r="E180" s="104"/>
      <c r="F180" s="193"/>
      <c r="G180" s="126"/>
      <c r="H180" s="212"/>
      <c r="I180" s="1"/>
    </row>
    <row r="181" spans="1:9" s="400" customFormat="1" ht="24">
      <c r="A181" s="90"/>
      <c r="B181" s="417" t="s">
        <v>410</v>
      </c>
      <c r="C181" s="418"/>
      <c r="D181" s="466"/>
      <c r="E181" s="104"/>
      <c r="F181" s="193"/>
      <c r="G181" s="126"/>
      <c r="H181" s="212"/>
      <c r="I181" s="1"/>
    </row>
    <row r="182" spans="1:9" s="400" customFormat="1">
      <c r="A182" s="210" t="s">
        <v>246</v>
      </c>
      <c r="B182" s="417" t="s">
        <v>790</v>
      </c>
      <c r="C182" s="418"/>
      <c r="D182" s="466"/>
      <c r="E182" s="104"/>
      <c r="F182" s="193"/>
      <c r="G182" s="126"/>
      <c r="H182" s="212"/>
      <c r="I182" s="1"/>
    </row>
    <row r="183" spans="1:9" s="400" customFormat="1" ht="24">
      <c r="A183" s="210" t="s">
        <v>249</v>
      </c>
      <c r="B183" s="417" t="s">
        <v>314</v>
      </c>
      <c r="C183" s="418"/>
      <c r="D183" s="466"/>
      <c r="E183" s="104"/>
      <c r="F183" s="193"/>
      <c r="G183" s="126"/>
      <c r="H183" s="212"/>
      <c r="I183" s="1"/>
    </row>
    <row r="184" spans="1:9" s="400" customFormat="1">
      <c r="A184" s="210" t="s">
        <v>251</v>
      </c>
      <c r="B184" s="417" t="s">
        <v>315</v>
      </c>
      <c r="C184" s="418"/>
      <c r="D184" s="466"/>
      <c r="E184" s="104"/>
      <c r="F184" s="193"/>
      <c r="G184" s="126"/>
      <c r="H184" s="212"/>
      <c r="I184" s="1"/>
    </row>
    <row r="185" spans="1:9" s="400" customFormat="1" ht="24">
      <c r="A185" s="210" t="s">
        <v>253</v>
      </c>
      <c r="B185" s="417" t="s">
        <v>392</v>
      </c>
      <c r="C185" s="418"/>
      <c r="D185" s="466"/>
      <c r="E185" s="104"/>
      <c r="F185" s="193"/>
      <c r="G185" s="126"/>
      <c r="H185" s="212"/>
      <c r="I185" s="1"/>
    </row>
    <row r="186" spans="1:9" s="400" customFormat="1" ht="36">
      <c r="A186" s="210" t="s">
        <v>255</v>
      </c>
      <c r="B186" s="417" t="s">
        <v>531</v>
      </c>
      <c r="C186" s="418"/>
      <c r="D186" s="466"/>
      <c r="E186" s="104"/>
      <c r="F186" s="193"/>
      <c r="G186" s="126"/>
      <c r="H186" s="212"/>
      <c r="I186" s="1"/>
    </row>
    <row r="187" spans="1:9" s="400" customFormat="1" ht="27">
      <c r="A187" s="210" t="s">
        <v>257</v>
      </c>
      <c r="B187" s="417" t="s">
        <v>381</v>
      </c>
      <c r="C187" s="418"/>
      <c r="D187" s="466"/>
      <c r="E187" s="104"/>
      <c r="F187" s="193"/>
      <c r="G187" s="126"/>
      <c r="H187" s="212"/>
      <c r="I187" s="1"/>
    </row>
    <row r="188" spans="1:9" s="400" customFormat="1" ht="36">
      <c r="A188" s="210" t="s">
        <v>259</v>
      </c>
      <c r="B188" s="417" t="s">
        <v>330</v>
      </c>
      <c r="C188" s="418"/>
      <c r="D188" s="466"/>
      <c r="E188" s="104"/>
      <c r="F188" s="193"/>
      <c r="G188" s="126"/>
      <c r="H188" s="212"/>
      <c r="I188" s="1"/>
    </row>
    <row r="189" spans="1:9" s="400" customFormat="1" ht="60">
      <c r="A189" s="110"/>
      <c r="B189" s="106" t="s">
        <v>756</v>
      </c>
      <c r="C189" s="120"/>
      <c r="D189" s="86"/>
      <c r="E189" s="104"/>
      <c r="F189" s="193"/>
      <c r="G189" s="126"/>
      <c r="H189" s="212"/>
      <c r="I189" s="1"/>
    </row>
    <row r="190" spans="1:9" s="400" customFormat="1" ht="27" customHeight="1">
      <c r="A190" s="110"/>
      <c r="B190" s="106" t="s">
        <v>319</v>
      </c>
      <c r="C190" s="133"/>
      <c r="D190" s="86"/>
      <c r="E190" s="104"/>
      <c r="F190" s="193"/>
      <c r="G190" s="126"/>
      <c r="H190" s="212"/>
      <c r="I190" s="1"/>
    </row>
    <row r="191" spans="1:9" s="400" customFormat="1">
      <c r="A191" s="110"/>
      <c r="B191" s="111" t="s">
        <v>320</v>
      </c>
      <c r="C191" s="120" t="s">
        <v>135</v>
      </c>
      <c r="D191" s="86">
        <v>8</v>
      </c>
      <c r="E191" s="104"/>
      <c r="F191" s="193">
        <f t="shared" si="2"/>
        <v>0</v>
      </c>
      <c r="G191" s="126"/>
      <c r="H191" s="212"/>
      <c r="I191" s="1"/>
    </row>
    <row r="192" spans="1:9" s="400" customFormat="1">
      <c r="A192" s="399"/>
      <c r="B192" s="304"/>
      <c r="D192" s="467"/>
      <c r="E192" s="370"/>
      <c r="F192" s="193"/>
      <c r="G192" s="401"/>
      <c r="H192" s="402"/>
    </row>
    <row r="193" spans="1:9" s="400" customFormat="1">
      <c r="A193" s="399"/>
      <c r="B193" s="304"/>
      <c r="D193" s="467"/>
      <c r="E193" s="370"/>
      <c r="F193" s="193"/>
      <c r="G193" s="401"/>
      <c r="H193" s="402"/>
    </row>
    <row r="194" spans="1:9" s="400" customFormat="1">
      <c r="A194" s="107" t="s">
        <v>411</v>
      </c>
      <c r="B194" s="137" t="s">
        <v>412</v>
      </c>
      <c r="C194" s="120"/>
      <c r="D194" s="86"/>
      <c r="E194" s="104"/>
      <c r="F194" s="193"/>
      <c r="G194" s="126"/>
      <c r="H194" s="212"/>
      <c r="I194" s="1"/>
    </row>
    <row r="195" spans="1:9" s="400" customFormat="1" ht="24">
      <c r="A195" s="90"/>
      <c r="B195" s="417" t="s">
        <v>410</v>
      </c>
      <c r="C195" s="418"/>
      <c r="D195" s="466"/>
      <c r="E195" s="104"/>
      <c r="F195" s="193"/>
      <c r="G195" s="126"/>
      <c r="H195" s="212"/>
      <c r="I195" s="1"/>
    </row>
    <row r="196" spans="1:9" s="400" customFormat="1">
      <c r="A196" s="210" t="s">
        <v>246</v>
      </c>
      <c r="B196" s="417" t="s">
        <v>790</v>
      </c>
      <c r="C196" s="418"/>
      <c r="D196" s="466"/>
      <c r="E196" s="104"/>
      <c r="F196" s="193"/>
      <c r="G196" s="126"/>
      <c r="H196" s="212"/>
      <c r="I196" s="1"/>
    </row>
    <row r="197" spans="1:9" s="400" customFormat="1" ht="24">
      <c r="A197" s="210" t="s">
        <v>249</v>
      </c>
      <c r="B197" s="417" t="s">
        <v>314</v>
      </c>
      <c r="C197" s="418"/>
      <c r="D197" s="466"/>
      <c r="E197" s="104"/>
      <c r="F197" s="193"/>
      <c r="G197" s="126"/>
      <c r="H197" s="212"/>
      <c r="I197" s="1"/>
    </row>
    <row r="198" spans="1:9" s="400" customFormat="1">
      <c r="A198" s="210" t="s">
        <v>251</v>
      </c>
      <c r="B198" s="417" t="s">
        <v>315</v>
      </c>
      <c r="C198" s="418"/>
      <c r="D198" s="466"/>
      <c r="E198" s="104"/>
      <c r="F198" s="193"/>
      <c r="G198" s="126"/>
      <c r="H198" s="212"/>
      <c r="I198" s="1"/>
    </row>
    <row r="199" spans="1:9" s="400" customFormat="1" ht="24">
      <c r="A199" s="210" t="s">
        <v>253</v>
      </c>
      <c r="B199" s="417" t="s">
        <v>392</v>
      </c>
      <c r="C199" s="418"/>
      <c r="D199" s="466"/>
      <c r="E199" s="104"/>
      <c r="F199" s="193"/>
      <c r="G199" s="126"/>
      <c r="H199" s="212"/>
      <c r="I199" s="1"/>
    </row>
    <row r="200" spans="1:9" s="400" customFormat="1" ht="36">
      <c r="A200" s="210" t="s">
        <v>255</v>
      </c>
      <c r="B200" s="417" t="s">
        <v>531</v>
      </c>
      <c r="C200" s="418"/>
      <c r="D200" s="466"/>
      <c r="E200" s="104"/>
      <c r="F200" s="193"/>
      <c r="G200" s="126"/>
      <c r="H200" s="212"/>
      <c r="I200" s="1"/>
    </row>
    <row r="201" spans="1:9" s="400" customFormat="1" ht="36">
      <c r="A201" s="210" t="s">
        <v>257</v>
      </c>
      <c r="B201" s="417" t="s">
        <v>330</v>
      </c>
      <c r="C201" s="418"/>
      <c r="D201" s="466"/>
      <c r="E201" s="104"/>
      <c r="F201" s="193"/>
      <c r="G201" s="126"/>
      <c r="H201" s="212"/>
      <c r="I201" s="1"/>
    </row>
    <row r="202" spans="1:9" s="400" customFormat="1" ht="60">
      <c r="A202" s="110"/>
      <c r="B202" s="106" t="s">
        <v>756</v>
      </c>
      <c r="C202" s="120"/>
      <c r="D202" s="86"/>
      <c r="E202" s="104"/>
      <c r="F202" s="193"/>
      <c r="G202" s="126"/>
      <c r="H202" s="212"/>
      <c r="I202" s="1"/>
    </row>
    <row r="203" spans="1:9" s="400" customFormat="1" ht="24">
      <c r="A203" s="110"/>
      <c r="B203" s="106" t="s">
        <v>319</v>
      </c>
      <c r="C203" s="133"/>
      <c r="D203" s="86"/>
      <c r="E203" s="104"/>
      <c r="F203" s="193"/>
      <c r="G203" s="126"/>
      <c r="H203" s="212"/>
      <c r="I203" s="1"/>
    </row>
    <row r="204" spans="1:9" s="400" customFormat="1">
      <c r="A204" s="110"/>
      <c r="B204" s="111" t="s">
        <v>320</v>
      </c>
      <c r="C204" s="120" t="s">
        <v>135</v>
      </c>
      <c r="D204" s="86">
        <v>9</v>
      </c>
      <c r="E204" s="104"/>
      <c r="F204" s="193">
        <f t="shared" si="2"/>
        <v>0</v>
      </c>
      <c r="G204" s="126"/>
      <c r="H204" s="212"/>
      <c r="I204" s="1"/>
    </row>
    <row r="205" spans="1:9" s="400" customFormat="1">
      <c r="A205" s="399"/>
      <c r="B205" s="304"/>
      <c r="D205" s="467"/>
      <c r="E205" s="370"/>
      <c r="F205" s="193"/>
      <c r="G205" s="401"/>
      <c r="H205" s="402"/>
    </row>
    <row r="206" spans="1:9" s="400" customFormat="1">
      <c r="A206" s="399"/>
      <c r="B206" s="304"/>
      <c r="D206" s="467"/>
      <c r="E206" s="370"/>
      <c r="F206" s="193"/>
      <c r="G206" s="401"/>
      <c r="H206" s="402"/>
    </row>
    <row r="207" spans="1:9" s="400" customFormat="1">
      <c r="A207" s="107" t="s">
        <v>413</v>
      </c>
      <c r="B207" s="137" t="s">
        <v>414</v>
      </c>
      <c r="C207" s="120"/>
      <c r="D207" s="86"/>
      <c r="E207" s="104"/>
      <c r="F207" s="193"/>
      <c r="G207" s="126"/>
      <c r="H207" s="212"/>
      <c r="I207" s="1"/>
    </row>
    <row r="208" spans="1:9" s="400" customFormat="1" ht="24">
      <c r="A208" s="90"/>
      <c r="B208" s="417" t="s">
        <v>415</v>
      </c>
      <c r="C208" s="418"/>
      <c r="D208" s="466"/>
      <c r="E208" s="104"/>
      <c r="F208" s="193"/>
      <c r="G208" s="126"/>
      <c r="H208" s="212"/>
      <c r="I208" s="1"/>
    </row>
    <row r="209" spans="1:9" s="400" customFormat="1">
      <c r="A209" s="210" t="s">
        <v>246</v>
      </c>
      <c r="B209" s="417" t="s">
        <v>790</v>
      </c>
      <c r="C209" s="418"/>
      <c r="D209" s="466"/>
      <c r="E209" s="104"/>
      <c r="F209" s="193"/>
      <c r="G209" s="126"/>
      <c r="H209" s="212"/>
      <c r="I209" s="1"/>
    </row>
    <row r="210" spans="1:9" s="400" customFormat="1" ht="24">
      <c r="A210" s="210" t="s">
        <v>249</v>
      </c>
      <c r="B210" s="417" t="s">
        <v>314</v>
      </c>
      <c r="C210" s="418"/>
      <c r="D210" s="466"/>
      <c r="E210" s="104"/>
      <c r="F210" s="193"/>
      <c r="G210" s="126"/>
      <c r="H210" s="212"/>
      <c r="I210" s="1"/>
    </row>
    <row r="211" spans="1:9" s="400" customFormat="1">
      <c r="A211" s="210" t="s">
        <v>251</v>
      </c>
      <c r="B211" s="417" t="s">
        <v>315</v>
      </c>
      <c r="C211" s="418"/>
      <c r="D211" s="466"/>
      <c r="E211" s="104"/>
      <c r="F211" s="193"/>
      <c r="G211" s="126"/>
      <c r="H211" s="212"/>
      <c r="I211" s="1"/>
    </row>
    <row r="212" spans="1:9" s="400" customFormat="1" ht="24">
      <c r="A212" s="210" t="s">
        <v>253</v>
      </c>
      <c r="B212" s="417" t="s">
        <v>392</v>
      </c>
      <c r="C212" s="418"/>
      <c r="D212" s="466"/>
      <c r="E212" s="104"/>
      <c r="F212" s="193"/>
      <c r="G212" s="126"/>
      <c r="H212" s="212"/>
      <c r="I212" s="1"/>
    </row>
    <row r="213" spans="1:9" s="400" customFormat="1" ht="36">
      <c r="A213" s="210" t="s">
        <v>255</v>
      </c>
      <c r="B213" s="417" t="s">
        <v>531</v>
      </c>
      <c r="C213" s="418"/>
      <c r="D213" s="466"/>
      <c r="E213" s="104"/>
      <c r="F213" s="193"/>
      <c r="G213" s="126"/>
      <c r="H213" s="212"/>
      <c r="I213" s="1"/>
    </row>
    <row r="214" spans="1:9" s="400" customFormat="1" ht="27">
      <c r="A214" s="210" t="s">
        <v>257</v>
      </c>
      <c r="B214" s="417" t="s">
        <v>381</v>
      </c>
      <c r="C214" s="418"/>
      <c r="D214" s="466"/>
      <c r="E214" s="104"/>
      <c r="F214" s="193"/>
      <c r="G214" s="126"/>
      <c r="H214" s="212"/>
      <c r="I214" s="1"/>
    </row>
    <row r="215" spans="1:9" s="400" customFormat="1" ht="36">
      <c r="A215" s="210" t="s">
        <v>259</v>
      </c>
      <c r="B215" s="417" t="s">
        <v>330</v>
      </c>
      <c r="C215" s="418"/>
      <c r="D215" s="466"/>
      <c r="E215" s="104"/>
      <c r="F215" s="193"/>
      <c r="G215" s="126"/>
      <c r="H215" s="212"/>
      <c r="I215" s="1"/>
    </row>
    <row r="216" spans="1:9" s="400" customFormat="1" ht="60">
      <c r="A216" s="110"/>
      <c r="B216" s="106" t="s">
        <v>756</v>
      </c>
      <c r="C216" s="120"/>
      <c r="D216" s="86"/>
      <c r="E216" s="104"/>
      <c r="F216" s="193"/>
      <c r="G216" s="126"/>
      <c r="H216" s="212"/>
      <c r="I216" s="1"/>
    </row>
    <row r="217" spans="1:9" s="400" customFormat="1" ht="24">
      <c r="A217" s="110"/>
      <c r="B217" s="106" t="s">
        <v>319</v>
      </c>
      <c r="C217" s="133"/>
      <c r="D217" s="86"/>
      <c r="E217" s="104"/>
      <c r="F217" s="193"/>
      <c r="G217" s="126"/>
      <c r="H217" s="212"/>
      <c r="I217" s="1"/>
    </row>
    <row r="218" spans="1:9" s="400" customFormat="1">
      <c r="A218" s="110"/>
      <c r="B218" s="111" t="s">
        <v>320</v>
      </c>
      <c r="C218" s="120" t="s">
        <v>135</v>
      </c>
      <c r="D218" s="86">
        <v>5</v>
      </c>
      <c r="E218" s="104"/>
      <c r="F218" s="193">
        <f t="shared" ref="F218:F227" si="3">ROUND(D218*E218,2)</f>
        <v>0</v>
      </c>
      <c r="G218" s="126"/>
      <c r="H218" s="212"/>
      <c r="I218" s="1"/>
    </row>
    <row r="219" spans="1:9" s="400" customFormat="1">
      <c r="A219" s="399"/>
      <c r="B219" s="304"/>
      <c r="D219" s="467"/>
      <c r="E219" s="370"/>
      <c r="F219" s="193"/>
      <c r="G219" s="401"/>
      <c r="H219" s="402"/>
    </row>
    <row r="220" spans="1:9" s="400" customFormat="1">
      <c r="A220" s="399"/>
      <c r="B220" s="304"/>
      <c r="D220" s="467"/>
      <c r="E220" s="370"/>
      <c r="F220" s="193"/>
      <c r="G220" s="401"/>
      <c r="H220" s="402"/>
    </row>
    <row r="221" spans="1:9" s="400" customFormat="1">
      <c r="A221" s="399" t="s">
        <v>416</v>
      </c>
      <c r="B221" s="304" t="s">
        <v>417</v>
      </c>
      <c r="D221" s="467"/>
      <c r="E221" s="370"/>
      <c r="F221" s="193"/>
      <c r="G221" s="401"/>
      <c r="H221" s="402"/>
    </row>
    <row r="222" spans="1:9" s="400" customFormat="1" ht="36">
      <c r="A222" s="110"/>
      <c r="B222" s="420" t="s">
        <v>418</v>
      </c>
      <c r="D222" s="467"/>
      <c r="E222" s="370"/>
      <c r="F222" s="193"/>
      <c r="G222" s="401"/>
      <c r="H222" s="402"/>
    </row>
    <row r="223" spans="1:9" s="400" customFormat="1">
      <c r="A223" s="210" t="s">
        <v>246</v>
      </c>
      <c r="B223" s="417" t="s">
        <v>757</v>
      </c>
      <c r="D223" s="467"/>
      <c r="E223" s="370"/>
      <c r="F223" s="193"/>
      <c r="G223" s="401"/>
      <c r="H223" s="402"/>
    </row>
    <row r="224" spans="1:9" s="400" customFormat="1">
      <c r="A224" s="262" t="s">
        <v>249</v>
      </c>
      <c r="B224" s="417" t="s">
        <v>419</v>
      </c>
      <c r="D224" s="467"/>
      <c r="E224" s="370"/>
      <c r="F224" s="193"/>
      <c r="G224" s="401"/>
      <c r="H224" s="402"/>
    </row>
    <row r="225" spans="1:8" s="400" customFormat="1" ht="36">
      <c r="A225" s="262" t="s">
        <v>251</v>
      </c>
      <c r="B225" s="417" t="s">
        <v>531</v>
      </c>
      <c r="D225" s="467"/>
      <c r="E225" s="370"/>
      <c r="F225" s="193"/>
      <c r="G225" s="401"/>
      <c r="H225" s="402"/>
    </row>
    <row r="226" spans="1:8" s="400" customFormat="1" ht="60">
      <c r="A226" s="110"/>
      <c r="B226" s="106" t="s">
        <v>756</v>
      </c>
      <c r="D226" s="467"/>
      <c r="E226" s="370"/>
      <c r="F226" s="193"/>
      <c r="G226" s="401"/>
      <c r="H226" s="402"/>
    </row>
    <row r="227" spans="1:8" s="400" customFormat="1">
      <c r="A227" s="110"/>
      <c r="B227" s="111" t="s">
        <v>320</v>
      </c>
      <c r="C227" s="120" t="s">
        <v>135</v>
      </c>
      <c r="D227" s="86">
        <v>4</v>
      </c>
      <c r="E227" s="104"/>
      <c r="F227" s="193">
        <f t="shared" si="3"/>
        <v>0</v>
      </c>
      <c r="G227" s="401"/>
      <c r="H227" s="402"/>
    </row>
    <row r="228" spans="1:8" s="400" customFormat="1">
      <c r="A228" s="399"/>
      <c r="B228" s="304"/>
      <c r="D228" s="290"/>
      <c r="E228" s="370"/>
      <c r="F228" s="290"/>
      <c r="G228" s="401"/>
      <c r="H228" s="402"/>
    </row>
    <row r="229" spans="1:8" ht="14.5" thickBot="1"/>
    <row r="230" spans="1:8" ht="14.5" thickBot="1">
      <c r="A230" s="438" t="s">
        <v>70</v>
      </c>
      <c r="B230" s="454" t="s">
        <v>420</v>
      </c>
      <c r="C230" s="455"/>
      <c r="D230" s="456"/>
      <c r="E230" s="446" t="s">
        <v>507</v>
      </c>
      <c r="F230" s="457">
        <f>SUM(F19:F228)</f>
        <v>0</v>
      </c>
    </row>
  </sheetData>
  <sheetProtection algorithmName="SHA-512" hashValue="jrQa1YaB4yPQtzbPvv+CXwBKAzw+DHgqPjLp47cNIDI8idNK7oXyX91clFeJr088Egz6TuTGILhXerRv5NrAbA==" saltValue="Q6eMBLeqd0TZxVIpXGS96Q==" spinCount="100000" sheet="1" objects="1" scenarios="1"/>
  <mergeCells count="3">
    <mergeCell ref="A2:F2"/>
    <mergeCell ref="A3:F3"/>
    <mergeCell ref="B7:F7"/>
  </mergeCells>
  <phoneticPr fontId="75" type="noConversion"/>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16" manualBreakCount="16">
    <brk id="21" max="5" man="1"/>
    <brk id="33" max="5" man="1"/>
    <brk id="45" max="5" man="1"/>
    <brk id="57" max="5" man="1"/>
    <brk id="67" max="5" man="1"/>
    <brk id="81" max="5" man="1"/>
    <brk id="95" max="5" man="1"/>
    <brk id="109" max="5" man="1"/>
    <brk id="123" max="5" man="1"/>
    <brk id="137" max="5" man="1"/>
    <brk id="151" max="5" man="1"/>
    <brk id="165" max="5" man="1"/>
    <brk id="179" max="5" man="1"/>
    <brk id="193" max="5" man="1"/>
    <brk id="206" max="5" man="1"/>
    <brk id="220" max="5"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6"/>
  <dimension ref="A1:N110"/>
  <sheetViews>
    <sheetView view="pageBreakPreview" topLeftCell="A95" zoomScale="70" zoomScaleNormal="100" zoomScaleSheetLayoutView="70" workbookViewId="0">
      <selection activeCell="B104" sqref="B104"/>
    </sheetView>
  </sheetViews>
  <sheetFormatPr defaultColWidth="9.26953125" defaultRowHeight="14"/>
  <cols>
    <col min="1" max="1" width="5.54296875" style="1" customWidth="1"/>
    <col min="2" max="2" width="42" style="1" customWidth="1"/>
    <col min="3" max="3" width="7.453125" style="128" customWidth="1"/>
    <col min="4" max="4" width="8.453125" style="309" customWidth="1"/>
    <col min="5" max="5" width="8.1796875" style="1" customWidth="1"/>
    <col min="6" max="6" width="11.54296875" style="95" customWidth="1"/>
    <col min="7" max="7" width="9.26953125" style="1"/>
    <col min="8" max="8" width="56.453125" style="1" customWidth="1"/>
    <col min="9" max="16384" width="9.26953125" style="1"/>
  </cols>
  <sheetData>
    <row r="1" spans="1:6" ht="14.5">
      <c r="A1" s="133"/>
      <c r="B1" s="133"/>
      <c r="C1" s="205"/>
      <c r="D1" s="201"/>
      <c r="E1" s="133"/>
      <c r="F1" s="203"/>
    </row>
    <row r="2" spans="1:6">
      <c r="A2" s="551" t="s">
        <v>706</v>
      </c>
      <c r="B2" s="552"/>
      <c r="C2" s="552"/>
      <c r="D2" s="552"/>
      <c r="E2" s="552"/>
      <c r="F2" s="553"/>
    </row>
    <row r="3" spans="1:6">
      <c r="A3" s="555" t="s">
        <v>421</v>
      </c>
      <c r="B3" s="555"/>
      <c r="C3" s="555"/>
      <c r="D3" s="555"/>
      <c r="E3" s="555"/>
      <c r="F3" s="555"/>
    </row>
    <row r="4" spans="1:6">
      <c r="A4" s="112" t="s">
        <v>98</v>
      </c>
      <c r="B4" s="112" t="s">
        <v>99</v>
      </c>
      <c r="C4" s="112" t="s">
        <v>100</v>
      </c>
      <c r="D4" s="269" t="s">
        <v>101</v>
      </c>
      <c r="E4" s="112" t="s">
        <v>102</v>
      </c>
      <c r="F4" s="269" t="s">
        <v>103</v>
      </c>
    </row>
    <row r="5" spans="1:6">
      <c r="A5" s="101"/>
      <c r="B5" s="101"/>
      <c r="C5" s="101"/>
      <c r="D5" s="270"/>
      <c r="E5" s="101"/>
      <c r="F5" s="270"/>
    </row>
    <row r="6" spans="1:6">
      <c r="A6" s="101"/>
      <c r="B6" s="101"/>
      <c r="C6" s="101"/>
      <c r="D6" s="270"/>
      <c r="E6" s="101"/>
      <c r="F6" s="270"/>
    </row>
    <row r="7" spans="1:6" ht="15" thickBot="1">
      <c r="A7" s="102" t="s">
        <v>51</v>
      </c>
      <c r="B7" s="348" t="s">
        <v>422</v>
      </c>
      <c r="C7" s="348"/>
      <c r="D7" s="349"/>
      <c r="E7" s="348"/>
      <c r="F7" s="349"/>
    </row>
    <row r="8" spans="1:6">
      <c r="A8" s="333"/>
      <c r="B8" s="110"/>
      <c r="C8" s="108"/>
      <c r="D8" s="350"/>
      <c r="E8" s="262"/>
      <c r="F8" s="217"/>
    </row>
    <row r="9" spans="1:6" ht="20.25" customHeight="1">
      <c r="A9" s="577" t="s">
        <v>75</v>
      </c>
      <c r="B9" s="577"/>
      <c r="C9" s="328"/>
      <c r="D9" s="324"/>
      <c r="E9" s="297"/>
      <c r="F9" s="204"/>
    </row>
    <row r="10" spans="1:6" ht="14.5">
      <c r="A10" s="351"/>
      <c r="B10" s="351"/>
      <c r="C10" s="328"/>
      <c r="D10" s="324"/>
      <c r="E10" s="297"/>
      <c r="F10" s="204"/>
    </row>
    <row r="11" spans="1:6" s="126" customFormat="1" ht="110.5" customHeight="1">
      <c r="A11" s="556" t="s">
        <v>423</v>
      </c>
      <c r="B11" s="556"/>
      <c r="C11" s="556"/>
      <c r="D11" s="556"/>
      <c r="E11" s="556"/>
      <c r="F11" s="204"/>
    </row>
    <row r="12" spans="1:6" s="126" customFormat="1">
      <c r="A12" s="107"/>
      <c r="B12" s="107"/>
      <c r="C12" s="107"/>
      <c r="D12" s="331"/>
      <c r="E12" s="107"/>
      <c r="F12" s="204"/>
    </row>
    <row r="13" spans="1:6" s="126" customFormat="1" ht="366" customHeight="1">
      <c r="A13" s="556" t="s">
        <v>807</v>
      </c>
      <c r="B13" s="556"/>
      <c r="C13" s="556"/>
      <c r="D13" s="556"/>
      <c r="E13" s="556"/>
      <c r="F13" s="204"/>
    </row>
    <row r="14" spans="1:6" s="126" customFormat="1" ht="150.65" customHeight="1">
      <c r="A14" s="556" t="s">
        <v>808</v>
      </c>
      <c r="B14" s="556"/>
      <c r="C14" s="556"/>
      <c r="D14" s="556"/>
      <c r="E14" s="556"/>
      <c r="F14" s="204"/>
    </row>
    <row r="15" spans="1:6" s="126" customFormat="1">
      <c r="A15" s="107"/>
      <c r="B15" s="294"/>
      <c r="C15" s="294"/>
      <c r="D15" s="330"/>
      <c r="E15" s="294"/>
      <c r="F15" s="204"/>
    </row>
    <row r="16" spans="1:6" s="126" customFormat="1" ht="102" customHeight="1">
      <c r="A16" s="556" t="s">
        <v>516</v>
      </c>
      <c r="B16" s="558"/>
      <c r="C16" s="558"/>
      <c r="D16" s="558"/>
      <c r="E16" s="558"/>
      <c r="F16" s="204"/>
    </row>
    <row r="17" spans="1:6" s="126" customFormat="1">
      <c r="A17" s="107"/>
      <c r="B17" s="294"/>
      <c r="C17" s="294"/>
      <c r="D17" s="330"/>
      <c r="E17" s="294"/>
      <c r="F17" s="204"/>
    </row>
    <row r="18" spans="1:6" s="126" customFormat="1" ht="132.65" customHeight="1">
      <c r="A18" s="556" t="s">
        <v>752</v>
      </c>
      <c r="B18" s="558"/>
      <c r="C18" s="558"/>
      <c r="D18" s="558"/>
      <c r="E18" s="558"/>
      <c r="F18" s="204"/>
    </row>
    <row r="19" spans="1:6" s="126" customFormat="1">
      <c r="A19" s="107"/>
      <c r="B19" s="294"/>
      <c r="C19" s="294"/>
      <c r="D19" s="330"/>
      <c r="E19" s="294"/>
      <c r="F19" s="204"/>
    </row>
    <row r="20" spans="1:6" s="126" customFormat="1" ht="32.25" customHeight="1">
      <c r="A20" s="556" t="s">
        <v>274</v>
      </c>
      <c r="B20" s="558"/>
      <c r="C20" s="558"/>
      <c r="D20" s="558"/>
      <c r="E20" s="558"/>
      <c r="F20" s="204"/>
    </row>
    <row r="21" spans="1:6" s="126" customFormat="1">
      <c r="A21" s="107"/>
      <c r="B21" s="294"/>
      <c r="C21" s="294"/>
      <c r="D21" s="330"/>
      <c r="E21" s="294"/>
      <c r="F21" s="204"/>
    </row>
    <row r="22" spans="1:6" s="126" customFormat="1" ht="62.25" customHeight="1">
      <c r="A22" s="556" t="s">
        <v>424</v>
      </c>
      <c r="B22" s="558"/>
      <c r="C22" s="558"/>
      <c r="D22" s="558"/>
      <c r="E22" s="558"/>
      <c r="F22" s="204"/>
    </row>
    <row r="23" spans="1:6" s="126" customFormat="1">
      <c r="A23" s="107"/>
      <c r="B23" s="294"/>
      <c r="C23" s="294"/>
      <c r="D23" s="330"/>
      <c r="E23" s="294"/>
      <c r="F23" s="204"/>
    </row>
    <row r="24" spans="1:6" s="126" customFormat="1" ht="89.25" customHeight="1">
      <c r="A24" s="556" t="s">
        <v>425</v>
      </c>
      <c r="B24" s="558"/>
      <c r="C24" s="558"/>
      <c r="D24" s="558"/>
      <c r="E24" s="558"/>
      <c r="F24" s="204"/>
    </row>
    <row r="25" spans="1:6" s="126" customFormat="1">
      <c r="A25" s="107"/>
      <c r="B25" s="294"/>
      <c r="C25" s="294"/>
      <c r="D25" s="330"/>
      <c r="E25" s="294"/>
      <c r="F25" s="204"/>
    </row>
    <row r="26" spans="1:6" s="126" customFormat="1" ht="171.75" customHeight="1">
      <c r="A26" s="556" t="s">
        <v>426</v>
      </c>
      <c r="B26" s="580"/>
      <c r="C26" s="580"/>
      <c r="D26" s="580"/>
      <c r="E26" s="580"/>
      <c r="F26" s="204"/>
    </row>
    <row r="27" spans="1:6" s="126" customFormat="1" ht="14.5">
      <c r="A27" s="107"/>
      <c r="B27" s="352"/>
      <c r="C27" s="352"/>
      <c r="D27" s="353"/>
      <c r="E27" s="352"/>
      <c r="F27" s="204"/>
    </row>
    <row r="28" spans="1:6" s="126" customFormat="1" ht="126" customHeight="1">
      <c r="A28" s="556" t="s">
        <v>427</v>
      </c>
      <c r="B28" s="558"/>
      <c r="C28" s="558"/>
      <c r="D28" s="558"/>
      <c r="E28" s="558"/>
      <c r="F28" s="204"/>
    </row>
    <row r="29" spans="1:6" s="126" customFormat="1">
      <c r="A29" s="107"/>
      <c r="B29" s="294"/>
      <c r="C29" s="294"/>
      <c r="D29" s="330"/>
      <c r="E29" s="294"/>
      <c r="F29" s="204"/>
    </row>
    <row r="30" spans="1:6" s="126" customFormat="1" ht="14.25" customHeight="1">
      <c r="A30" s="556" t="s">
        <v>809</v>
      </c>
      <c r="B30" s="556"/>
      <c r="C30" s="556"/>
      <c r="D30" s="556"/>
      <c r="E30" s="556"/>
      <c r="F30" s="204"/>
    </row>
    <row r="31" spans="1:6" s="126" customFormat="1" ht="14.25" customHeight="1">
      <c r="A31" s="556"/>
      <c r="B31" s="556"/>
      <c r="C31" s="556"/>
      <c r="D31" s="556"/>
      <c r="E31" s="556"/>
      <c r="F31" s="204"/>
    </row>
    <row r="32" spans="1:6" s="126" customFormat="1" ht="14.25" customHeight="1">
      <c r="A32" s="556"/>
      <c r="B32" s="556"/>
      <c r="C32" s="556"/>
      <c r="D32" s="556"/>
      <c r="E32" s="556"/>
      <c r="F32" s="204"/>
    </row>
    <row r="33" spans="1:6" s="126" customFormat="1" ht="14.25" customHeight="1">
      <c r="A33" s="556"/>
      <c r="B33" s="556"/>
      <c r="C33" s="556"/>
      <c r="D33" s="556"/>
      <c r="E33" s="556"/>
      <c r="F33" s="204"/>
    </row>
    <row r="34" spans="1:6" s="126" customFormat="1" ht="14.25" customHeight="1">
      <c r="A34" s="556"/>
      <c r="B34" s="556"/>
      <c r="C34" s="556"/>
      <c r="D34" s="556"/>
      <c r="E34" s="556"/>
      <c r="F34" s="204"/>
    </row>
    <row r="35" spans="1:6" s="126" customFormat="1" ht="14.25" customHeight="1">
      <c r="A35" s="556"/>
      <c r="B35" s="556"/>
      <c r="C35" s="556"/>
      <c r="D35" s="556"/>
      <c r="E35" s="556"/>
      <c r="F35" s="204"/>
    </row>
    <row r="36" spans="1:6" s="126" customFormat="1" ht="14.25" customHeight="1">
      <c r="A36" s="556"/>
      <c r="B36" s="556"/>
      <c r="C36" s="556"/>
      <c r="D36" s="556"/>
      <c r="E36" s="556"/>
      <c r="F36" s="204"/>
    </row>
    <row r="37" spans="1:6" s="126" customFormat="1" ht="14.25" customHeight="1">
      <c r="A37" s="556"/>
      <c r="B37" s="556"/>
      <c r="C37" s="556"/>
      <c r="D37" s="556"/>
      <c r="E37" s="556"/>
    </row>
    <row r="38" spans="1:6" s="126" customFormat="1" ht="14.25" customHeight="1">
      <c r="A38" s="556"/>
      <c r="B38" s="556"/>
      <c r="C38" s="556"/>
      <c r="D38" s="556"/>
      <c r="E38" s="556"/>
      <c r="F38" s="204"/>
    </row>
    <row r="39" spans="1:6" s="126" customFormat="1" ht="14.25" customHeight="1">
      <c r="A39" s="556"/>
      <c r="B39" s="556"/>
      <c r="C39" s="556"/>
      <c r="D39" s="556"/>
      <c r="E39" s="556"/>
      <c r="F39" s="204"/>
    </row>
    <row r="40" spans="1:6" s="126" customFormat="1" ht="14.25" customHeight="1">
      <c r="A40" s="556"/>
      <c r="B40" s="556"/>
      <c r="C40" s="556"/>
      <c r="D40" s="556"/>
      <c r="E40" s="556"/>
      <c r="F40" s="204"/>
    </row>
    <row r="41" spans="1:6" s="126" customFormat="1" ht="14.25" customHeight="1">
      <c r="A41" s="556"/>
      <c r="B41" s="556"/>
      <c r="C41" s="556"/>
      <c r="D41" s="556"/>
      <c r="E41" s="556"/>
      <c r="F41" s="204"/>
    </row>
    <row r="42" spans="1:6" s="126" customFormat="1" ht="14.25" customHeight="1">
      <c r="A42" s="556"/>
      <c r="B42" s="556"/>
      <c r="C42" s="556"/>
      <c r="D42" s="556"/>
      <c r="E42" s="556"/>
      <c r="F42" s="204"/>
    </row>
    <row r="43" spans="1:6" s="126" customFormat="1" ht="14.25" customHeight="1">
      <c r="A43" s="556"/>
      <c r="B43" s="556"/>
      <c r="C43" s="556"/>
      <c r="D43" s="556"/>
      <c r="E43" s="556"/>
      <c r="F43" s="204"/>
    </row>
    <row r="44" spans="1:6" s="126" customFormat="1" ht="14.25" customHeight="1">
      <c r="A44" s="556"/>
      <c r="B44" s="556"/>
      <c r="C44" s="556"/>
      <c r="D44" s="556"/>
      <c r="E44" s="556"/>
      <c r="F44" s="204"/>
    </row>
    <row r="45" spans="1:6" s="126" customFormat="1" ht="14.25" customHeight="1">
      <c r="A45" s="556"/>
      <c r="B45" s="556"/>
      <c r="C45" s="556"/>
      <c r="D45" s="556"/>
      <c r="E45" s="556"/>
      <c r="F45" s="204"/>
    </row>
    <row r="46" spans="1:6" s="126" customFormat="1" ht="14.25" customHeight="1">
      <c r="A46" s="556"/>
      <c r="B46" s="556"/>
      <c r="C46" s="556"/>
      <c r="D46" s="556"/>
      <c r="E46" s="556"/>
      <c r="F46" s="204"/>
    </row>
    <row r="47" spans="1:6" s="126" customFormat="1" ht="14.25" customHeight="1">
      <c r="A47" s="556"/>
      <c r="B47" s="556"/>
      <c r="C47" s="556"/>
      <c r="D47" s="556"/>
      <c r="E47" s="556"/>
      <c r="F47" s="204"/>
    </row>
    <row r="48" spans="1:6" s="126" customFormat="1" ht="14.25" customHeight="1">
      <c r="A48" s="556"/>
      <c r="B48" s="556"/>
      <c r="C48" s="556"/>
      <c r="D48" s="556"/>
      <c r="E48" s="556"/>
      <c r="F48" s="204"/>
    </row>
    <row r="49" spans="1:6" s="126" customFormat="1" ht="14.25" customHeight="1">
      <c r="A49" s="556"/>
      <c r="B49" s="556"/>
      <c r="C49" s="556"/>
      <c r="D49" s="556"/>
      <c r="E49" s="556"/>
      <c r="F49" s="204"/>
    </row>
    <row r="50" spans="1:6" s="126" customFormat="1" ht="165.65" customHeight="1">
      <c r="A50" s="556"/>
      <c r="B50" s="556"/>
      <c r="C50" s="556"/>
      <c r="D50" s="556"/>
      <c r="E50" s="556"/>
      <c r="F50" s="204"/>
    </row>
    <row r="51" spans="1:6" s="126" customFormat="1">
      <c r="A51" s="107"/>
      <c r="B51" s="294"/>
      <c r="C51" s="294"/>
      <c r="D51" s="330"/>
      <c r="E51" s="294"/>
      <c r="F51" s="204"/>
    </row>
    <row r="52" spans="1:6" s="126" customFormat="1" ht="72" customHeight="1">
      <c r="A52" s="556" t="s">
        <v>428</v>
      </c>
      <c r="B52" s="569"/>
      <c r="C52" s="569"/>
      <c r="D52" s="569"/>
      <c r="E52" s="569"/>
      <c r="F52" s="204"/>
    </row>
    <row r="53" spans="1:6" s="126" customFormat="1">
      <c r="A53" s="107"/>
      <c r="B53" s="294"/>
      <c r="C53" s="294"/>
      <c r="D53" s="330"/>
      <c r="E53" s="294"/>
      <c r="F53" s="204"/>
    </row>
    <row r="54" spans="1:6" s="126" customFormat="1" ht="43.5" customHeight="1">
      <c r="A54" s="556" t="s">
        <v>429</v>
      </c>
      <c r="B54" s="558"/>
      <c r="C54" s="558"/>
      <c r="D54" s="558"/>
      <c r="E54" s="558"/>
      <c r="F54" s="204"/>
    </row>
    <row r="55" spans="1:6" s="126" customFormat="1">
      <c r="A55" s="107"/>
      <c r="B55" s="294"/>
      <c r="C55" s="294"/>
      <c r="D55" s="330"/>
      <c r="E55" s="294"/>
      <c r="F55" s="204"/>
    </row>
    <row r="56" spans="1:6" s="126" customFormat="1" ht="81.75" customHeight="1">
      <c r="A56" s="556" t="s">
        <v>430</v>
      </c>
      <c r="B56" s="562"/>
      <c r="C56" s="562"/>
      <c r="D56" s="562"/>
      <c r="E56" s="562"/>
      <c r="F56" s="204"/>
    </row>
    <row r="57" spans="1:6" s="126" customFormat="1">
      <c r="A57" s="107"/>
      <c r="B57" s="294"/>
      <c r="C57" s="294"/>
      <c r="D57" s="330"/>
      <c r="E57" s="294"/>
      <c r="F57" s="204"/>
    </row>
    <row r="58" spans="1:6" s="126" customFormat="1" ht="30.75" customHeight="1">
      <c r="A58" s="556" t="s">
        <v>211</v>
      </c>
      <c r="B58" s="562"/>
      <c r="C58" s="562"/>
      <c r="D58" s="562"/>
      <c r="E58" s="562"/>
      <c r="F58" s="204"/>
    </row>
    <row r="59" spans="1:6" s="126" customFormat="1">
      <c r="A59" s="107"/>
      <c r="B59" s="294"/>
      <c r="C59" s="294"/>
      <c r="D59" s="330"/>
      <c r="E59" s="294"/>
      <c r="F59" s="204"/>
    </row>
    <row r="60" spans="1:6" s="126" customFormat="1" ht="105.65" customHeight="1">
      <c r="A60" s="556" t="s">
        <v>523</v>
      </c>
      <c r="B60" s="576"/>
      <c r="C60" s="576"/>
      <c r="D60" s="576"/>
      <c r="E60" s="576"/>
      <c r="F60" s="204"/>
    </row>
    <row r="61" spans="1:6" s="126" customFormat="1">
      <c r="A61" s="107"/>
      <c r="B61" s="199"/>
      <c r="C61" s="199"/>
      <c r="D61" s="354"/>
      <c r="E61" s="199"/>
      <c r="F61" s="204"/>
    </row>
    <row r="62" spans="1:6" s="126" customFormat="1" ht="78" customHeight="1">
      <c r="A62" s="556" t="s">
        <v>754</v>
      </c>
      <c r="B62" s="581"/>
      <c r="C62" s="581"/>
      <c r="D62" s="581"/>
      <c r="E62" s="581"/>
      <c r="F62" s="204"/>
    </row>
    <row r="63" spans="1:6" s="126" customFormat="1" ht="14.5">
      <c r="A63" s="107"/>
      <c r="B63" s="355"/>
      <c r="C63" s="355"/>
      <c r="D63" s="356"/>
      <c r="E63" s="355"/>
      <c r="F63" s="204"/>
    </row>
    <row r="64" spans="1:6" s="126" customFormat="1" ht="116.25" customHeight="1">
      <c r="A64" s="578" t="s">
        <v>753</v>
      </c>
      <c r="B64" s="579"/>
      <c r="C64" s="579"/>
      <c r="D64" s="579"/>
      <c r="E64" s="579"/>
      <c r="F64" s="204"/>
    </row>
    <row r="65" spans="1:9" s="126" customFormat="1" ht="14.5" customHeight="1">
      <c r="A65" s="107"/>
      <c r="B65" s="133"/>
      <c r="C65" s="133"/>
      <c r="D65" s="203"/>
      <c r="E65" s="133"/>
      <c r="F65" s="204"/>
    </row>
    <row r="66" spans="1:9" s="126" customFormat="1" ht="48">
      <c r="A66" s="110" t="s">
        <v>119</v>
      </c>
      <c r="B66" s="199" t="s">
        <v>431</v>
      </c>
      <c r="C66" s="199"/>
      <c r="D66" s="86"/>
      <c r="E66" s="104"/>
      <c r="F66" s="105"/>
      <c r="G66" s="136"/>
      <c r="H66" s="136"/>
    </row>
    <row r="67" spans="1:9" s="126" customFormat="1" ht="162" customHeight="1">
      <c r="A67" s="133"/>
      <c r="B67" s="79" t="s">
        <v>517</v>
      </c>
      <c r="C67" s="108"/>
      <c r="D67" s="81"/>
      <c r="E67" s="104"/>
      <c r="F67" s="105"/>
      <c r="G67" s="136" t="s">
        <v>17</v>
      </c>
      <c r="H67" s="136"/>
    </row>
    <row r="68" spans="1:9" s="126" customFormat="1" ht="185.25" customHeight="1">
      <c r="A68" s="133"/>
      <c r="B68" s="79" t="s">
        <v>798</v>
      </c>
      <c r="C68" s="108"/>
      <c r="D68" s="81"/>
      <c r="E68" s="104"/>
      <c r="F68" s="105"/>
      <c r="G68" s="136" t="s">
        <v>17</v>
      </c>
      <c r="H68" s="136"/>
    </row>
    <row r="69" spans="1:9" s="126" customFormat="1" ht="78.75" customHeight="1">
      <c r="A69" s="133"/>
      <c r="B69" s="79" t="s">
        <v>432</v>
      </c>
      <c r="C69" s="108"/>
      <c r="D69" s="81"/>
      <c r="E69" s="104"/>
      <c r="F69" s="105"/>
      <c r="G69" s="136"/>
      <c r="H69" s="136"/>
    </row>
    <row r="70" spans="1:9" s="126" customFormat="1" ht="68.25" customHeight="1">
      <c r="A70" s="110"/>
      <c r="B70" s="79" t="s">
        <v>433</v>
      </c>
      <c r="C70" s="108"/>
      <c r="D70" s="81"/>
      <c r="E70" s="104"/>
      <c r="F70" s="105"/>
      <c r="G70" s="136"/>
      <c r="H70" s="136"/>
    </row>
    <row r="71" spans="1:9" s="126" customFormat="1" ht="144.75" customHeight="1">
      <c r="A71" s="110"/>
      <c r="B71" s="357" t="s">
        <v>434</v>
      </c>
      <c r="C71" s="108"/>
      <c r="D71" s="81"/>
      <c r="E71" s="104"/>
      <c r="F71" s="105"/>
      <c r="G71" s="136"/>
      <c r="H71" s="136"/>
    </row>
    <row r="72" spans="1:9" s="126" customFormat="1" ht="14.5">
      <c r="A72" s="110"/>
      <c r="B72" s="107"/>
      <c r="C72" s="205"/>
      <c r="D72" s="81"/>
      <c r="E72" s="104"/>
      <c r="F72" s="105"/>
      <c r="G72" s="287"/>
      <c r="H72" s="136"/>
    </row>
    <row r="73" spans="1:9" s="126" customFormat="1" ht="14.5">
      <c r="A73" s="262" t="s">
        <v>435</v>
      </c>
      <c r="B73" s="137" t="s">
        <v>436</v>
      </c>
      <c r="C73" s="205"/>
      <c r="D73" s="81"/>
      <c r="E73" s="104"/>
      <c r="F73" s="105"/>
      <c r="G73" s="317"/>
    </row>
    <row r="74" spans="1:9" ht="24" customHeight="1">
      <c r="A74" s="110"/>
      <c r="B74" s="304" t="s">
        <v>437</v>
      </c>
      <c r="C74" s="86" t="s">
        <v>121</v>
      </c>
      <c r="D74" s="105">
        <v>33</v>
      </c>
      <c r="E74" s="104"/>
      <c r="F74" s="105">
        <f>ROUND(D74*E74,2)</f>
        <v>0</v>
      </c>
      <c r="G74" s="318"/>
    </row>
    <row r="75" spans="1:9" ht="24" customHeight="1">
      <c r="A75" s="110"/>
      <c r="B75" s="304" t="s">
        <v>438</v>
      </c>
      <c r="C75" s="86" t="s">
        <v>121</v>
      </c>
      <c r="D75" s="105">
        <v>2880</v>
      </c>
      <c r="E75" s="104"/>
      <c r="F75" s="105">
        <f t="shared" ref="F75:F108" si="0">ROUND(D75*E75,2)</f>
        <v>0</v>
      </c>
      <c r="G75" s="318"/>
    </row>
    <row r="76" spans="1:9" ht="16.899999999999999" customHeight="1">
      <c r="A76" s="110"/>
      <c r="B76" s="304" t="s">
        <v>439</v>
      </c>
      <c r="C76" s="86" t="s">
        <v>121</v>
      </c>
      <c r="D76" s="105">
        <v>830</v>
      </c>
      <c r="E76" s="104"/>
      <c r="F76" s="105">
        <f t="shared" si="0"/>
        <v>0</v>
      </c>
      <c r="G76" s="318"/>
    </row>
    <row r="77" spans="1:9" s="126" customFormat="1">
      <c r="A77" s="262"/>
      <c r="B77" s="304" t="s">
        <v>440</v>
      </c>
      <c r="C77" s="86" t="s">
        <v>121</v>
      </c>
      <c r="D77" s="105">
        <v>1150</v>
      </c>
      <c r="E77" s="104"/>
      <c r="F77" s="105">
        <f t="shared" si="0"/>
        <v>0</v>
      </c>
      <c r="G77" s="318"/>
    </row>
    <row r="78" spans="1:9" s="126" customFormat="1">
      <c r="A78" s="262"/>
      <c r="B78" s="304" t="s">
        <v>441</v>
      </c>
      <c r="C78" s="108" t="s">
        <v>121</v>
      </c>
      <c r="D78" s="105">
        <v>350</v>
      </c>
      <c r="E78" s="104"/>
      <c r="F78" s="105">
        <f t="shared" si="0"/>
        <v>0</v>
      </c>
      <c r="G78" s="318"/>
    </row>
    <row r="79" spans="1:9" s="126" customFormat="1" ht="15" customHeight="1">
      <c r="A79" s="110"/>
      <c r="B79" s="406"/>
      <c r="D79" s="221"/>
      <c r="E79" s="487"/>
      <c r="F79" s="105"/>
      <c r="G79" s="321"/>
      <c r="H79" s="136"/>
      <c r="I79" s="319"/>
    </row>
    <row r="80" spans="1:9" s="126" customFormat="1" ht="15" customHeight="1">
      <c r="A80" s="110"/>
      <c r="B80" s="192"/>
      <c r="C80" s="108"/>
      <c r="D80" s="105"/>
      <c r="E80" s="104"/>
      <c r="F80" s="105"/>
      <c r="G80" s="321"/>
      <c r="H80" s="136"/>
      <c r="I80" s="319"/>
    </row>
    <row r="81" spans="1:9" s="126" customFormat="1" ht="14.5">
      <c r="A81" s="110"/>
      <c r="B81" s="304" t="s">
        <v>442</v>
      </c>
      <c r="C81" s="108"/>
      <c r="D81" s="105"/>
      <c r="E81" s="104"/>
      <c r="F81" s="105"/>
      <c r="G81" s="321"/>
      <c r="H81" s="136"/>
      <c r="I81" s="319"/>
    </row>
    <row r="82" spans="1:9" s="126" customFormat="1" ht="15" customHeight="1">
      <c r="A82" s="110"/>
      <c r="B82" s="407" t="s">
        <v>443</v>
      </c>
      <c r="C82" s="108" t="s">
        <v>121</v>
      </c>
      <c r="D82" s="105">
        <v>4500</v>
      </c>
      <c r="E82" s="104"/>
      <c r="F82" s="105">
        <f t="shared" si="0"/>
        <v>0</v>
      </c>
      <c r="G82" s="318"/>
      <c r="H82" s="320"/>
      <c r="I82" s="319"/>
    </row>
    <row r="83" spans="1:9">
      <c r="A83" s="110"/>
      <c r="B83" s="210" t="s">
        <v>444</v>
      </c>
      <c r="C83" s="108" t="s">
        <v>121</v>
      </c>
      <c r="D83" s="86">
        <v>500</v>
      </c>
      <c r="E83" s="104"/>
      <c r="F83" s="105">
        <f t="shared" si="0"/>
        <v>0</v>
      </c>
      <c r="G83" s="408"/>
      <c r="H83" s="321"/>
    </row>
    <row r="84" spans="1:9">
      <c r="A84" s="110"/>
      <c r="B84" s="210" t="s">
        <v>445</v>
      </c>
      <c r="C84" s="108" t="s">
        <v>154</v>
      </c>
      <c r="D84" s="86">
        <v>2500</v>
      </c>
      <c r="E84" s="104"/>
      <c r="F84" s="105">
        <f t="shared" si="0"/>
        <v>0</v>
      </c>
      <c r="G84" s="408"/>
      <c r="H84" s="321"/>
    </row>
    <row r="85" spans="1:9" ht="24">
      <c r="A85" s="110"/>
      <c r="B85" s="137" t="s">
        <v>446</v>
      </c>
      <c r="C85" s="108" t="s">
        <v>154</v>
      </c>
      <c r="D85" s="86">
        <v>250</v>
      </c>
      <c r="E85" s="104"/>
      <c r="F85" s="105">
        <f t="shared" si="0"/>
        <v>0</v>
      </c>
      <c r="G85" s="408"/>
      <c r="H85" s="321"/>
    </row>
    <row r="86" spans="1:9">
      <c r="A86" s="110"/>
      <c r="B86" s="210"/>
      <c r="C86" s="108"/>
      <c r="D86" s="86"/>
      <c r="E86" s="104"/>
      <c r="F86" s="105"/>
      <c r="G86" s="408"/>
      <c r="H86" s="321"/>
    </row>
    <row r="87" spans="1:9">
      <c r="A87" s="198"/>
      <c r="B87" s="107"/>
      <c r="C87" s="108"/>
      <c r="D87" s="105"/>
      <c r="E87" s="104"/>
      <c r="F87" s="105"/>
      <c r="G87" s="318"/>
    </row>
    <row r="88" spans="1:9" ht="31.5" customHeight="1">
      <c r="A88" s="293" t="s">
        <v>122</v>
      </c>
      <c r="B88" s="291" t="s">
        <v>447</v>
      </c>
      <c r="C88" s="199"/>
      <c r="D88" s="105"/>
      <c r="E88" s="104"/>
      <c r="F88" s="105"/>
      <c r="G88" s="104"/>
      <c r="I88" s="305"/>
    </row>
    <row r="89" spans="1:9" ht="240" customHeight="1">
      <c r="A89" s="293" t="s">
        <v>448</v>
      </c>
      <c r="B89" s="79" t="s">
        <v>799</v>
      </c>
      <c r="C89" s="108"/>
      <c r="D89" s="105"/>
      <c r="E89" s="104"/>
      <c r="F89" s="105"/>
      <c r="G89" s="104"/>
      <c r="I89" s="305"/>
    </row>
    <row r="90" spans="1:9" ht="170.5" customHeight="1">
      <c r="A90" s="133"/>
      <c r="B90" s="322" t="s">
        <v>449</v>
      </c>
      <c r="C90" s="108"/>
      <c r="D90" s="105"/>
      <c r="E90" s="104"/>
      <c r="F90" s="105"/>
      <c r="G90" s="104"/>
      <c r="I90" s="305"/>
    </row>
    <row r="91" spans="1:9" ht="93" customHeight="1">
      <c r="A91" s="133"/>
      <c r="B91" s="322" t="s">
        <v>450</v>
      </c>
      <c r="C91" s="108"/>
      <c r="D91" s="105"/>
      <c r="E91" s="104"/>
      <c r="F91" s="105"/>
      <c r="G91" s="104"/>
      <c r="I91" s="305"/>
    </row>
    <row r="92" spans="1:9" ht="69.75" customHeight="1">
      <c r="A92" s="133"/>
      <c r="B92" s="322" t="s">
        <v>451</v>
      </c>
      <c r="C92" s="108"/>
      <c r="D92" s="105"/>
      <c r="E92" s="104"/>
      <c r="F92" s="105"/>
      <c r="G92" s="104"/>
      <c r="I92" s="305"/>
    </row>
    <row r="93" spans="1:9" ht="14.5" customHeight="1">
      <c r="A93" s="198"/>
      <c r="B93" s="409" t="s">
        <v>452</v>
      </c>
      <c r="C93" s="108" t="s">
        <v>121</v>
      </c>
      <c r="D93" s="86">
        <v>110</v>
      </c>
      <c r="E93" s="104"/>
      <c r="F93" s="105">
        <f t="shared" si="0"/>
        <v>0</v>
      </c>
      <c r="G93" s="194"/>
      <c r="H93" s="405"/>
    </row>
    <row r="94" spans="1:9">
      <c r="A94" s="198"/>
      <c r="B94" s="262" t="s">
        <v>453</v>
      </c>
      <c r="C94" s="108" t="s">
        <v>121</v>
      </c>
      <c r="D94" s="86">
        <v>270</v>
      </c>
      <c r="E94" s="104"/>
      <c r="F94" s="105">
        <f t="shared" si="0"/>
        <v>0</v>
      </c>
      <c r="G94" s="194"/>
      <c r="H94" s="405"/>
    </row>
    <row r="95" spans="1:9">
      <c r="A95" s="198"/>
      <c r="B95" s="262" t="s">
        <v>454</v>
      </c>
      <c r="C95" s="108" t="s">
        <v>121</v>
      </c>
      <c r="D95" s="86">
        <v>1.5</v>
      </c>
      <c r="E95" s="104"/>
      <c r="F95" s="105">
        <f t="shared" si="0"/>
        <v>0</v>
      </c>
      <c r="G95" s="194"/>
    </row>
    <row r="96" spans="1:9" ht="14.25" customHeight="1">
      <c r="A96" s="198"/>
      <c r="B96" s="409" t="s">
        <v>755</v>
      </c>
      <c r="C96" s="108" t="s">
        <v>121</v>
      </c>
      <c r="D96" s="86">
        <f>SUM(D93:D95)</f>
        <v>381.5</v>
      </c>
      <c r="E96" s="104"/>
      <c r="F96" s="105">
        <f t="shared" si="0"/>
        <v>0</v>
      </c>
      <c r="G96" s="209"/>
    </row>
    <row r="97" spans="1:14" ht="14.25" customHeight="1">
      <c r="A97" s="198"/>
      <c r="B97" s="262"/>
      <c r="C97" s="108"/>
      <c r="D97" s="86"/>
      <c r="E97" s="104"/>
      <c r="F97" s="105"/>
      <c r="G97" s="209"/>
    </row>
    <row r="98" spans="1:14" ht="13.5" customHeight="1">
      <c r="A98" s="133"/>
      <c r="B98" s="107"/>
      <c r="C98" s="108"/>
      <c r="D98" s="105"/>
      <c r="E98" s="104"/>
      <c r="F98" s="105"/>
      <c r="G98" s="104"/>
      <c r="I98" s="305"/>
    </row>
    <row r="99" spans="1:14" s="313" customFormat="1" ht="13">
      <c r="A99" s="198" t="s">
        <v>127</v>
      </c>
      <c r="B99" s="310" t="s">
        <v>455</v>
      </c>
      <c r="C99" s="311"/>
      <c r="D99" s="312"/>
      <c r="E99" s="489"/>
      <c r="F99" s="105"/>
      <c r="I99" s="314"/>
      <c r="J99" s="314"/>
      <c r="K99" s="315"/>
      <c r="L99" s="314"/>
      <c r="M99" s="314"/>
      <c r="N99" s="316"/>
    </row>
    <row r="100" spans="1:14" s="313" customFormat="1" ht="36">
      <c r="A100" s="198"/>
      <c r="B100" s="307" t="s">
        <v>456</v>
      </c>
      <c r="C100" s="108"/>
      <c r="D100" s="105"/>
      <c r="E100" s="104"/>
      <c r="F100" s="105"/>
      <c r="I100" s="314"/>
      <c r="J100" s="314"/>
      <c r="K100" s="315"/>
      <c r="L100" s="314"/>
      <c r="M100" s="314"/>
      <c r="N100" s="316"/>
    </row>
    <row r="101" spans="1:14" ht="42.75" customHeight="1">
      <c r="A101" s="110"/>
      <c r="B101" s="307" t="s">
        <v>457</v>
      </c>
      <c r="C101" s="108"/>
      <c r="D101" s="105"/>
      <c r="E101" s="104"/>
      <c r="F101" s="105"/>
      <c r="G101" s="104"/>
    </row>
    <row r="102" spans="1:14">
      <c r="A102" s="110"/>
      <c r="B102" s="308"/>
      <c r="C102" s="108" t="s">
        <v>126</v>
      </c>
      <c r="D102" s="96">
        <v>1</v>
      </c>
      <c r="E102" s="104"/>
      <c r="F102" s="105">
        <f t="shared" si="0"/>
        <v>0</v>
      </c>
      <c r="G102" s="104"/>
    </row>
    <row r="103" spans="1:14">
      <c r="A103" s="110"/>
      <c r="B103" s="308"/>
      <c r="C103" s="108"/>
      <c r="D103" s="105"/>
      <c r="E103" s="104"/>
      <c r="F103" s="105"/>
      <c r="G103" s="104"/>
    </row>
    <row r="104" spans="1:14" ht="14.25" customHeight="1">
      <c r="A104" s="198" t="s">
        <v>131</v>
      </c>
      <c r="B104" s="306" t="s">
        <v>458</v>
      </c>
      <c r="C104" s="108"/>
      <c r="D104" s="105"/>
      <c r="E104" s="104"/>
      <c r="F104" s="105"/>
    </row>
    <row r="105" spans="1:14" ht="29.25" customHeight="1">
      <c r="A105" s="198"/>
      <c r="B105" s="307" t="s">
        <v>518</v>
      </c>
      <c r="C105" s="108"/>
      <c r="D105" s="105"/>
      <c r="E105" s="104"/>
      <c r="F105" s="105"/>
    </row>
    <row r="106" spans="1:14" ht="36">
      <c r="A106" s="110"/>
      <c r="B106" s="307" t="s">
        <v>459</v>
      </c>
      <c r="C106" s="108"/>
      <c r="D106" s="105"/>
      <c r="E106" s="104"/>
      <c r="F106" s="105"/>
    </row>
    <row r="107" spans="1:14" ht="36">
      <c r="A107" s="110"/>
      <c r="B107" s="307" t="s">
        <v>460</v>
      </c>
      <c r="C107" s="108"/>
      <c r="D107" s="105"/>
      <c r="E107" s="104"/>
      <c r="F107" s="105"/>
    </row>
    <row r="108" spans="1:14">
      <c r="A108" s="110"/>
      <c r="B108" s="308"/>
      <c r="C108" s="108" t="s">
        <v>126</v>
      </c>
      <c r="D108" s="96">
        <v>1</v>
      </c>
      <c r="E108" s="104"/>
      <c r="F108" s="105">
        <f t="shared" si="0"/>
        <v>0</v>
      </c>
    </row>
    <row r="109" spans="1:14" ht="14.5" thickBot="1">
      <c r="D109" s="195"/>
    </row>
    <row r="110" spans="1:14" ht="14.5" thickBot="1">
      <c r="A110" s="444" t="s">
        <v>51</v>
      </c>
      <c r="B110" s="445" t="s">
        <v>461</v>
      </c>
      <c r="C110" s="243"/>
      <c r="D110" s="272"/>
      <c r="E110" s="361" t="s">
        <v>507</v>
      </c>
      <c r="F110" s="159">
        <f>SUM(F74:F108)</f>
        <v>0</v>
      </c>
    </row>
  </sheetData>
  <sheetProtection algorithmName="SHA-512" hashValue="WH3rVT6xfbtb+NnxPvfBa4FDv35H8apBSFFOAV5MyGgmMLAYuWb/xGhRoocGvqkds8o0rQBKKfEYOxPqmV4l5A==" saltValue="dud4ebzwFq9O6sDNfTQ5rA==" spinCount="100000" sheet="1" objects="1" scenarios="1"/>
  <mergeCells count="21">
    <mergeCell ref="A58:E58"/>
    <mergeCell ref="A11:E11"/>
    <mergeCell ref="A24:E24"/>
    <mergeCell ref="A64:E64"/>
    <mergeCell ref="A20:E20"/>
    <mergeCell ref="A54:E54"/>
    <mergeCell ref="A28:E28"/>
    <mergeCell ref="A30:E50"/>
    <mergeCell ref="A18:E18"/>
    <mergeCell ref="A52:E52"/>
    <mergeCell ref="A26:E26"/>
    <mergeCell ref="A60:E60"/>
    <mergeCell ref="A62:E62"/>
    <mergeCell ref="A56:E56"/>
    <mergeCell ref="A14:E14"/>
    <mergeCell ref="A2:F2"/>
    <mergeCell ref="A9:B9"/>
    <mergeCell ref="A3:F3"/>
    <mergeCell ref="A22:E22"/>
    <mergeCell ref="A16:E16"/>
    <mergeCell ref="A13:E13"/>
  </mergeCells>
  <phoneticPr fontId="28" type="noConversion"/>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3" manualBreakCount="3">
    <brk id="65" max="5" man="1"/>
    <brk id="87" max="5" man="1"/>
    <brk id="98" max="5"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52"/>
  <sheetViews>
    <sheetView view="pageBreakPreview" topLeftCell="A25" zoomScaleNormal="90" zoomScaleSheetLayoutView="100" workbookViewId="0">
      <selection activeCell="B33" sqref="B33:E33"/>
    </sheetView>
  </sheetViews>
  <sheetFormatPr defaultColWidth="9.26953125" defaultRowHeight="14"/>
  <cols>
    <col min="1" max="1" width="5.7265625" style="1" customWidth="1"/>
    <col min="2" max="2" width="43.81640625" style="1" customWidth="1"/>
    <col min="3" max="3" width="7.7265625" style="128" customWidth="1"/>
    <col min="4" max="4" width="9.54296875" style="129" customWidth="1"/>
    <col min="5" max="5" width="7.81640625" style="1" customWidth="1"/>
    <col min="6" max="6" width="10.7265625" style="95" customWidth="1"/>
    <col min="7" max="7" width="9.26953125" style="1"/>
    <col min="8" max="8" width="34" style="1" customWidth="1"/>
    <col min="9" max="256" width="9.26953125" style="1"/>
    <col min="257" max="257" width="5.7265625" style="1" customWidth="1"/>
    <col min="258" max="258" width="43.81640625" style="1" customWidth="1"/>
    <col min="259" max="259" width="7.7265625" style="1" customWidth="1"/>
    <col min="260" max="260" width="9.54296875" style="1" customWidth="1"/>
    <col min="261" max="261" width="7.81640625" style="1" customWidth="1"/>
    <col min="262" max="262" width="10.7265625" style="1" customWidth="1"/>
    <col min="263" max="263" width="9.26953125" style="1"/>
    <col min="264" max="264" width="34" style="1" customWidth="1"/>
    <col min="265" max="512" width="9.26953125" style="1"/>
    <col min="513" max="513" width="5.7265625" style="1" customWidth="1"/>
    <col min="514" max="514" width="43.81640625" style="1" customWidth="1"/>
    <col min="515" max="515" width="7.7265625" style="1" customWidth="1"/>
    <col min="516" max="516" width="9.54296875" style="1" customWidth="1"/>
    <col min="517" max="517" width="7.81640625" style="1" customWidth="1"/>
    <col min="518" max="518" width="10.7265625" style="1" customWidth="1"/>
    <col min="519" max="519" width="9.26953125" style="1"/>
    <col min="520" max="520" width="34" style="1" customWidth="1"/>
    <col min="521" max="768" width="9.26953125" style="1"/>
    <col min="769" max="769" width="5.7265625" style="1" customWidth="1"/>
    <col min="770" max="770" width="43.81640625" style="1" customWidth="1"/>
    <col min="771" max="771" width="7.7265625" style="1" customWidth="1"/>
    <col min="772" max="772" width="9.54296875" style="1" customWidth="1"/>
    <col min="773" max="773" width="7.81640625" style="1" customWidth="1"/>
    <col min="774" max="774" width="10.7265625" style="1" customWidth="1"/>
    <col min="775" max="775" width="9.26953125" style="1"/>
    <col min="776" max="776" width="34" style="1" customWidth="1"/>
    <col min="777" max="1024" width="9.26953125" style="1"/>
    <col min="1025" max="1025" width="5.7265625" style="1" customWidth="1"/>
    <col min="1026" max="1026" width="43.81640625" style="1" customWidth="1"/>
    <col min="1027" max="1027" width="7.7265625" style="1" customWidth="1"/>
    <col min="1028" max="1028" width="9.54296875" style="1" customWidth="1"/>
    <col min="1029" max="1029" width="7.81640625" style="1" customWidth="1"/>
    <col min="1030" max="1030" width="10.7265625" style="1" customWidth="1"/>
    <col min="1031" max="1031" width="9.26953125" style="1"/>
    <col min="1032" max="1032" width="34" style="1" customWidth="1"/>
    <col min="1033" max="1280" width="9.26953125" style="1"/>
    <col min="1281" max="1281" width="5.7265625" style="1" customWidth="1"/>
    <col min="1282" max="1282" width="43.81640625" style="1" customWidth="1"/>
    <col min="1283" max="1283" width="7.7265625" style="1" customWidth="1"/>
    <col min="1284" max="1284" width="9.54296875" style="1" customWidth="1"/>
    <col min="1285" max="1285" width="7.81640625" style="1" customWidth="1"/>
    <col min="1286" max="1286" width="10.7265625" style="1" customWidth="1"/>
    <col min="1287" max="1287" width="9.26953125" style="1"/>
    <col min="1288" max="1288" width="34" style="1" customWidth="1"/>
    <col min="1289" max="1536" width="9.26953125" style="1"/>
    <col min="1537" max="1537" width="5.7265625" style="1" customWidth="1"/>
    <col min="1538" max="1538" width="43.81640625" style="1" customWidth="1"/>
    <col min="1539" max="1539" width="7.7265625" style="1" customWidth="1"/>
    <col min="1540" max="1540" width="9.54296875" style="1" customWidth="1"/>
    <col min="1541" max="1541" width="7.81640625" style="1" customWidth="1"/>
    <col min="1542" max="1542" width="10.7265625" style="1" customWidth="1"/>
    <col min="1543" max="1543" width="9.26953125" style="1"/>
    <col min="1544" max="1544" width="34" style="1" customWidth="1"/>
    <col min="1545" max="1792" width="9.26953125" style="1"/>
    <col min="1793" max="1793" width="5.7265625" style="1" customWidth="1"/>
    <col min="1794" max="1794" width="43.81640625" style="1" customWidth="1"/>
    <col min="1795" max="1795" width="7.7265625" style="1" customWidth="1"/>
    <col min="1796" max="1796" width="9.54296875" style="1" customWidth="1"/>
    <col min="1797" max="1797" width="7.81640625" style="1" customWidth="1"/>
    <col min="1798" max="1798" width="10.7265625" style="1" customWidth="1"/>
    <col min="1799" max="1799" width="9.26953125" style="1"/>
    <col min="1800" max="1800" width="34" style="1" customWidth="1"/>
    <col min="1801" max="2048" width="9.26953125" style="1"/>
    <col min="2049" max="2049" width="5.7265625" style="1" customWidth="1"/>
    <col min="2050" max="2050" width="43.81640625" style="1" customWidth="1"/>
    <col min="2051" max="2051" width="7.7265625" style="1" customWidth="1"/>
    <col min="2052" max="2052" width="9.54296875" style="1" customWidth="1"/>
    <col min="2053" max="2053" width="7.81640625" style="1" customWidth="1"/>
    <col min="2054" max="2054" width="10.7265625" style="1" customWidth="1"/>
    <col min="2055" max="2055" width="9.26953125" style="1"/>
    <col min="2056" max="2056" width="34" style="1" customWidth="1"/>
    <col min="2057" max="2304" width="9.26953125" style="1"/>
    <col min="2305" max="2305" width="5.7265625" style="1" customWidth="1"/>
    <col min="2306" max="2306" width="43.81640625" style="1" customWidth="1"/>
    <col min="2307" max="2307" width="7.7265625" style="1" customWidth="1"/>
    <col min="2308" max="2308" width="9.54296875" style="1" customWidth="1"/>
    <col min="2309" max="2309" width="7.81640625" style="1" customWidth="1"/>
    <col min="2310" max="2310" width="10.7265625" style="1" customWidth="1"/>
    <col min="2311" max="2311" width="9.26953125" style="1"/>
    <col min="2312" max="2312" width="34" style="1" customWidth="1"/>
    <col min="2313" max="2560" width="9.26953125" style="1"/>
    <col min="2561" max="2561" width="5.7265625" style="1" customWidth="1"/>
    <col min="2562" max="2562" width="43.81640625" style="1" customWidth="1"/>
    <col min="2563" max="2563" width="7.7265625" style="1" customWidth="1"/>
    <col min="2564" max="2564" width="9.54296875" style="1" customWidth="1"/>
    <col min="2565" max="2565" width="7.81640625" style="1" customWidth="1"/>
    <col min="2566" max="2566" width="10.7265625" style="1" customWidth="1"/>
    <col min="2567" max="2567" width="9.26953125" style="1"/>
    <col min="2568" max="2568" width="34" style="1" customWidth="1"/>
    <col min="2569" max="2816" width="9.26953125" style="1"/>
    <col min="2817" max="2817" width="5.7265625" style="1" customWidth="1"/>
    <col min="2818" max="2818" width="43.81640625" style="1" customWidth="1"/>
    <col min="2819" max="2819" width="7.7265625" style="1" customWidth="1"/>
    <col min="2820" max="2820" width="9.54296875" style="1" customWidth="1"/>
    <col min="2821" max="2821" width="7.81640625" style="1" customWidth="1"/>
    <col min="2822" max="2822" width="10.7265625" style="1" customWidth="1"/>
    <col min="2823" max="2823" width="9.26953125" style="1"/>
    <col min="2824" max="2824" width="34" style="1" customWidth="1"/>
    <col min="2825" max="3072" width="9.26953125" style="1"/>
    <col min="3073" max="3073" width="5.7265625" style="1" customWidth="1"/>
    <col min="3074" max="3074" width="43.81640625" style="1" customWidth="1"/>
    <col min="3075" max="3075" width="7.7265625" style="1" customWidth="1"/>
    <col min="3076" max="3076" width="9.54296875" style="1" customWidth="1"/>
    <col min="3077" max="3077" width="7.81640625" style="1" customWidth="1"/>
    <col min="3078" max="3078" width="10.7265625" style="1" customWidth="1"/>
    <col min="3079" max="3079" width="9.26953125" style="1"/>
    <col min="3080" max="3080" width="34" style="1" customWidth="1"/>
    <col min="3081" max="3328" width="9.26953125" style="1"/>
    <col min="3329" max="3329" width="5.7265625" style="1" customWidth="1"/>
    <col min="3330" max="3330" width="43.81640625" style="1" customWidth="1"/>
    <col min="3331" max="3331" width="7.7265625" style="1" customWidth="1"/>
    <col min="3332" max="3332" width="9.54296875" style="1" customWidth="1"/>
    <col min="3333" max="3333" width="7.81640625" style="1" customWidth="1"/>
    <col min="3334" max="3334" width="10.7265625" style="1" customWidth="1"/>
    <col min="3335" max="3335" width="9.26953125" style="1"/>
    <col min="3336" max="3336" width="34" style="1" customWidth="1"/>
    <col min="3337" max="3584" width="9.26953125" style="1"/>
    <col min="3585" max="3585" width="5.7265625" style="1" customWidth="1"/>
    <col min="3586" max="3586" width="43.81640625" style="1" customWidth="1"/>
    <col min="3587" max="3587" width="7.7265625" style="1" customWidth="1"/>
    <col min="3588" max="3588" width="9.54296875" style="1" customWidth="1"/>
    <col min="3589" max="3589" width="7.81640625" style="1" customWidth="1"/>
    <col min="3590" max="3590" width="10.7265625" style="1" customWidth="1"/>
    <col min="3591" max="3591" width="9.26953125" style="1"/>
    <col min="3592" max="3592" width="34" style="1" customWidth="1"/>
    <col min="3593" max="3840" width="9.26953125" style="1"/>
    <col min="3841" max="3841" width="5.7265625" style="1" customWidth="1"/>
    <col min="3842" max="3842" width="43.81640625" style="1" customWidth="1"/>
    <col min="3843" max="3843" width="7.7265625" style="1" customWidth="1"/>
    <col min="3844" max="3844" width="9.54296875" style="1" customWidth="1"/>
    <col min="3845" max="3845" width="7.81640625" style="1" customWidth="1"/>
    <col min="3846" max="3846" width="10.7265625" style="1" customWidth="1"/>
    <col min="3847" max="3847" width="9.26953125" style="1"/>
    <col min="3848" max="3848" width="34" style="1" customWidth="1"/>
    <col min="3849" max="4096" width="9.26953125" style="1"/>
    <col min="4097" max="4097" width="5.7265625" style="1" customWidth="1"/>
    <col min="4098" max="4098" width="43.81640625" style="1" customWidth="1"/>
    <col min="4099" max="4099" width="7.7265625" style="1" customWidth="1"/>
    <col min="4100" max="4100" width="9.54296875" style="1" customWidth="1"/>
    <col min="4101" max="4101" width="7.81640625" style="1" customWidth="1"/>
    <col min="4102" max="4102" width="10.7265625" style="1" customWidth="1"/>
    <col min="4103" max="4103" width="9.26953125" style="1"/>
    <col min="4104" max="4104" width="34" style="1" customWidth="1"/>
    <col min="4105" max="4352" width="9.26953125" style="1"/>
    <col min="4353" max="4353" width="5.7265625" style="1" customWidth="1"/>
    <col min="4354" max="4354" width="43.81640625" style="1" customWidth="1"/>
    <col min="4355" max="4355" width="7.7265625" style="1" customWidth="1"/>
    <col min="4356" max="4356" width="9.54296875" style="1" customWidth="1"/>
    <col min="4357" max="4357" width="7.81640625" style="1" customWidth="1"/>
    <col min="4358" max="4358" width="10.7265625" style="1" customWidth="1"/>
    <col min="4359" max="4359" width="9.26953125" style="1"/>
    <col min="4360" max="4360" width="34" style="1" customWidth="1"/>
    <col min="4361" max="4608" width="9.26953125" style="1"/>
    <col min="4609" max="4609" width="5.7265625" style="1" customWidth="1"/>
    <col min="4610" max="4610" width="43.81640625" style="1" customWidth="1"/>
    <col min="4611" max="4611" width="7.7265625" style="1" customWidth="1"/>
    <col min="4612" max="4612" width="9.54296875" style="1" customWidth="1"/>
    <col min="4613" max="4613" width="7.81640625" style="1" customWidth="1"/>
    <col min="4614" max="4614" width="10.7265625" style="1" customWidth="1"/>
    <col min="4615" max="4615" width="9.26953125" style="1"/>
    <col min="4616" max="4616" width="34" style="1" customWidth="1"/>
    <col min="4617" max="4864" width="9.26953125" style="1"/>
    <col min="4865" max="4865" width="5.7265625" style="1" customWidth="1"/>
    <col min="4866" max="4866" width="43.81640625" style="1" customWidth="1"/>
    <col min="4867" max="4867" width="7.7265625" style="1" customWidth="1"/>
    <col min="4868" max="4868" width="9.54296875" style="1" customWidth="1"/>
    <col min="4869" max="4869" width="7.81640625" style="1" customWidth="1"/>
    <col min="4870" max="4870" width="10.7265625" style="1" customWidth="1"/>
    <col min="4871" max="4871" width="9.26953125" style="1"/>
    <col min="4872" max="4872" width="34" style="1" customWidth="1"/>
    <col min="4873" max="5120" width="9.26953125" style="1"/>
    <col min="5121" max="5121" width="5.7265625" style="1" customWidth="1"/>
    <col min="5122" max="5122" width="43.81640625" style="1" customWidth="1"/>
    <col min="5123" max="5123" width="7.7265625" style="1" customWidth="1"/>
    <col min="5124" max="5124" width="9.54296875" style="1" customWidth="1"/>
    <col min="5125" max="5125" width="7.81640625" style="1" customWidth="1"/>
    <col min="5126" max="5126" width="10.7265625" style="1" customWidth="1"/>
    <col min="5127" max="5127" width="9.26953125" style="1"/>
    <col min="5128" max="5128" width="34" style="1" customWidth="1"/>
    <col min="5129" max="5376" width="9.26953125" style="1"/>
    <col min="5377" max="5377" width="5.7265625" style="1" customWidth="1"/>
    <col min="5378" max="5378" width="43.81640625" style="1" customWidth="1"/>
    <col min="5379" max="5379" width="7.7265625" style="1" customWidth="1"/>
    <col min="5380" max="5380" width="9.54296875" style="1" customWidth="1"/>
    <col min="5381" max="5381" width="7.81640625" style="1" customWidth="1"/>
    <col min="5382" max="5382" width="10.7265625" style="1" customWidth="1"/>
    <col min="5383" max="5383" width="9.26953125" style="1"/>
    <col min="5384" max="5384" width="34" style="1" customWidth="1"/>
    <col min="5385" max="5632" width="9.26953125" style="1"/>
    <col min="5633" max="5633" width="5.7265625" style="1" customWidth="1"/>
    <col min="5634" max="5634" width="43.81640625" style="1" customWidth="1"/>
    <col min="5635" max="5635" width="7.7265625" style="1" customWidth="1"/>
    <col min="5636" max="5636" width="9.54296875" style="1" customWidth="1"/>
    <col min="5637" max="5637" width="7.81640625" style="1" customWidth="1"/>
    <col min="5638" max="5638" width="10.7265625" style="1" customWidth="1"/>
    <col min="5639" max="5639" width="9.26953125" style="1"/>
    <col min="5640" max="5640" width="34" style="1" customWidth="1"/>
    <col min="5641" max="5888" width="9.26953125" style="1"/>
    <col min="5889" max="5889" width="5.7265625" style="1" customWidth="1"/>
    <col min="5890" max="5890" width="43.81640625" style="1" customWidth="1"/>
    <col min="5891" max="5891" width="7.7265625" style="1" customWidth="1"/>
    <col min="5892" max="5892" width="9.54296875" style="1" customWidth="1"/>
    <col min="5893" max="5893" width="7.81640625" style="1" customWidth="1"/>
    <col min="5894" max="5894" width="10.7265625" style="1" customWidth="1"/>
    <col min="5895" max="5895" width="9.26953125" style="1"/>
    <col min="5896" max="5896" width="34" style="1" customWidth="1"/>
    <col min="5897" max="6144" width="9.26953125" style="1"/>
    <col min="6145" max="6145" width="5.7265625" style="1" customWidth="1"/>
    <col min="6146" max="6146" width="43.81640625" style="1" customWidth="1"/>
    <col min="6147" max="6147" width="7.7265625" style="1" customWidth="1"/>
    <col min="6148" max="6148" width="9.54296875" style="1" customWidth="1"/>
    <col min="6149" max="6149" width="7.81640625" style="1" customWidth="1"/>
    <col min="6150" max="6150" width="10.7265625" style="1" customWidth="1"/>
    <col min="6151" max="6151" width="9.26953125" style="1"/>
    <col min="6152" max="6152" width="34" style="1" customWidth="1"/>
    <col min="6153" max="6400" width="9.26953125" style="1"/>
    <col min="6401" max="6401" width="5.7265625" style="1" customWidth="1"/>
    <col min="6402" max="6402" width="43.81640625" style="1" customWidth="1"/>
    <col min="6403" max="6403" width="7.7265625" style="1" customWidth="1"/>
    <col min="6404" max="6404" width="9.54296875" style="1" customWidth="1"/>
    <col min="6405" max="6405" width="7.81640625" style="1" customWidth="1"/>
    <col min="6406" max="6406" width="10.7265625" style="1" customWidth="1"/>
    <col min="6407" max="6407" width="9.26953125" style="1"/>
    <col min="6408" max="6408" width="34" style="1" customWidth="1"/>
    <col min="6409" max="6656" width="9.26953125" style="1"/>
    <col min="6657" max="6657" width="5.7265625" style="1" customWidth="1"/>
    <col min="6658" max="6658" width="43.81640625" style="1" customWidth="1"/>
    <col min="6659" max="6659" width="7.7265625" style="1" customWidth="1"/>
    <col min="6660" max="6660" width="9.54296875" style="1" customWidth="1"/>
    <col min="6661" max="6661" width="7.81640625" style="1" customWidth="1"/>
    <col min="6662" max="6662" width="10.7265625" style="1" customWidth="1"/>
    <col min="6663" max="6663" width="9.26953125" style="1"/>
    <col min="6664" max="6664" width="34" style="1" customWidth="1"/>
    <col min="6665" max="6912" width="9.26953125" style="1"/>
    <col min="6913" max="6913" width="5.7265625" style="1" customWidth="1"/>
    <col min="6914" max="6914" width="43.81640625" style="1" customWidth="1"/>
    <col min="6915" max="6915" width="7.7265625" style="1" customWidth="1"/>
    <col min="6916" max="6916" width="9.54296875" style="1" customWidth="1"/>
    <col min="6917" max="6917" width="7.81640625" style="1" customWidth="1"/>
    <col min="6918" max="6918" width="10.7265625" style="1" customWidth="1"/>
    <col min="6919" max="6919" width="9.26953125" style="1"/>
    <col min="6920" max="6920" width="34" style="1" customWidth="1"/>
    <col min="6921" max="7168" width="9.26953125" style="1"/>
    <col min="7169" max="7169" width="5.7265625" style="1" customWidth="1"/>
    <col min="7170" max="7170" width="43.81640625" style="1" customWidth="1"/>
    <col min="7171" max="7171" width="7.7265625" style="1" customWidth="1"/>
    <col min="7172" max="7172" width="9.54296875" style="1" customWidth="1"/>
    <col min="7173" max="7173" width="7.81640625" style="1" customWidth="1"/>
    <col min="7174" max="7174" width="10.7265625" style="1" customWidth="1"/>
    <col min="7175" max="7175" width="9.26953125" style="1"/>
    <col min="7176" max="7176" width="34" style="1" customWidth="1"/>
    <col min="7177" max="7424" width="9.26953125" style="1"/>
    <col min="7425" max="7425" width="5.7265625" style="1" customWidth="1"/>
    <col min="7426" max="7426" width="43.81640625" style="1" customWidth="1"/>
    <col min="7427" max="7427" width="7.7265625" style="1" customWidth="1"/>
    <col min="7428" max="7428" width="9.54296875" style="1" customWidth="1"/>
    <col min="7429" max="7429" width="7.81640625" style="1" customWidth="1"/>
    <col min="7430" max="7430" width="10.7265625" style="1" customWidth="1"/>
    <col min="7431" max="7431" width="9.26953125" style="1"/>
    <col min="7432" max="7432" width="34" style="1" customWidth="1"/>
    <col min="7433" max="7680" width="9.26953125" style="1"/>
    <col min="7681" max="7681" width="5.7265625" style="1" customWidth="1"/>
    <col min="7682" max="7682" width="43.81640625" style="1" customWidth="1"/>
    <col min="7683" max="7683" width="7.7265625" style="1" customWidth="1"/>
    <col min="7684" max="7684" width="9.54296875" style="1" customWidth="1"/>
    <col min="7685" max="7685" width="7.81640625" style="1" customWidth="1"/>
    <col min="7686" max="7686" width="10.7265625" style="1" customWidth="1"/>
    <col min="7687" max="7687" width="9.26953125" style="1"/>
    <col min="7688" max="7688" width="34" style="1" customWidth="1"/>
    <col min="7689" max="7936" width="9.26953125" style="1"/>
    <col min="7937" max="7937" width="5.7265625" style="1" customWidth="1"/>
    <col min="7938" max="7938" width="43.81640625" style="1" customWidth="1"/>
    <col min="7939" max="7939" width="7.7265625" style="1" customWidth="1"/>
    <col min="7940" max="7940" width="9.54296875" style="1" customWidth="1"/>
    <col min="7941" max="7941" width="7.81640625" style="1" customWidth="1"/>
    <col min="7942" max="7942" width="10.7265625" style="1" customWidth="1"/>
    <col min="7943" max="7943" width="9.26953125" style="1"/>
    <col min="7944" max="7944" width="34" style="1" customWidth="1"/>
    <col min="7945" max="8192" width="9.26953125" style="1"/>
    <col min="8193" max="8193" width="5.7265625" style="1" customWidth="1"/>
    <col min="8194" max="8194" width="43.81640625" style="1" customWidth="1"/>
    <col min="8195" max="8195" width="7.7265625" style="1" customWidth="1"/>
    <col min="8196" max="8196" width="9.54296875" style="1" customWidth="1"/>
    <col min="8197" max="8197" width="7.81640625" style="1" customWidth="1"/>
    <col min="8198" max="8198" width="10.7265625" style="1" customWidth="1"/>
    <col min="8199" max="8199" width="9.26953125" style="1"/>
    <col min="8200" max="8200" width="34" style="1" customWidth="1"/>
    <col min="8201" max="8448" width="9.26953125" style="1"/>
    <col min="8449" max="8449" width="5.7265625" style="1" customWidth="1"/>
    <col min="8450" max="8450" width="43.81640625" style="1" customWidth="1"/>
    <col min="8451" max="8451" width="7.7265625" style="1" customWidth="1"/>
    <col min="8452" max="8452" width="9.54296875" style="1" customWidth="1"/>
    <col min="8453" max="8453" width="7.81640625" style="1" customWidth="1"/>
    <col min="8454" max="8454" width="10.7265625" style="1" customWidth="1"/>
    <col min="8455" max="8455" width="9.26953125" style="1"/>
    <col min="8456" max="8456" width="34" style="1" customWidth="1"/>
    <col min="8457" max="8704" width="9.26953125" style="1"/>
    <col min="8705" max="8705" width="5.7265625" style="1" customWidth="1"/>
    <col min="8706" max="8706" width="43.81640625" style="1" customWidth="1"/>
    <col min="8707" max="8707" width="7.7265625" style="1" customWidth="1"/>
    <col min="8708" max="8708" width="9.54296875" style="1" customWidth="1"/>
    <col min="8709" max="8709" width="7.81640625" style="1" customWidth="1"/>
    <col min="8710" max="8710" width="10.7265625" style="1" customWidth="1"/>
    <col min="8711" max="8711" width="9.26953125" style="1"/>
    <col min="8712" max="8712" width="34" style="1" customWidth="1"/>
    <col min="8713" max="8960" width="9.26953125" style="1"/>
    <col min="8961" max="8961" width="5.7265625" style="1" customWidth="1"/>
    <col min="8962" max="8962" width="43.81640625" style="1" customWidth="1"/>
    <col min="8963" max="8963" width="7.7265625" style="1" customWidth="1"/>
    <col min="8964" max="8964" width="9.54296875" style="1" customWidth="1"/>
    <col min="8965" max="8965" width="7.81640625" style="1" customWidth="1"/>
    <col min="8966" max="8966" width="10.7265625" style="1" customWidth="1"/>
    <col min="8967" max="8967" width="9.26953125" style="1"/>
    <col min="8968" max="8968" width="34" style="1" customWidth="1"/>
    <col min="8969" max="9216" width="9.26953125" style="1"/>
    <col min="9217" max="9217" width="5.7265625" style="1" customWidth="1"/>
    <col min="9218" max="9218" width="43.81640625" style="1" customWidth="1"/>
    <col min="9219" max="9219" width="7.7265625" style="1" customWidth="1"/>
    <col min="9220" max="9220" width="9.54296875" style="1" customWidth="1"/>
    <col min="9221" max="9221" width="7.81640625" style="1" customWidth="1"/>
    <col min="9222" max="9222" width="10.7265625" style="1" customWidth="1"/>
    <col min="9223" max="9223" width="9.26953125" style="1"/>
    <col min="9224" max="9224" width="34" style="1" customWidth="1"/>
    <col min="9225" max="9472" width="9.26953125" style="1"/>
    <col min="9473" max="9473" width="5.7265625" style="1" customWidth="1"/>
    <col min="9474" max="9474" width="43.81640625" style="1" customWidth="1"/>
    <col min="9475" max="9475" width="7.7265625" style="1" customWidth="1"/>
    <col min="9476" max="9476" width="9.54296875" style="1" customWidth="1"/>
    <col min="9477" max="9477" width="7.81640625" style="1" customWidth="1"/>
    <col min="9478" max="9478" width="10.7265625" style="1" customWidth="1"/>
    <col min="9479" max="9479" width="9.26953125" style="1"/>
    <col min="9480" max="9480" width="34" style="1" customWidth="1"/>
    <col min="9481" max="9728" width="9.26953125" style="1"/>
    <col min="9729" max="9729" width="5.7265625" style="1" customWidth="1"/>
    <col min="9730" max="9730" width="43.81640625" style="1" customWidth="1"/>
    <col min="9731" max="9731" width="7.7265625" style="1" customWidth="1"/>
    <col min="9732" max="9732" width="9.54296875" style="1" customWidth="1"/>
    <col min="9733" max="9733" width="7.81640625" style="1" customWidth="1"/>
    <col min="9734" max="9734" width="10.7265625" style="1" customWidth="1"/>
    <col min="9735" max="9735" width="9.26953125" style="1"/>
    <col min="9736" max="9736" width="34" style="1" customWidth="1"/>
    <col min="9737" max="9984" width="9.26953125" style="1"/>
    <col min="9985" max="9985" width="5.7265625" style="1" customWidth="1"/>
    <col min="9986" max="9986" width="43.81640625" style="1" customWidth="1"/>
    <col min="9987" max="9987" width="7.7265625" style="1" customWidth="1"/>
    <col min="9988" max="9988" width="9.54296875" style="1" customWidth="1"/>
    <col min="9989" max="9989" width="7.81640625" style="1" customWidth="1"/>
    <col min="9990" max="9990" width="10.7265625" style="1" customWidth="1"/>
    <col min="9991" max="9991" width="9.26953125" style="1"/>
    <col min="9992" max="9992" width="34" style="1" customWidth="1"/>
    <col min="9993" max="10240" width="9.26953125" style="1"/>
    <col min="10241" max="10241" width="5.7265625" style="1" customWidth="1"/>
    <col min="10242" max="10242" width="43.81640625" style="1" customWidth="1"/>
    <col min="10243" max="10243" width="7.7265625" style="1" customWidth="1"/>
    <col min="10244" max="10244" width="9.54296875" style="1" customWidth="1"/>
    <col min="10245" max="10245" width="7.81640625" style="1" customWidth="1"/>
    <col min="10246" max="10246" width="10.7265625" style="1" customWidth="1"/>
    <col min="10247" max="10247" width="9.26953125" style="1"/>
    <col min="10248" max="10248" width="34" style="1" customWidth="1"/>
    <col min="10249" max="10496" width="9.26953125" style="1"/>
    <col min="10497" max="10497" width="5.7265625" style="1" customWidth="1"/>
    <col min="10498" max="10498" width="43.81640625" style="1" customWidth="1"/>
    <col min="10499" max="10499" width="7.7265625" style="1" customWidth="1"/>
    <col min="10500" max="10500" width="9.54296875" style="1" customWidth="1"/>
    <col min="10501" max="10501" width="7.81640625" style="1" customWidth="1"/>
    <col min="10502" max="10502" width="10.7265625" style="1" customWidth="1"/>
    <col min="10503" max="10503" width="9.26953125" style="1"/>
    <col min="10504" max="10504" width="34" style="1" customWidth="1"/>
    <col min="10505" max="10752" width="9.26953125" style="1"/>
    <col min="10753" max="10753" width="5.7265625" style="1" customWidth="1"/>
    <col min="10754" max="10754" width="43.81640625" style="1" customWidth="1"/>
    <col min="10755" max="10755" width="7.7265625" style="1" customWidth="1"/>
    <col min="10756" max="10756" width="9.54296875" style="1" customWidth="1"/>
    <col min="10757" max="10757" width="7.81640625" style="1" customWidth="1"/>
    <col min="10758" max="10758" width="10.7265625" style="1" customWidth="1"/>
    <col min="10759" max="10759" width="9.26953125" style="1"/>
    <col min="10760" max="10760" width="34" style="1" customWidth="1"/>
    <col min="10761" max="11008" width="9.26953125" style="1"/>
    <col min="11009" max="11009" width="5.7265625" style="1" customWidth="1"/>
    <col min="11010" max="11010" width="43.81640625" style="1" customWidth="1"/>
    <col min="11011" max="11011" width="7.7265625" style="1" customWidth="1"/>
    <col min="11012" max="11012" width="9.54296875" style="1" customWidth="1"/>
    <col min="11013" max="11013" width="7.81640625" style="1" customWidth="1"/>
    <col min="11014" max="11014" width="10.7265625" style="1" customWidth="1"/>
    <col min="11015" max="11015" width="9.26953125" style="1"/>
    <col min="11016" max="11016" width="34" style="1" customWidth="1"/>
    <col min="11017" max="11264" width="9.26953125" style="1"/>
    <col min="11265" max="11265" width="5.7265625" style="1" customWidth="1"/>
    <col min="11266" max="11266" width="43.81640625" style="1" customWidth="1"/>
    <col min="11267" max="11267" width="7.7265625" style="1" customWidth="1"/>
    <col min="11268" max="11268" width="9.54296875" style="1" customWidth="1"/>
    <col min="11269" max="11269" width="7.81640625" style="1" customWidth="1"/>
    <col min="11270" max="11270" width="10.7265625" style="1" customWidth="1"/>
    <col min="11271" max="11271" width="9.26953125" style="1"/>
    <col min="11272" max="11272" width="34" style="1" customWidth="1"/>
    <col min="11273" max="11520" width="9.26953125" style="1"/>
    <col min="11521" max="11521" width="5.7265625" style="1" customWidth="1"/>
    <col min="11522" max="11522" width="43.81640625" style="1" customWidth="1"/>
    <col min="11523" max="11523" width="7.7265625" style="1" customWidth="1"/>
    <col min="11524" max="11524" width="9.54296875" style="1" customWidth="1"/>
    <col min="11525" max="11525" width="7.81640625" style="1" customWidth="1"/>
    <col min="11526" max="11526" width="10.7265625" style="1" customWidth="1"/>
    <col min="11527" max="11527" width="9.26953125" style="1"/>
    <col min="11528" max="11528" width="34" style="1" customWidth="1"/>
    <col min="11529" max="11776" width="9.26953125" style="1"/>
    <col min="11777" max="11777" width="5.7265625" style="1" customWidth="1"/>
    <col min="11778" max="11778" width="43.81640625" style="1" customWidth="1"/>
    <col min="11779" max="11779" width="7.7265625" style="1" customWidth="1"/>
    <col min="11780" max="11780" width="9.54296875" style="1" customWidth="1"/>
    <col min="11781" max="11781" width="7.81640625" style="1" customWidth="1"/>
    <col min="11782" max="11782" width="10.7265625" style="1" customWidth="1"/>
    <col min="11783" max="11783" width="9.26953125" style="1"/>
    <col min="11784" max="11784" width="34" style="1" customWidth="1"/>
    <col min="11785" max="12032" width="9.26953125" style="1"/>
    <col min="12033" max="12033" width="5.7265625" style="1" customWidth="1"/>
    <col min="12034" max="12034" width="43.81640625" style="1" customWidth="1"/>
    <col min="12035" max="12035" width="7.7265625" style="1" customWidth="1"/>
    <col min="12036" max="12036" width="9.54296875" style="1" customWidth="1"/>
    <col min="12037" max="12037" width="7.81640625" style="1" customWidth="1"/>
    <col min="12038" max="12038" width="10.7265625" style="1" customWidth="1"/>
    <col min="12039" max="12039" width="9.26953125" style="1"/>
    <col min="12040" max="12040" width="34" style="1" customWidth="1"/>
    <col min="12041" max="12288" width="9.26953125" style="1"/>
    <col min="12289" max="12289" width="5.7265625" style="1" customWidth="1"/>
    <col min="12290" max="12290" width="43.81640625" style="1" customWidth="1"/>
    <col min="12291" max="12291" width="7.7265625" style="1" customWidth="1"/>
    <col min="12292" max="12292" width="9.54296875" style="1" customWidth="1"/>
    <col min="12293" max="12293" width="7.81640625" style="1" customWidth="1"/>
    <col min="12294" max="12294" width="10.7265625" style="1" customWidth="1"/>
    <col min="12295" max="12295" width="9.26953125" style="1"/>
    <col min="12296" max="12296" width="34" style="1" customWidth="1"/>
    <col min="12297" max="12544" width="9.26953125" style="1"/>
    <col min="12545" max="12545" width="5.7265625" style="1" customWidth="1"/>
    <col min="12546" max="12546" width="43.81640625" style="1" customWidth="1"/>
    <col min="12547" max="12547" width="7.7265625" style="1" customWidth="1"/>
    <col min="12548" max="12548" width="9.54296875" style="1" customWidth="1"/>
    <col min="12549" max="12549" width="7.81640625" style="1" customWidth="1"/>
    <col min="12550" max="12550" width="10.7265625" style="1" customWidth="1"/>
    <col min="12551" max="12551" width="9.26953125" style="1"/>
    <col min="12552" max="12552" width="34" style="1" customWidth="1"/>
    <col min="12553" max="12800" width="9.26953125" style="1"/>
    <col min="12801" max="12801" width="5.7265625" style="1" customWidth="1"/>
    <col min="12802" max="12802" width="43.81640625" style="1" customWidth="1"/>
    <col min="12803" max="12803" width="7.7265625" style="1" customWidth="1"/>
    <col min="12804" max="12804" width="9.54296875" style="1" customWidth="1"/>
    <col min="12805" max="12805" width="7.81640625" style="1" customWidth="1"/>
    <col min="12806" max="12806" width="10.7265625" style="1" customWidth="1"/>
    <col min="12807" max="12807" width="9.26953125" style="1"/>
    <col min="12808" max="12808" width="34" style="1" customWidth="1"/>
    <col min="12809" max="13056" width="9.26953125" style="1"/>
    <col min="13057" max="13057" width="5.7265625" style="1" customWidth="1"/>
    <col min="13058" max="13058" width="43.81640625" style="1" customWidth="1"/>
    <col min="13059" max="13059" width="7.7265625" style="1" customWidth="1"/>
    <col min="13060" max="13060" width="9.54296875" style="1" customWidth="1"/>
    <col min="13061" max="13061" width="7.81640625" style="1" customWidth="1"/>
    <col min="13062" max="13062" width="10.7265625" style="1" customWidth="1"/>
    <col min="13063" max="13063" width="9.26953125" style="1"/>
    <col min="13064" max="13064" width="34" style="1" customWidth="1"/>
    <col min="13065" max="13312" width="9.26953125" style="1"/>
    <col min="13313" max="13313" width="5.7265625" style="1" customWidth="1"/>
    <col min="13314" max="13314" width="43.81640625" style="1" customWidth="1"/>
    <col min="13315" max="13315" width="7.7265625" style="1" customWidth="1"/>
    <col min="13316" max="13316" width="9.54296875" style="1" customWidth="1"/>
    <col min="13317" max="13317" width="7.81640625" style="1" customWidth="1"/>
    <col min="13318" max="13318" width="10.7265625" style="1" customWidth="1"/>
    <col min="13319" max="13319" width="9.26953125" style="1"/>
    <col min="13320" max="13320" width="34" style="1" customWidth="1"/>
    <col min="13321" max="13568" width="9.26953125" style="1"/>
    <col min="13569" max="13569" width="5.7265625" style="1" customWidth="1"/>
    <col min="13570" max="13570" width="43.81640625" style="1" customWidth="1"/>
    <col min="13571" max="13571" width="7.7265625" style="1" customWidth="1"/>
    <col min="13572" max="13572" width="9.54296875" style="1" customWidth="1"/>
    <col min="13573" max="13573" width="7.81640625" style="1" customWidth="1"/>
    <col min="13574" max="13574" width="10.7265625" style="1" customWidth="1"/>
    <col min="13575" max="13575" width="9.26953125" style="1"/>
    <col min="13576" max="13576" width="34" style="1" customWidth="1"/>
    <col min="13577" max="13824" width="9.26953125" style="1"/>
    <col min="13825" max="13825" width="5.7265625" style="1" customWidth="1"/>
    <col min="13826" max="13826" width="43.81640625" style="1" customWidth="1"/>
    <col min="13827" max="13827" width="7.7265625" style="1" customWidth="1"/>
    <col min="13828" max="13828" width="9.54296875" style="1" customWidth="1"/>
    <col min="13829" max="13829" width="7.81640625" style="1" customWidth="1"/>
    <col min="13830" max="13830" width="10.7265625" style="1" customWidth="1"/>
    <col min="13831" max="13831" width="9.26953125" style="1"/>
    <col min="13832" max="13832" width="34" style="1" customWidth="1"/>
    <col min="13833" max="14080" width="9.26953125" style="1"/>
    <col min="14081" max="14081" width="5.7265625" style="1" customWidth="1"/>
    <col min="14082" max="14082" width="43.81640625" style="1" customWidth="1"/>
    <col min="14083" max="14083" width="7.7265625" style="1" customWidth="1"/>
    <col min="14084" max="14084" width="9.54296875" style="1" customWidth="1"/>
    <col min="14085" max="14085" width="7.81640625" style="1" customWidth="1"/>
    <col min="14086" max="14086" width="10.7265625" style="1" customWidth="1"/>
    <col min="14087" max="14087" width="9.26953125" style="1"/>
    <col min="14088" max="14088" width="34" style="1" customWidth="1"/>
    <col min="14089" max="14336" width="9.26953125" style="1"/>
    <col min="14337" max="14337" width="5.7265625" style="1" customWidth="1"/>
    <col min="14338" max="14338" width="43.81640625" style="1" customWidth="1"/>
    <col min="14339" max="14339" width="7.7265625" style="1" customWidth="1"/>
    <col min="14340" max="14340" width="9.54296875" style="1" customWidth="1"/>
    <col min="14341" max="14341" width="7.81640625" style="1" customWidth="1"/>
    <col min="14342" max="14342" width="10.7265625" style="1" customWidth="1"/>
    <col min="14343" max="14343" width="9.26953125" style="1"/>
    <col min="14344" max="14344" width="34" style="1" customWidth="1"/>
    <col min="14345" max="14592" width="9.26953125" style="1"/>
    <col min="14593" max="14593" width="5.7265625" style="1" customWidth="1"/>
    <col min="14594" max="14594" width="43.81640625" style="1" customWidth="1"/>
    <col min="14595" max="14595" width="7.7265625" style="1" customWidth="1"/>
    <col min="14596" max="14596" width="9.54296875" style="1" customWidth="1"/>
    <col min="14597" max="14597" width="7.81640625" style="1" customWidth="1"/>
    <col min="14598" max="14598" width="10.7265625" style="1" customWidth="1"/>
    <col min="14599" max="14599" width="9.26953125" style="1"/>
    <col min="14600" max="14600" width="34" style="1" customWidth="1"/>
    <col min="14601" max="14848" width="9.26953125" style="1"/>
    <col min="14849" max="14849" width="5.7265625" style="1" customWidth="1"/>
    <col min="14850" max="14850" width="43.81640625" style="1" customWidth="1"/>
    <col min="14851" max="14851" width="7.7265625" style="1" customWidth="1"/>
    <col min="14852" max="14852" width="9.54296875" style="1" customWidth="1"/>
    <col min="14853" max="14853" width="7.81640625" style="1" customWidth="1"/>
    <col min="14854" max="14854" width="10.7265625" style="1" customWidth="1"/>
    <col min="14855" max="14855" width="9.26953125" style="1"/>
    <col min="14856" max="14856" width="34" style="1" customWidth="1"/>
    <col min="14857" max="15104" width="9.26953125" style="1"/>
    <col min="15105" max="15105" width="5.7265625" style="1" customWidth="1"/>
    <col min="15106" max="15106" width="43.81640625" style="1" customWidth="1"/>
    <col min="15107" max="15107" width="7.7265625" style="1" customWidth="1"/>
    <col min="15108" max="15108" width="9.54296875" style="1" customWidth="1"/>
    <col min="15109" max="15109" width="7.81640625" style="1" customWidth="1"/>
    <col min="15110" max="15110" width="10.7265625" style="1" customWidth="1"/>
    <col min="15111" max="15111" width="9.26953125" style="1"/>
    <col min="15112" max="15112" width="34" style="1" customWidth="1"/>
    <col min="15113" max="15360" width="9.26953125" style="1"/>
    <col min="15361" max="15361" width="5.7265625" style="1" customWidth="1"/>
    <col min="15362" max="15362" width="43.81640625" style="1" customWidth="1"/>
    <col min="15363" max="15363" width="7.7265625" style="1" customWidth="1"/>
    <col min="15364" max="15364" width="9.54296875" style="1" customWidth="1"/>
    <col min="15365" max="15365" width="7.81640625" style="1" customWidth="1"/>
    <col min="15366" max="15366" width="10.7265625" style="1" customWidth="1"/>
    <col min="15367" max="15367" width="9.26953125" style="1"/>
    <col min="15368" max="15368" width="34" style="1" customWidth="1"/>
    <col min="15369" max="15616" width="9.26953125" style="1"/>
    <col min="15617" max="15617" width="5.7265625" style="1" customWidth="1"/>
    <col min="15618" max="15618" width="43.81640625" style="1" customWidth="1"/>
    <col min="15619" max="15619" width="7.7265625" style="1" customWidth="1"/>
    <col min="15620" max="15620" width="9.54296875" style="1" customWidth="1"/>
    <col min="15621" max="15621" width="7.81640625" style="1" customWidth="1"/>
    <col min="15622" max="15622" width="10.7265625" style="1" customWidth="1"/>
    <col min="15623" max="15623" width="9.26953125" style="1"/>
    <col min="15624" max="15624" width="34" style="1" customWidth="1"/>
    <col min="15625" max="15872" width="9.26953125" style="1"/>
    <col min="15873" max="15873" width="5.7265625" style="1" customWidth="1"/>
    <col min="15874" max="15874" width="43.81640625" style="1" customWidth="1"/>
    <col min="15875" max="15875" width="7.7265625" style="1" customWidth="1"/>
    <col min="15876" max="15876" width="9.54296875" style="1" customWidth="1"/>
    <col min="15877" max="15877" width="7.81640625" style="1" customWidth="1"/>
    <col min="15878" max="15878" width="10.7265625" style="1" customWidth="1"/>
    <col min="15879" max="15879" width="9.26953125" style="1"/>
    <col min="15880" max="15880" width="34" style="1" customWidth="1"/>
    <col min="15881" max="16128" width="9.26953125" style="1"/>
    <col min="16129" max="16129" width="5.7265625" style="1" customWidth="1"/>
    <col min="16130" max="16130" width="43.81640625" style="1" customWidth="1"/>
    <col min="16131" max="16131" width="7.7265625" style="1" customWidth="1"/>
    <col min="16132" max="16132" width="9.54296875" style="1" customWidth="1"/>
    <col min="16133" max="16133" width="7.81640625" style="1" customWidth="1"/>
    <col min="16134" max="16134" width="10.7265625" style="1" customWidth="1"/>
    <col min="16135" max="16135" width="9.26953125" style="1"/>
    <col min="16136" max="16136" width="34" style="1" customWidth="1"/>
    <col min="16137" max="16384" width="9.26953125" style="1"/>
  </cols>
  <sheetData>
    <row r="1" spans="1:7">
      <c r="A1" s="115"/>
      <c r="B1" s="115"/>
      <c r="C1" s="115"/>
      <c r="D1" s="115"/>
      <c r="E1" s="115"/>
      <c r="F1" s="115"/>
      <c r="G1" s="95"/>
    </row>
    <row r="2" spans="1:7">
      <c r="A2" s="551" t="s">
        <v>706</v>
      </c>
      <c r="B2" s="552"/>
      <c r="C2" s="552"/>
      <c r="D2" s="552"/>
      <c r="E2" s="552"/>
      <c r="F2" s="553"/>
    </row>
    <row r="3" spans="1:7">
      <c r="A3" s="555" t="s">
        <v>462</v>
      </c>
      <c r="B3" s="555"/>
      <c r="C3" s="555"/>
      <c r="D3" s="555"/>
      <c r="E3" s="555"/>
      <c r="F3" s="555"/>
    </row>
    <row r="4" spans="1:7">
      <c r="A4" s="112" t="s">
        <v>98</v>
      </c>
      <c r="B4" s="112" t="s">
        <v>99</v>
      </c>
      <c r="C4" s="112" t="s">
        <v>100</v>
      </c>
      <c r="D4" s="113" t="s">
        <v>101</v>
      </c>
      <c r="E4" s="112" t="s">
        <v>102</v>
      </c>
      <c r="F4" s="112" t="s">
        <v>103</v>
      </c>
    </row>
    <row r="5" spans="1:7">
      <c r="A5" s="101"/>
      <c r="B5" s="101"/>
      <c r="C5" s="101"/>
      <c r="D5" s="114"/>
      <c r="E5" s="101"/>
      <c r="F5" s="101"/>
    </row>
    <row r="6" spans="1:7">
      <c r="A6" s="101"/>
      <c r="B6" s="101"/>
      <c r="C6" s="101"/>
      <c r="D6" s="114"/>
      <c r="E6" s="101"/>
      <c r="F6" s="101"/>
    </row>
    <row r="7" spans="1:7" ht="15" thickBot="1">
      <c r="A7" s="102" t="s">
        <v>53</v>
      </c>
      <c r="B7" s="560" t="s">
        <v>356</v>
      </c>
      <c r="C7" s="560"/>
      <c r="D7" s="560"/>
      <c r="E7" s="560"/>
      <c r="F7" s="560"/>
    </row>
    <row r="8" spans="1:7">
      <c r="A8" s="115"/>
      <c r="B8" s="116"/>
      <c r="C8" s="117"/>
      <c r="D8" s="81"/>
      <c r="E8" s="118"/>
      <c r="F8" s="103"/>
    </row>
    <row r="9" spans="1:7" ht="14.5">
      <c r="A9" s="110"/>
      <c r="B9" s="323" t="s">
        <v>75</v>
      </c>
      <c r="C9" s="120"/>
      <c r="D9" s="200"/>
      <c r="E9" s="133"/>
      <c r="F9" s="201"/>
    </row>
    <row r="10" spans="1:7" ht="14.5">
      <c r="A10" s="110"/>
      <c r="B10" s="323"/>
      <c r="C10" s="120"/>
      <c r="D10" s="200"/>
      <c r="E10" s="133"/>
      <c r="F10" s="201"/>
    </row>
    <row r="11" spans="1:7" ht="132.65" customHeight="1">
      <c r="A11" s="110"/>
      <c r="B11" s="556" t="s">
        <v>463</v>
      </c>
      <c r="C11" s="556"/>
      <c r="D11" s="556"/>
      <c r="E11" s="556"/>
      <c r="F11" s="201"/>
    </row>
    <row r="12" spans="1:7">
      <c r="A12" s="110"/>
      <c r="B12" s="107"/>
      <c r="C12" s="107"/>
      <c r="D12" s="125"/>
      <c r="E12" s="107"/>
      <c r="F12" s="201"/>
    </row>
    <row r="13" spans="1:7" ht="205.15" customHeight="1">
      <c r="A13" s="110"/>
      <c r="B13" s="556" t="s">
        <v>796</v>
      </c>
      <c r="C13" s="556"/>
      <c r="D13" s="556"/>
      <c r="E13" s="556"/>
      <c r="F13" s="201"/>
    </row>
    <row r="14" spans="1:7" ht="24.75" customHeight="1">
      <c r="A14" s="110"/>
      <c r="B14" s="556" t="s">
        <v>304</v>
      </c>
      <c r="C14" s="556"/>
      <c r="D14" s="556"/>
      <c r="E14" s="556"/>
      <c r="F14" s="201"/>
    </row>
    <row r="15" spans="1:7">
      <c r="A15" s="110"/>
      <c r="B15" s="107"/>
      <c r="C15" s="107"/>
      <c r="D15" s="125"/>
      <c r="E15" s="107"/>
      <c r="F15" s="201"/>
    </row>
    <row r="16" spans="1:7" ht="60.75" customHeight="1">
      <c r="A16" s="110"/>
      <c r="B16" s="556" t="s">
        <v>359</v>
      </c>
      <c r="C16" s="556"/>
      <c r="D16" s="556"/>
      <c r="E16" s="556"/>
      <c r="F16" s="201"/>
    </row>
    <row r="17" spans="1:6">
      <c r="A17" s="110"/>
      <c r="B17" s="107"/>
      <c r="C17" s="107"/>
      <c r="D17" s="125"/>
      <c r="E17" s="107"/>
      <c r="F17" s="201"/>
    </row>
    <row r="18" spans="1:6" ht="102" customHeight="1">
      <c r="A18" s="110"/>
      <c r="B18" s="556" t="s">
        <v>751</v>
      </c>
      <c r="C18" s="556"/>
      <c r="D18" s="556"/>
      <c r="E18" s="556"/>
      <c r="F18" s="201"/>
    </row>
    <row r="19" spans="1:6">
      <c r="A19" s="110"/>
      <c r="B19" s="107"/>
      <c r="C19" s="107"/>
      <c r="D19" s="125"/>
      <c r="E19" s="107"/>
      <c r="F19" s="201"/>
    </row>
    <row r="20" spans="1:6" ht="12" customHeight="1">
      <c r="A20" s="110"/>
      <c r="B20" s="576" t="s">
        <v>361</v>
      </c>
      <c r="C20" s="576"/>
      <c r="D20" s="576"/>
      <c r="E20" s="576"/>
      <c r="F20" s="201"/>
    </row>
    <row r="21" spans="1:6">
      <c r="A21" s="110"/>
      <c r="B21" s="107"/>
      <c r="C21" s="107"/>
      <c r="D21" s="125"/>
      <c r="E21" s="107"/>
      <c r="F21" s="201"/>
    </row>
    <row r="22" spans="1:6" ht="48" customHeight="1">
      <c r="A22" s="110"/>
      <c r="B22" s="556" t="s">
        <v>362</v>
      </c>
      <c r="C22" s="556"/>
      <c r="D22" s="556"/>
      <c r="E22" s="556"/>
      <c r="F22" s="201"/>
    </row>
    <row r="23" spans="1:6">
      <c r="A23" s="110"/>
      <c r="B23" s="107"/>
      <c r="C23" s="107"/>
      <c r="D23" s="125"/>
      <c r="E23" s="107"/>
      <c r="F23" s="201"/>
    </row>
    <row r="24" spans="1:6" ht="115.9" customHeight="1">
      <c r="A24" s="110"/>
      <c r="B24" s="556" t="s">
        <v>795</v>
      </c>
      <c r="C24" s="556"/>
      <c r="D24" s="556"/>
      <c r="E24" s="556"/>
      <c r="F24" s="201"/>
    </row>
    <row r="25" spans="1:6">
      <c r="A25" s="110"/>
      <c r="B25" s="107"/>
      <c r="C25" s="107"/>
      <c r="D25" s="125"/>
      <c r="E25" s="107"/>
      <c r="F25" s="201"/>
    </row>
    <row r="26" spans="1:6" ht="84.75" customHeight="1">
      <c r="A26" s="110"/>
      <c r="B26" s="556" t="s">
        <v>364</v>
      </c>
      <c r="C26" s="556"/>
      <c r="D26" s="556"/>
      <c r="E26" s="556"/>
      <c r="F26" s="201"/>
    </row>
    <row r="27" spans="1:6" ht="48.75" customHeight="1">
      <c r="A27" s="110"/>
      <c r="B27" s="556" t="s">
        <v>365</v>
      </c>
      <c r="C27" s="556"/>
      <c r="D27" s="556"/>
      <c r="E27" s="556"/>
      <c r="F27" s="201"/>
    </row>
    <row r="28" spans="1:6">
      <c r="A28" s="110"/>
      <c r="B28" s="107"/>
      <c r="C28" s="107"/>
      <c r="D28" s="125"/>
      <c r="E28" s="107"/>
      <c r="F28" s="201"/>
    </row>
    <row r="29" spans="1:6" ht="62.25" customHeight="1">
      <c r="A29" s="110"/>
      <c r="B29" s="556" t="s">
        <v>366</v>
      </c>
      <c r="C29" s="556"/>
      <c r="D29" s="556"/>
      <c r="E29" s="556"/>
      <c r="F29" s="201"/>
    </row>
    <row r="30" spans="1:6">
      <c r="A30" s="110"/>
      <c r="B30" s="107"/>
      <c r="C30" s="107"/>
      <c r="D30" s="125"/>
      <c r="E30" s="107"/>
      <c r="F30" s="201"/>
    </row>
    <row r="31" spans="1:6" ht="24.75" customHeight="1">
      <c r="A31" s="110"/>
      <c r="B31" s="556" t="s">
        <v>310</v>
      </c>
      <c r="C31" s="556"/>
      <c r="D31" s="556"/>
      <c r="E31" s="556"/>
      <c r="F31" s="201"/>
    </row>
    <row r="32" spans="1:6">
      <c r="A32" s="110"/>
      <c r="B32" s="107"/>
      <c r="C32" s="107"/>
      <c r="D32" s="125"/>
      <c r="E32" s="107"/>
      <c r="F32" s="201"/>
    </row>
    <row r="33" spans="1:9" ht="94.5" customHeight="1">
      <c r="A33" s="110"/>
      <c r="B33" s="556" t="s">
        <v>522</v>
      </c>
      <c r="C33" s="556"/>
      <c r="D33" s="556"/>
      <c r="E33" s="556"/>
      <c r="F33" s="201"/>
      <c r="G33" s="126"/>
    </row>
    <row r="34" spans="1:9">
      <c r="A34" s="110"/>
      <c r="B34" s="107"/>
      <c r="C34" s="107"/>
      <c r="D34" s="107"/>
      <c r="E34" s="107"/>
      <c r="F34" s="201"/>
      <c r="G34" s="126"/>
    </row>
    <row r="35" spans="1:9">
      <c r="A35" s="106" t="s">
        <v>119</v>
      </c>
      <c r="B35" s="199" t="s">
        <v>464</v>
      </c>
      <c r="C35" s="107"/>
      <c r="D35" s="107"/>
      <c r="E35" s="107"/>
      <c r="F35" s="201"/>
      <c r="G35" s="126"/>
    </row>
    <row r="36" spans="1:9" ht="120.65" customHeight="1">
      <c r="A36" s="106"/>
      <c r="B36" s="79" t="s">
        <v>465</v>
      </c>
      <c r="C36" s="109"/>
      <c r="D36" s="132"/>
      <c r="E36" s="104"/>
      <c r="F36" s="87"/>
      <c r="G36" s="126"/>
    </row>
    <row r="37" spans="1:9">
      <c r="A37" s="110"/>
      <c r="B37" s="192"/>
      <c r="C37" s="410" t="s">
        <v>135</v>
      </c>
      <c r="D37" s="105">
        <v>54</v>
      </c>
      <c r="E37" s="104"/>
      <c r="F37" s="193">
        <f>ROUND(D37*E37,2)</f>
        <v>0</v>
      </c>
      <c r="G37" s="126"/>
      <c r="H37" s="146"/>
    </row>
    <row r="38" spans="1:9">
      <c r="A38" s="110"/>
      <c r="B38" s="192"/>
      <c r="C38" s="410"/>
      <c r="D38" s="105"/>
      <c r="E38" s="104"/>
      <c r="F38" s="193"/>
      <c r="G38" s="126"/>
      <c r="H38" s="146"/>
    </row>
    <row r="39" spans="1:9">
      <c r="A39" s="107" t="s">
        <v>122</v>
      </c>
      <c r="B39" s="199" t="s">
        <v>466</v>
      </c>
      <c r="C39" s="107"/>
      <c r="D39" s="107"/>
      <c r="E39" s="488"/>
      <c r="F39" s="193"/>
      <c r="G39" s="126"/>
    </row>
    <row r="40" spans="1:9" ht="309.64999999999998" customHeight="1">
      <c r="A40" s="106"/>
      <c r="B40" s="79" t="s">
        <v>467</v>
      </c>
      <c r="C40" s="109"/>
      <c r="D40" s="132"/>
      <c r="E40" s="104"/>
      <c r="F40" s="193"/>
      <c r="G40" s="126"/>
    </row>
    <row r="41" spans="1:9">
      <c r="A41" s="110"/>
      <c r="B41" s="192"/>
      <c r="C41" s="410" t="s">
        <v>135</v>
      </c>
      <c r="D41" s="105">
        <v>64</v>
      </c>
      <c r="E41" s="104"/>
      <c r="F41" s="193">
        <f t="shared" ref="F41:F49" si="0">ROUND(D41*E41,2)</f>
        <v>0</v>
      </c>
      <c r="G41" s="126"/>
      <c r="H41" s="104"/>
    </row>
    <row r="42" spans="1:9">
      <c r="A42" s="107" t="s">
        <v>127</v>
      </c>
      <c r="B42" s="211" t="s">
        <v>468</v>
      </c>
      <c r="C42" s="108"/>
      <c r="D42" s="411"/>
      <c r="E42" s="259"/>
      <c r="F42" s="193"/>
      <c r="G42" s="201"/>
      <c r="H42" s="212"/>
    </row>
    <row r="43" spans="1:9" ht="72">
      <c r="A43" s="110"/>
      <c r="B43" s="79" t="s">
        <v>469</v>
      </c>
      <c r="C43" s="108"/>
      <c r="D43" s="86"/>
      <c r="E43" s="259"/>
      <c r="F43" s="193"/>
      <c r="G43" s="201"/>
      <c r="H43" s="212"/>
    </row>
    <row r="44" spans="1:9" ht="18.649999999999999" customHeight="1">
      <c r="A44" s="110"/>
      <c r="B44" s="197"/>
      <c r="C44" s="108" t="s">
        <v>248</v>
      </c>
      <c r="D44" s="86">
        <f>3.22*16</f>
        <v>51.52</v>
      </c>
      <c r="E44" s="104"/>
      <c r="F44" s="193">
        <f t="shared" si="0"/>
        <v>0</v>
      </c>
      <c r="H44" s="212"/>
      <c r="I44" s="104"/>
    </row>
    <row r="45" spans="1:9" ht="13.5" customHeight="1">
      <c r="A45" s="110"/>
      <c r="B45" s="210"/>
      <c r="C45" s="108"/>
      <c r="D45" s="86"/>
      <c r="E45" s="104"/>
      <c r="F45" s="193"/>
      <c r="H45" s="212"/>
      <c r="I45" s="104"/>
    </row>
    <row r="46" spans="1:9" ht="13.5" customHeight="1">
      <c r="A46" s="110" t="s">
        <v>131</v>
      </c>
      <c r="B46" s="310" t="s">
        <v>547</v>
      </c>
      <c r="C46" s="108"/>
      <c r="D46" s="86"/>
      <c r="E46" s="104"/>
      <c r="F46" s="193"/>
      <c r="H46" s="212"/>
      <c r="I46" s="104"/>
    </row>
    <row r="47" spans="1:9" ht="24">
      <c r="A47" s="110"/>
      <c r="B47" s="79" t="s">
        <v>548</v>
      </c>
      <c r="C47" s="108"/>
      <c r="D47" s="86"/>
      <c r="E47" s="104"/>
      <c r="F47" s="193"/>
      <c r="H47" s="212"/>
      <c r="I47" s="104"/>
    </row>
    <row r="48" spans="1:9" ht="24">
      <c r="A48" s="110"/>
      <c r="B48" s="79" t="s">
        <v>549</v>
      </c>
      <c r="C48" s="108"/>
      <c r="D48" s="86"/>
      <c r="E48" s="104"/>
      <c r="F48" s="193"/>
      <c r="H48" s="212"/>
      <c r="I48" s="104"/>
    </row>
    <row r="49" spans="1:9" ht="13.5" customHeight="1">
      <c r="A49" s="110"/>
      <c r="B49" s="210"/>
      <c r="C49" s="108" t="s">
        <v>135</v>
      </c>
      <c r="D49" s="86">
        <v>17</v>
      </c>
      <c r="E49" s="104"/>
      <c r="F49" s="193">
        <f t="shared" si="0"/>
        <v>0</v>
      </c>
      <c r="H49" s="212"/>
      <c r="I49" s="104"/>
    </row>
    <row r="50" spans="1:9">
      <c r="A50" s="110"/>
      <c r="B50" s="192"/>
      <c r="C50" s="410"/>
      <c r="D50" s="105"/>
      <c r="E50" s="104"/>
      <c r="F50" s="193"/>
      <c r="G50" s="126"/>
      <c r="H50" s="104"/>
    </row>
    <row r="51" spans="1:9" ht="14.5" thickBot="1"/>
    <row r="52" spans="1:9" ht="14.5" thickBot="1">
      <c r="A52" s="438" t="s">
        <v>53</v>
      </c>
      <c r="B52" s="439" t="s">
        <v>375</v>
      </c>
      <c r="C52" s="440"/>
      <c r="D52" s="458"/>
      <c r="E52" s="446" t="s">
        <v>507</v>
      </c>
      <c r="F52" s="443">
        <f>F41+F37+F44+F49</f>
        <v>0</v>
      </c>
    </row>
  </sheetData>
  <sheetProtection algorithmName="SHA-512" hashValue="rtqv/sx8veWEewRGbU3v6rKvQ42Vr0b41P/HQOofae6Tutnw3L3sWiWrPC3konVB12M9jfFH0P+2rVp6m13atw==" saltValue="FVEc0ICqOdymcvvyBIbnHA==" spinCount="100000" sheet="1" objects="1" scenarios="1"/>
  <mergeCells count="16">
    <mergeCell ref="B14:E14"/>
    <mergeCell ref="A2:F2"/>
    <mergeCell ref="A3:F3"/>
    <mergeCell ref="B7:F7"/>
    <mergeCell ref="B11:E11"/>
    <mergeCell ref="B13:E13"/>
    <mergeCell ref="B27:E27"/>
    <mergeCell ref="B29:E29"/>
    <mergeCell ref="B31:E31"/>
    <mergeCell ref="B33:E33"/>
    <mergeCell ref="B16:E16"/>
    <mergeCell ref="B18:E18"/>
    <mergeCell ref="B20:E20"/>
    <mergeCell ref="B22:E22"/>
    <mergeCell ref="B24:E24"/>
    <mergeCell ref="B26:E26"/>
  </mergeCells>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2" manualBreakCount="2">
    <brk id="34" max="5" man="1"/>
    <brk id="45" max="5"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8"/>
  <dimension ref="A1:K97"/>
  <sheetViews>
    <sheetView view="pageBreakPreview" topLeftCell="A90" zoomScale="136" zoomScaleNormal="100" zoomScaleSheetLayoutView="136" workbookViewId="0">
      <selection activeCell="E94" sqref="E70:E94"/>
    </sheetView>
  </sheetViews>
  <sheetFormatPr defaultColWidth="9.26953125" defaultRowHeight="14"/>
  <cols>
    <col min="1" max="1" width="5.54296875" style="1" customWidth="1"/>
    <col min="2" max="2" width="42" style="1" customWidth="1"/>
    <col min="3" max="3" width="7.54296875" style="128" customWidth="1"/>
    <col min="4" max="4" width="10.54296875" style="129" customWidth="1"/>
    <col min="5" max="5" width="10.54296875" style="1" customWidth="1"/>
    <col min="6" max="6" width="10.54296875" style="95" customWidth="1"/>
    <col min="7" max="8" width="9.26953125" style="1"/>
    <col min="9" max="9" width="56.453125" style="1" customWidth="1"/>
    <col min="10" max="16384" width="9.26953125" style="1"/>
  </cols>
  <sheetData>
    <row r="1" spans="1:7">
      <c r="A1" s="583"/>
      <c r="B1" s="583"/>
      <c r="C1" s="583"/>
      <c r="D1" s="583"/>
      <c r="E1" s="583"/>
      <c r="F1" s="583"/>
      <c r="G1" s="95"/>
    </row>
    <row r="2" spans="1:7">
      <c r="A2" s="551" t="s">
        <v>706</v>
      </c>
      <c r="B2" s="552"/>
      <c r="C2" s="552"/>
      <c r="D2" s="552"/>
      <c r="E2" s="552"/>
      <c r="F2" s="553"/>
    </row>
    <row r="3" spans="1:7" ht="14.5">
      <c r="A3" s="133" t="s">
        <v>470</v>
      </c>
      <c r="B3" s="133"/>
      <c r="C3" s="205"/>
      <c r="D3" s="200"/>
      <c r="E3" s="133"/>
      <c r="F3" s="203"/>
    </row>
    <row r="4" spans="1:7">
      <c r="A4" s="112" t="s">
        <v>98</v>
      </c>
      <c r="B4" s="112" t="s">
        <v>99</v>
      </c>
      <c r="C4" s="112" t="s">
        <v>100</v>
      </c>
      <c r="D4" s="113" t="s">
        <v>101</v>
      </c>
      <c r="E4" s="112" t="s">
        <v>102</v>
      </c>
      <c r="F4" s="112" t="s">
        <v>103</v>
      </c>
    </row>
    <row r="5" spans="1:7">
      <c r="A5" s="101"/>
      <c r="B5" s="101"/>
      <c r="C5" s="101"/>
      <c r="D5" s="114"/>
      <c r="E5" s="101"/>
      <c r="F5" s="101"/>
    </row>
    <row r="6" spans="1:7">
      <c r="A6" s="101"/>
      <c r="B6" s="101"/>
      <c r="C6" s="101"/>
      <c r="D6" s="114"/>
      <c r="E6" s="101"/>
      <c r="F6" s="101"/>
    </row>
    <row r="7" spans="1:7" ht="15" thickBot="1">
      <c r="A7" s="102" t="s">
        <v>55</v>
      </c>
      <c r="B7" s="560" t="s">
        <v>471</v>
      </c>
      <c r="C7" s="560"/>
      <c r="D7" s="560"/>
      <c r="E7" s="560"/>
      <c r="F7" s="560"/>
    </row>
    <row r="8" spans="1:7">
      <c r="A8" s="115"/>
      <c r="B8" s="404"/>
      <c r="C8" s="117"/>
      <c r="D8" s="81"/>
      <c r="E8" s="118"/>
      <c r="F8" s="103"/>
    </row>
    <row r="9" spans="1:7" ht="20.25" customHeight="1">
      <c r="A9" s="577" t="s">
        <v>75</v>
      </c>
      <c r="B9" s="577"/>
      <c r="C9" s="328"/>
      <c r="D9" s="296"/>
      <c r="E9" s="297"/>
      <c r="F9" s="204"/>
    </row>
    <row r="10" spans="1:7" ht="14.5">
      <c r="A10" s="351"/>
      <c r="B10" s="351"/>
      <c r="C10" s="328"/>
      <c r="D10" s="296"/>
      <c r="E10" s="297"/>
      <c r="F10" s="204"/>
    </row>
    <row r="11" spans="1:7" ht="68.25" customHeight="1">
      <c r="A11" s="556" t="s">
        <v>748</v>
      </c>
      <c r="B11" s="583"/>
      <c r="C11" s="583"/>
      <c r="D11" s="583"/>
      <c r="E11" s="583"/>
      <c r="F11" s="204"/>
    </row>
    <row r="12" spans="1:7" ht="14.5">
      <c r="A12" s="351"/>
      <c r="B12" s="351"/>
      <c r="C12" s="328"/>
      <c r="D12" s="296"/>
      <c r="E12" s="297"/>
      <c r="F12" s="204"/>
    </row>
    <row r="13" spans="1:7" ht="78.75" customHeight="1">
      <c r="A13" s="556" t="s">
        <v>747</v>
      </c>
      <c r="B13" s="582"/>
      <c r="C13" s="582"/>
      <c r="D13" s="582"/>
      <c r="E13" s="582"/>
      <c r="F13" s="204"/>
    </row>
    <row r="14" spans="1:7" ht="14.5">
      <c r="A14" s="351"/>
      <c r="B14" s="351"/>
      <c r="C14" s="328"/>
      <c r="D14" s="296"/>
      <c r="E14" s="297"/>
      <c r="F14" s="204"/>
    </row>
    <row r="15" spans="1:7" ht="107.25" customHeight="1">
      <c r="A15" s="556" t="s">
        <v>472</v>
      </c>
      <c r="B15" s="582"/>
      <c r="C15" s="582"/>
      <c r="D15" s="582"/>
      <c r="E15" s="582"/>
      <c r="F15" s="204"/>
    </row>
    <row r="16" spans="1:7" ht="14.5">
      <c r="A16" s="351"/>
      <c r="B16" s="351"/>
      <c r="C16" s="328"/>
      <c r="D16" s="296"/>
      <c r="E16" s="297"/>
      <c r="F16" s="204"/>
    </row>
    <row r="17" spans="1:6" ht="63.75" customHeight="1">
      <c r="A17" s="556" t="s">
        <v>473</v>
      </c>
      <c r="B17" s="582"/>
      <c r="C17" s="582"/>
      <c r="D17" s="582"/>
      <c r="E17" s="582"/>
      <c r="F17" s="204"/>
    </row>
    <row r="18" spans="1:6" ht="14.5">
      <c r="A18" s="351"/>
      <c r="B18" s="351"/>
      <c r="C18" s="328"/>
      <c r="D18" s="296"/>
      <c r="E18" s="297"/>
      <c r="F18" s="204"/>
    </row>
    <row r="19" spans="1:6" ht="39.75" customHeight="1">
      <c r="A19" s="556" t="s">
        <v>474</v>
      </c>
      <c r="B19" s="582"/>
      <c r="C19" s="582"/>
      <c r="D19" s="582"/>
      <c r="E19" s="582"/>
      <c r="F19" s="204"/>
    </row>
    <row r="20" spans="1:6" ht="14.5">
      <c r="A20" s="107"/>
      <c r="B20" s="136"/>
      <c r="C20" s="136"/>
      <c r="D20" s="136"/>
      <c r="E20" s="136"/>
      <c r="F20" s="204"/>
    </row>
    <row r="21" spans="1:6" ht="33" customHeight="1">
      <c r="A21" s="556" t="s">
        <v>475</v>
      </c>
      <c r="B21" s="582"/>
      <c r="C21" s="582"/>
      <c r="D21" s="582"/>
      <c r="E21" s="582"/>
      <c r="F21" s="204"/>
    </row>
    <row r="22" spans="1:6" ht="14.5">
      <c r="A22" s="107"/>
      <c r="B22" s="136"/>
      <c r="C22" s="136"/>
      <c r="D22" s="136"/>
      <c r="E22" s="136"/>
      <c r="F22" s="204"/>
    </row>
    <row r="23" spans="1:6" ht="77.25" customHeight="1">
      <c r="A23" s="556" t="s">
        <v>476</v>
      </c>
      <c r="B23" s="582"/>
      <c r="C23" s="582"/>
      <c r="D23" s="582"/>
      <c r="E23" s="582"/>
      <c r="F23" s="204"/>
    </row>
    <row r="24" spans="1:6" ht="14.5">
      <c r="A24" s="107"/>
      <c r="B24" s="136"/>
      <c r="C24" s="136"/>
      <c r="D24" s="136"/>
      <c r="E24" s="136"/>
      <c r="F24" s="204"/>
    </row>
    <row r="25" spans="1:6" ht="28.5" customHeight="1">
      <c r="A25" s="556" t="s">
        <v>477</v>
      </c>
      <c r="B25" s="582"/>
      <c r="C25" s="582"/>
      <c r="D25" s="582"/>
      <c r="E25" s="582"/>
      <c r="F25" s="204"/>
    </row>
    <row r="26" spans="1:6" ht="14.5">
      <c r="A26" s="107"/>
      <c r="B26" s="136"/>
      <c r="C26" s="136"/>
      <c r="D26" s="136"/>
      <c r="E26" s="136"/>
      <c r="F26" s="204"/>
    </row>
    <row r="27" spans="1:6" ht="14.5">
      <c r="A27" s="556" t="s">
        <v>478</v>
      </c>
      <c r="B27" s="582"/>
      <c r="C27" s="582"/>
      <c r="D27" s="582"/>
      <c r="E27" s="582"/>
      <c r="F27" s="204"/>
    </row>
    <row r="28" spans="1:6" ht="92.25" customHeight="1">
      <c r="A28" s="556" t="s">
        <v>479</v>
      </c>
      <c r="B28" s="582"/>
      <c r="C28" s="582"/>
      <c r="D28" s="582"/>
      <c r="E28" s="582"/>
      <c r="F28" s="204"/>
    </row>
    <row r="29" spans="1:6" ht="14.5">
      <c r="A29" s="107"/>
      <c r="B29" s="136"/>
      <c r="C29" s="136"/>
      <c r="D29" s="136"/>
      <c r="E29" s="136"/>
      <c r="F29" s="204"/>
    </row>
    <row r="30" spans="1:6" ht="87.65" customHeight="1">
      <c r="A30" s="556" t="s">
        <v>480</v>
      </c>
      <c r="B30" s="582"/>
      <c r="C30" s="582"/>
      <c r="D30" s="582"/>
      <c r="E30" s="582"/>
      <c r="F30" s="204"/>
    </row>
    <row r="31" spans="1:6" ht="14.5">
      <c r="A31" s="107"/>
      <c r="B31" s="136"/>
      <c r="C31" s="136"/>
      <c r="D31" s="136"/>
      <c r="E31" s="136"/>
      <c r="F31" s="204"/>
    </row>
    <row r="32" spans="1:6" ht="76.5" customHeight="1">
      <c r="A32" s="556" t="s">
        <v>481</v>
      </c>
      <c r="B32" s="582"/>
      <c r="C32" s="582"/>
      <c r="D32" s="582"/>
      <c r="E32" s="582"/>
      <c r="F32" s="204"/>
    </row>
    <row r="33" spans="1:6" ht="14.5">
      <c r="A33" s="107"/>
      <c r="B33" s="136"/>
      <c r="C33" s="136"/>
      <c r="D33" s="136"/>
      <c r="E33" s="136"/>
      <c r="F33" s="204"/>
    </row>
    <row r="34" spans="1:6" ht="122.25" customHeight="1">
      <c r="A34" s="556" t="s">
        <v>482</v>
      </c>
      <c r="B34" s="582"/>
      <c r="C34" s="582"/>
      <c r="D34" s="582"/>
      <c r="E34" s="582"/>
      <c r="F34" s="204"/>
    </row>
    <row r="35" spans="1:6" ht="14.5">
      <c r="A35" s="107"/>
      <c r="B35" s="136"/>
      <c r="C35" s="136"/>
      <c r="D35" s="136"/>
      <c r="E35" s="136"/>
      <c r="F35" s="204"/>
    </row>
    <row r="36" spans="1:6" ht="14.5">
      <c r="A36" s="556" t="s">
        <v>483</v>
      </c>
      <c r="B36" s="582"/>
      <c r="C36" s="582"/>
      <c r="D36" s="582"/>
      <c r="E36" s="582"/>
      <c r="F36" s="204"/>
    </row>
    <row r="37" spans="1:6" ht="68.25" customHeight="1">
      <c r="A37" s="556" t="s">
        <v>484</v>
      </c>
      <c r="B37" s="582"/>
      <c r="C37" s="582"/>
      <c r="D37" s="582"/>
      <c r="E37" s="582"/>
      <c r="F37" s="204"/>
    </row>
    <row r="38" spans="1:6" ht="14.5">
      <c r="A38" s="107"/>
      <c r="B38" s="136"/>
      <c r="C38" s="136"/>
      <c r="D38" s="136"/>
      <c r="E38" s="136"/>
      <c r="F38" s="204"/>
    </row>
    <row r="39" spans="1:6" ht="106.9" customHeight="1">
      <c r="A39" s="556" t="s">
        <v>485</v>
      </c>
      <c r="B39" s="582"/>
      <c r="C39" s="582"/>
      <c r="D39" s="582"/>
      <c r="E39" s="582"/>
      <c r="F39" s="204"/>
    </row>
    <row r="40" spans="1:6" ht="14.5">
      <c r="A40" s="107"/>
      <c r="B40" s="136"/>
      <c r="C40" s="136"/>
      <c r="D40" s="136"/>
      <c r="E40" s="136"/>
      <c r="F40" s="204"/>
    </row>
    <row r="41" spans="1:6" ht="114" customHeight="1">
      <c r="A41" s="556" t="s">
        <v>486</v>
      </c>
      <c r="B41" s="582"/>
      <c r="C41" s="582"/>
      <c r="D41" s="582"/>
      <c r="E41" s="582"/>
      <c r="F41" s="204"/>
    </row>
    <row r="42" spans="1:6" ht="14.5">
      <c r="A42" s="107"/>
      <c r="B42" s="136"/>
      <c r="C42" s="136"/>
      <c r="D42" s="136"/>
      <c r="E42" s="136"/>
      <c r="F42" s="204"/>
    </row>
    <row r="43" spans="1:6" ht="99.75" customHeight="1">
      <c r="A43" s="556" t="s">
        <v>487</v>
      </c>
      <c r="B43" s="582"/>
      <c r="C43" s="582"/>
      <c r="D43" s="582"/>
      <c r="E43" s="582"/>
      <c r="F43" s="204"/>
    </row>
    <row r="44" spans="1:6" ht="14.5">
      <c r="A44" s="107"/>
      <c r="B44" s="136"/>
      <c r="C44" s="136"/>
      <c r="D44" s="136"/>
      <c r="E44" s="136"/>
      <c r="F44" s="204"/>
    </row>
    <row r="45" spans="1:6" ht="91.5" customHeight="1">
      <c r="A45" s="556" t="s">
        <v>488</v>
      </c>
      <c r="B45" s="582"/>
      <c r="C45" s="582"/>
      <c r="D45" s="582"/>
      <c r="E45" s="582"/>
      <c r="F45" s="204"/>
    </row>
    <row r="46" spans="1:6" ht="14.5">
      <c r="A46" s="107"/>
      <c r="B46" s="136"/>
      <c r="C46" s="136"/>
      <c r="D46" s="136"/>
      <c r="E46" s="136"/>
      <c r="F46" s="204"/>
    </row>
    <row r="47" spans="1:6" ht="78.75" customHeight="1">
      <c r="A47" s="556" t="s">
        <v>489</v>
      </c>
      <c r="B47" s="582"/>
      <c r="C47" s="582"/>
      <c r="D47" s="582"/>
      <c r="E47" s="582"/>
      <c r="F47" s="204"/>
    </row>
    <row r="48" spans="1:6" ht="14.5">
      <c r="A48" s="107"/>
      <c r="B48" s="136"/>
      <c r="C48" s="136"/>
      <c r="D48" s="136"/>
      <c r="E48" s="136"/>
      <c r="F48" s="204"/>
    </row>
    <row r="49" spans="1:6" ht="90" customHeight="1">
      <c r="A49" s="556" t="s">
        <v>490</v>
      </c>
      <c r="B49" s="582"/>
      <c r="C49" s="582"/>
      <c r="D49" s="582"/>
      <c r="E49" s="582"/>
      <c r="F49" s="204"/>
    </row>
    <row r="50" spans="1:6" ht="14.5">
      <c r="A50" s="107"/>
      <c r="B50" s="136"/>
      <c r="C50" s="136"/>
      <c r="D50" s="136"/>
      <c r="E50" s="136"/>
      <c r="F50" s="204"/>
    </row>
    <row r="51" spans="1:6" ht="268.5" customHeight="1">
      <c r="A51" s="556" t="s">
        <v>491</v>
      </c>
      <c r="B51" s="582"/>
      <c r="C51" s="582"/>
      <c r="D51" s="582"/>
      <c r="E51" s="582"/>
      <c r="F51" s="204"/>
    </row>
    <row r="52" spans="1:6" ht="14.5">
      <c r="A52" s="351"/>
      <c r="B52" s="351"/>
      <c r="C52" s="328"/>
      <c r="D52" s="296"/>
      <c r="E52" s="297"/>
      <c r="F52" s="204"/>
    </row>
    <row r="53" spans="1:6" ht="57.75" customHeight="1">
      <c r="A53" s="556" t="s">
        <v>492</v>
      </c>
      <c r="B53" s="556"/>
      <c r="C53" s="556"/>
      <c r="D53" s="556"/>
      <c r="E53" s="556"/>
      <c r="F53" s="204"/>
    </row>
    <row r="54" spans="1:6">
      <c r="A54" s="107"/>
      <c r="B54" s="294"/>
      <c r="C54" s="294"/>
      <c r="D54" s="334"/>
      <c r="E54" s="294"/>
      <c r="F54" s="204"/>
    </row>
    <row r="55" spans="1:6" ht="26.25" customHeight="1">
      <c r="A55" s="556" t="s">
        <v>493</v>
      </c>
      <c r="B55" s="556"/>
      <c r="C55" s="556"/>
      <c r="D55" s="556"/>
      <c r="E55" s="556"/>
      <c r="F55" s="204"/>
    </row>
    <row r="56" spans="1:6">
      <c r="A56" s="107"/>
      <c r="B56" s="294"/>
      <c r="C56" s="294"/>
      <c r="D56" s="334"/>
      <c r="E56" s="294"/>
      <c r="F56" s="204"/>
    </row>
    <row r="57" spans="1:6" ht="27.75" customHeight="1">
      <c r="A57" s="556" t="s">
        <v>494</v>
      </c>
      <c r="B57" s="556"/>
      <c r="C57" s="556"/>
      <c r="D57" s="556"/>
      <c r="E57" s="556"/>
      <c r="F57" s="204"/>
    </row>
    <row r="58" spans="1:6" ht="29.25" customHeight="1">
      <c r="A58" s="556" t="s">
        <v>495</v>
      </c>
      <c r="B58" s="556"/>
      <c r="C58" s="556"/>
      <c r="D58" s="556"/>
      <c r="E58" s="556"/>
      <c r="F58" s="204"/>
    </row>
    <row r="59" spans="1:6">
      <c r="A59" s="107"/>
      <c r="B59" s="294"/>
      <c r="C59" s="294"/>
      <c r="D59" s="334"/>
      <c r="E59" s="294"/>
      <c r="F59" s="204"/>
    </row>
    <row r="60" spans="1:6" ht="84" customHeight="1">
      <c r="A60" s="556" t="s">
        <v>749</v>
      </c>
      <c r="B60" s="556"/>
      <c r="C60" s="556"/>
      <c r="D60" s="556"/>
      <c r="E60" s="556"/>
      <c r="F60" s="204"/>
    </row>
    <row r="61" spans="1:6" ht="14.5">
      <c r="A61" s="107"/>
      <c r="B61" s="352"/>
      <c r="C61" s="352"/>
      <c r="D61" s="371"/>
      <c r="E61" s="352"/>
      <c r="F61" s="204"/>
    </row>
    <row r="62" spans="1:6" ht="114" customHeight="1">
      <c r="A62" s="556" t="s">
        <v>496</v>
      </c>
      <c r="B62" s="556"/>
      <c r="C62" s="556"/>
      <c r="D62" s="556"/>
      <c r="E62" s="556"/>
      <c r="F62" s="204"/>
    </row>
    <row r="63" spans="1:6">
      <c r="A63" s="107"/>
      <c r="B63" s="294"/>
      <c r="C63" s="294"/>
      <c r="D63" s="334"/>
      <c r="E63" s="294"/>
      <c r="F63" s="204"/>
    </row>
    <row r="64" spans="1:6" ht="42" customHeight="1">
      <c r="A64" s="556" t="s">
        <v>497</v>
      </c>
      <c r="B64" s="556"/>
      <c r="C64" s="556"/>
      <c r="D64" s="556"/>
      <c r="E64" s="556"/>
      <c r="F64" s="204"/>
    </row>
    <row r="65" spans="1:11">
      <c r="A65" s="107"/>
      <c r="B65" s="294"/>
      <c r="C65" s="294"/>
      <c r="D65" s="334"/>
      <c r="E65" s="294"/>
      <c r="F65" s="204"/>
      <c r="K65" s="127"/>
    </row>
    <row r="66" spans="1:11" ht="153" customHeight="1">
      <c r="A66" s="556" t="s">
        <v>750</v>
      </c>
      <c r="B66" s="556"/>
      <c r="C66" s="556"/>
      <c r="D66" s="556"/>
      <c r="E66" s="556"/>
      <c r="F66" s="204"/>
    </row>
    <row r="67" spans="1:11">
      <c r="A67" s="326"/>
      <c r="B67" s="199"/>
      <c r="C67" s="199"/>
      <c r="D67" s="296"/>
      <c r="E67" s="372"/>
      <c r="F67" s="204"/>
    </row>
    <row r="68" spans="1:11" ht="36">
      <c r="A68" s="373" t="s">
        <v>119</v>
      </c>
      <c r="B68" s="111" t="s">
        <v>498</v>
      </c>
      <c r="C68" s="199"/>
      <c r="D68" s="81"/>
      <c r="E68" s="372"/>
      <c r="F68" s="204"/>
    </row>
    <row r="69" spans="1:11" ht="123.65" customHeight="1">
      <c r="A69" s="133"/>
      <c r="B69" s="79" t="s">
        <v>556</v>
      </c>
      <c r="C69" s="108"/>
      <c r="D69" s="81"/>
      <c r="E69" s="104"/>
      <c r="F69" s="105"/>
    </row>
    <row r="70" spans="1:11" s="216" customFormat="1" ht="12">
      <c r="A70" s="110"/>
      <c r="B70" s="421" t="s">
        <v>735</v>
      </c>
      <c r="C70" s="422" t="s">
        <v>135</v>
      </c>
      <c r="D70" s="105">
        <v>11</v>
      </c>
      <c r="E70" s="104"/>
      <c r="F70" s="201">
        <f>ROUND(D70*E70,2)</f>
        <v>0</v>
      </c>
      <c r="G70" s="105"/>
      <c r="H70" s="215"/>
    </row>
    <row r="71" spans="1:11" s="216" customFormat="1" ht="12">
      <c r="A71" s="110"/>
      <c r="B71" s="421" t="s">
        <v>736</v>
      </c>
      <c r="C71" s="422" t="s">
        <v>135</v>
      </c>
      <c r="D71" s="105">
        <v>4</v>
      </c>
      <c r="E71" s="104"/>
      <c r="F71" s="201">
        <f t="shared" ref="F71:F81" si="0">ROUND(D71*E71,2)</f>
        <v>0</v>
      </c>
      <c r="G71" s="105"/>
      <c r="H71" s="215"/>
    </row>
    <row r="72" spans="1:11" s="216" customFormat="1" ht="12">
      <c r="A72" s="110"/>
      <c r="B72" s="421" t="s">
        <v>737</v>
      </c>
      <c r="C72" s="422" t="s">
        <v>135</v>
      </c>
      <c r="D72" s="105">
        <v>3</v>
      </c>
      <c r="E72" s="104"/>
      <c r="F72" s="201">
        <f t="shared" si="0"/>
        <v>0</v>
      </c>
      <c r="G72" s="105"/>
      <c r="H72" s="215"/>
    </row>
    <row r="73" spans="1:11" s="216" customFormat="1" ht="12">
      <c r="A73" s="110"/>
      <c r="B73" s="421" t="s">
        <v>738</v>
      </c>
      <c r="C73" s="422" t="s">
        <v>135</v>
      </c>
      <c r="D73" s="105">
        <v>3</v>
      </c>
      <c r="E73" s="104"/>
      <c r="F73" s="201">
        <f t="shared" si="0"/>
        <v>0</v>
      </c>
      <c r="G73" s="105"/>
      <c r="H73" s="215"/>
    </row>
    <row r="74" spans="1:11" s="216" customFormat="1" ht="12">
      <c r="A74" s="110"/>
      <c r="B74" s="421" t="s">
        <v>739</v>
      </c>
      <c r="C74" s="422" t="s">
        <v>135</v>
      </c>
      <c r="D74" s="105">
        <v>3</v>
      </c>
      <c r="E74" s="104"/>
      <c r="F74" s="201">
        <f t="shared" si="0"/>
        <v>0</v>
      </c>
      <c r="G74" s="105"/>
      <c r="H74" s="215"/>
    </row>
    <row r="75" spans="1:11" s="216" customFormat="1" ht="12">
      <c r="A75" s="110"/>
      <c r="B75" s="421" t="s">
        <v>740</v>
      </c>
      <c r="C75" s="422" t="s">
        <v>135</v>
      </c>
      <c r="D75" s="105">
        <v>1</v>
      </c>
      <c r="E75" s="104"/>
      <c r="F75" s="201">
        <f t="shared" si="0"/>
        <v>0</v>
      </c>
      <c r="G75" s="105"/>
      <c r="H75" s="215"/>
    </row>
    <row r="76" spans="1:11" s="216" customFormat="1" ht="12">
      <c r="A76" s="110"/>
      <c r="B76" s="421" t="s">
        <v>741</v>
      </c>
      <c r="C76" s="422" t="s">
        <v>135</v>
      </c>
      <c r="D76" s="105">
        <v>2</v>
      </c>
      <c r="E76" s="104"/>
      <c r="F76" s="201">
        <f t="shared" si="0"/>
        <v>0</v>
      </c>
      <c r="G76" s="105"/>
      <c r="H76" s="215"/>
    </row>
    <row r="77" spans="1:11" s="216" customFormat="1" ht="12">
      <c r="A77" s="110"/>
      <c r="B77" s="421" t="s">
        <v>742</v>
      </c>
      <c r="C77" s="422" t="s">
        <v>135</v>
      </c>
      <c r="D77" s="105">
        <v>3</v>
      </c>
      <c r="E77" s="104"/>
      <c r="F77" s="201">
        <f t="shared" si="0"/>
        <v>0</v>
      </c>
      <c r="G77" s="105"/>
      <c r="H77" s="215"/>
    </row>
    <row r="78" spans="1:11" s="216" customFormat="1" ht="12">
      <c r="A78" s="110"/>
      <c r="B78" s="421" t="s">
        <v>770</v>
      </c>
      <c r="C78" s="422" t="s">
        <v>135</v>
      </c>
      <c r="D78" s="105">
        <v>3</v>
      </c>
      <c r="E78" s="104"/>
      <c r="F78" s="201">
        <f t="shared" si="0"/>
        <v>0</v>
      </c>
      <c r="G78" s="105"/>
      <c r="H78" s="215"/>
    </row>
    <row r="79" spans="1:11" s="216" customFormat="1" ht="12">
      <c r="A79" s="110"/>
      <c r="B79" s="421" t="s">
        <v>743</v>
      </c>
      <c r="C79" s="422" t="s">
        <v>135</v>
      </c>
      <c r="D79" s="105">
        <v>35</v>
      </c>
      <c r="E79" s="104"/>
      <c r="F79" s="201">
        <f t="shared" si="0"/>
        <v>0</v>
      </c>
      <c r="G79" s="105"/>
      <c r="H79" s="215"/>
    </row>
    <row r="80" spans="1:11" s="216" customFormat="1" ht="12">
      <c r="A80" s="110"/>
      <c r="B80" s="421" t="s">
        <v>744</v>
      </c>
      <c r="C80" s="422" t="s">
        <v>135</v>
      </c>
      <c r="D80" s="105">
        <v>5</v>
      </c>
      <c r="E80" s="104"/>
      <c r="F80" s="201">
        <f t="shared" si="0"/>
        <v>0</v>
      </c>
      <c r="G80" s="105"/>
      <c r="H80" s="215"/>
    </row>
    <row r="81" spans="1:10" s="216" customFormat="1" ht="12">
      <c r="A81" s="110"/>
      <c r="B81" s="421" t="s">
        <v>745</v>
      </c>
      <c r="C81" s="461" t="s">
        <v>135</v>
      </c>
      <c r="D81" s="462">
        <v>1</v>
      </c>
      <c r="E81" s="428"/>
      <c r="F81" s="423">
        <f t="shared" si="0"/>
        <v>0</v>
      </c>
      <c r="G81" s="105"/>
      <c r="H81" s="215"/>
    </row>
    <row r="82" spans="1:10" s="126" customFormat="1">
      <c r="A82" s="198"/>
      <c r="B82" s="197"/>
      <c r="C82" s="86"/>
      <c r="D82" s="86"/>
      <c r="E82" s="104"/>
      <c r="F82" s="193">
        <f>SUM(F70:F81)</f>
        <v>0</v>
      </c>
    </row>
    <row r="83" spans="1:10">
      <c r="A83" s="110"/>
      <c r="B83" s="192"/>
      <c r="C83" s="108"/>
      <c r="D83" s="81"/>
      <c r="E83" s="104"/>
      <c r="F83" s="135"/>
      <c r="H83" s="194"/>
      <c r="J83" s="305"/>
    </row>
    <row r="84" spans="1:10">
      <c r="A84" s="463" t="s">
        <v>122</v>
      </c>
      <c r="B84" s="237" t="s">
        <v>499</v>
      </c>
      <c r="C84" s="108"/>
      <c r="D84" s="105"/>
      <c r="E84" s="104"/>
      <c r="F84" s="135"/>
    </row>
    <row r="85" spans="1:10" ht="84" customHeight="1">
      <c r="A85" s="133"/>
      <c r="B85" s="79" t="s">
        <v>500</v>
      </c>
      <c r="C85" s="108"/>
      <c r="D85" s="105"/>
      <c r="E85" s="104"/>
      <c r="F85" s="135"/>
    </row>
    <row r="86" spans="1:10" ht="14.5">
      <c r="A86" s="133"/>
      <c r="B86" s="197"/>
      <c r="C86" s="108" t="s">
        <v>225</v>
      </c>
      <c r="D86" s="105">
        <v>450</v>
      </c>
      <c r="E86" s="104"/>
      <c r="F86" s="135">
        <f>ROUND(D86*E86,2)</f>
        <v>0</v>
      </c>
    </row>
    <row r="87" spans="1:10" ht="14.5">
      <c r="A87" s="133"/>
      <c r="B87" s="197"/>
      <c r="C87" s="108"/>
      <c r="D87" s="105"/>
      <c r="E87" s="104"/>
      <c r="F87" s="135"/>
    </row>
    <row r="88" spans="1:10">
      <c r="A88" s="196" t="s">
        <v>127</v>
      </c>
      <c r="B88" s="137" t="s">
        <v>501</v>
      </c>
      <c r="C88" s="108"/>
      <c r="D88" s="105"/>
      <c r="E88" s="104"/>
      <c r="F88" s="135"/>
    </row>
    <row r="89" spans="1:10" ht="67.5" customHeight="1">
      <c r="A89" s="133"/>
      <c r="B89" s="79" t="s">
        <v>746</v>
      </c>
      <c r="C89" s="108"/>
      <c r="D89" s="105"/>
      <c r="E89" s="104"/>
      <c r="F89" s="135"/>
    </row>
    <row r="90" spans="1:10" ht="14.5">
      <c r="A90" s="133"/>
      <c r="B90" s="197"/>
      <c r="C90" s="108" t="s">
        <v>225</v>
      </c>
      <c r="D90" s="105">
        <v>180</v>
      </c>
      <c r="E90" s="104"/>
      <c r="F90" s="135">
        <f t="shared" ref="F90:F94" si="1">ROUND(D90*E90,2)</f>
        <v>0</v>
      </c>
    </row>
    <row r="91" spans="1:10" ht="14.5">
      <c r="A91" s="133"/>
      <c r="B91" s="197"/>
      <c r="C91" s="108"/>
      <c r="D91" s="105"/>
      <c r="E91" s="104"/>
      <c r="F91" s="135"/>
    </row>
    <row r="92" spans="1:10">
      <c r="A92" s="115" t="s">
        <v>131</v>
      </c>
      <c r="B92" s="137" t="s">
        <v>502</v>
      </c>
      <c r="C92" s="108"/>
      <c r="D92" s="105"/>
      <c r="E92" s="104"/>
      <c r="F92" s="135"/>
    </row>
    <row r="93" spans="1:10" ht="48">
      <c r="A93" s="133"/>
      <c r="B93" s="79" t="s">
        <v>804</v>
      </c>
      <c r="C93" s="108"/>
      <c r="D93" s="105"/>
      <c r="E93" s="104"/>
      <c r="F93" s="135"/>
    </row>
    <row r="94" spans="1:10" ht="14.5">
      <c r="A94" s="133"/>
      <c r="B94" s="197"/>
      <c r="C94" s="108" t="s">
        <v>225</v>
      </c>
      <c r="D94" s="105">
        <v>580</v>
      </c>
      <c r="E94" s="104"/>
      <c r="F94" s="135">
        <f t="shared" si="1"/>
        <v>0</v>
      </c>
    </row>
    <row r="95" spans="1:10" ht="14.5" thickBot="1"/>
    <row r="96" spans="1:10" ht="14.5" thickBot="1">
      <c r="A96" s="241" t="s">
        <v>55</v>
      </c>
      <c r="B96" s="459" t="s">
        <v>471</v>
      </c>
      <c r="C96" s="243"/>
      <c r="D96" s="202"/>
      <c r="E96" s="361" t="s">
        <v>507</v>
      </c>
      <c r="F96" s="460">
        <f>SUM(F82+F86+F90+F94)</f>
        <v>0</v>
      </c>
    </row>
    <row r="97" spans="4:4">
      <c r="D97" s="130"/>
    </row>
  </sheetData>
  <sheetProtection algorithmName="SHA-512" hashValue="VMmhfCf5vHd1zXtnCHCOTOLvxUxTbtV6LhjmLjMLJtzeqFd0rGsYcy9abRq07lfLSm83nt/RVLFETkAMkxHj3Q==" saltValue="6mxyReTSWf2fOteFGOMpXA==" spinCount="100000" sheet="1" objects="1" scenarios="1"/>
  <mergeCells count="34">
    <mergeCell ref="A17:E17"/>
    <mergeCell ref="A1:F1"/>
    <mergeCell ref="A23:E23"/>
    <mergeCell ref="A25:E25"/>
    <mergeCell ref="A19:E19"/>
    <mergeCell ref="A2:F2"/>
    <mergeCell ref="B7:F7"/>
    <mergeCell ref="A9:B9"/>
    <mergeCell ref="A11:E11"/>
    <mergeCell ref="A13:E13"/>
    <mergeCell ref="A15:E15"/>
    <mergeCell ref="A21:E21"/>
    <mergeCell ref="A55:E55"/>
    <mergeCell ref="A27:E27"/>
    <mergeCell ref="A28:E28"/>
    <mergeCell ref="A30:E30"/>
    <mergeCell ref="A49:E49"/>
    <mergeCell ref="A41:E41"/>
    <mergeCell ref="A43:E43"/>
    <mergeCell ref="A45:E45"/>
    <mergeCell ref="A47:E47"/>
    <mergeCell ref="A53:E53"/>
    <mergeCell ref="A51:E51"/>
    <mergeCell ref="A39:E39"/>
    <mergeCell ref="A34:E34"/>
    <mergeCell ref="A36:E36"/>
    <mergeCell ref="A37:E37"/>
    <mergeCell ref="A32:E32"/>
    <mergeCell ref="A66:E66"/>
    <mergeCell ref="A57:E57"/>
    <mergeCell ref="A58:E58"/>
    <mergeCell ref="A60:E60"/>
    <mergeCell ref="A64:E64"/>
    <mergeCell ref="A62:E62"/>
  </mergeCells>
  <phoneticPr fontId="28" type="noConversion"/>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33"/>
  <sheetViews>
    <sheetView view="pageBreakPreview" topLeftCell="A18" zoomScale="148" zoomScaleNormal="100" zoomScaleSheetLayoutView="148" workbookViewId="0">
      <selection activeCell="D29" sqref="D29:E29"/>
    </sheetView>
  </sheetViews>
  <sheetFormatPr defaultColWidth="9.26953125" defaultRowHeight="14"/>
  <cols>
    <col min="1" max="1" width="5.54296875" style="1" customWidth="1"/>
    <col min="2" max="2" width="42" style="1" customWidth="1"/>
    <col min="3" max="3" width="7.54296875" style="128" customWidth="1"/>
    <col min="4" max="4" width="10.54296875" style="129" customWidth="1"/>
    <col min="5" max="5" width="10.54296875" style="1" customWidth="1"/>
    <col min="6" max="6" width="10.54296875" style="95" customWidth="1"/>
    <col min="7" max="8" width="9.26953125" style="1"/>
    <col min="9" max="9" width="56.453125" style="1" customWidth="1"/>
    <col min="10" max="16384" width="9.26953125" style="1"/>
  </cols>
  <sheetData>
    <row r="1" spans="1:8">
      <c r="A1" s="583"/>
      <c r="B1" s="583"/>
      <c r="C1" s="583"/>
      <c r="D1" s="583"/>
      <c r="E1" s="583"/>
      <c r="F1" s="583"/>
      <c r="G1" s="95"/>
    </row>
    <row r="2" spans="1:8">
      <c r="A2" s="551" t="s">
        <v>706</v>
      </c>
      <c r="B2" s="552"/>
      <c r="C2" s="552"/>
      <c r="D2" s="552"/>
      <c r="E2" s="552"/>
      <c r="F2" s="553"/>
    </row>
    <row r="3" spans="1:8" ht="14.5">
      <c r="A3" s="133" t="s">
        <v>503</v>
      </c>
      <c r="B3" s="133"/>
      <c r="C3" s="205"/>
      <c r="D3" s="200"/>
      <c r="E3" s="133"/>
      <c r="F3" s="203"/>
    </row>
    <row r="4" spans="1:8">
      <c r="A4" s="112" t="s">
        <v>98</v>
      </c>
      <c r="B4" s="112" t="s">
        <v>99</v>
      </c>
      <c r="C4" s="112" t="s">
        <v>100</v>
      </c>
      <c r="D4" s="113" t="s">
        <v>101</v>
      </c>
      <c r="E4" s="112" t="s">
        <v>102</v>
      </c>
      <c r="F4" s="112" t="s">
        <v>103</v>
      </c>
    </row>
    <row r="5" spans="1:8">
      <c r="A5" s="101"/>
      <c r="B5" s="101"/>
      <c r="C5" s="101"/>
      <c r="D5" s="114"/>
      <c r="E5" s="101"/>
      <c r="F5" s="101"/>
    </row>
    <row r="6" spans="1:8">
      <c r="A6" s="101"/>
      <c r="B6" s="101"/>
      <c r="C6" s="101"/>
      <c r="D6" s="114"/>
      <c r="E6" s="101"/>
      <c r="F6" s="101"/>
    </row>
    <row r="7" spans="1:8" ht="15" thickBot="1">
      <c r="A7" s="102" t="s">
        <v>73</v>
      </c>
      <c r="B7" s="560" t="s">
        <v>504</v>
      </c>
      <c r="C7" s="560"/>
      <c r="D7" s="560"/>
      <c r="E7" s="560"/>
      <c r="F7" s="560"/>
    </row>
    <row r="8" spans="1:8" ht="14.5">
      <c r="A8" s="157"/>
      <c r="B8" s="271"/>
      <c r="C8" s="271"/>
      <c r="D8" s="271"/>
      <c r="E8" s="271"/>
      <c r="F8" s="271"/>
    </row>
    <row r="9" spans="1:8" ht="37.4" customHeight="1">
      <c r="A9" s="373" t="s">
        <v>119</v>
      </c>
      <c r="B9" s="111" t="s">
        <v>498</v>
      </c>
      <c r="C9" s="199"/>
      <c r="D9" s="81"/>
      <c r="E9" s="372"/>
      <c r="F9" s="204"/>
    </row>
    <row r="10" spans="1:8" ht="147" customHeight="1">
      <c r="A10" s="133"/>
      <c r="B10" s="79" t="s">
        <v>557</v>
      </c>
      <c r="C10" s="108"/>
      <c r="D10" s="81"/>
      <c r="E10" s="104"/>
      <c r="F10" s="105"/>
    </row>
    <row r="11" spans="1:8" s="216" customFormat="1" ht="12">
      <c r="A11" s="110"/>
      <c r="B11" s="421" t="s">
        <v>719</v>
      </c>
      <c r="C11" s="422" t="s">
        <v>135</v>
      </c>
      <c r="D11" s="105">
        <v>17</v>
      </c>
      <c r="E11" s="104"/>
      <c r="F11" s="201">
        <f>ROUND(D11*E11,2)</f>
        <v>0</v>
      </c>
      <c r="G11" s="105"/>
      <c r="H11" s="104"/>
    </row>
    <row r="12" spans="1:8" s="216" customFormat="1" ht="12">
      <c r="A12" s="110"/>
      <c r="B12" s="421" t="s">
        <v>720</v>
      </c>
      <c r="C12" s="422" t="s">
        <v>135</v>
      </c>
      <c r="D12" s="105">
        <v>7</v>
      </c>
      <c r="E12" s="104"/>
      <c r="F12" s="201">
        <f t="shared" ref="F12:F29" si="0">ROUND(D12*E12,2)</f>
        <v>0</v>
      </c>
      <c r="G12" s="105"/>
      <c r="H12" s="104"/>
    </row>
    <row r="13" spans="1:8" s="216" customFormat="1" ht="12">
      <c r="A13" s="110"/>
      <c r="B13" s="421" t="s">
        <v>721</v>
      </c>
      <c r="C13" s="422" t="s">
        <v>135</v>
      </c>
      <c r="D13" s="105">
        <v>5</v>
      </c>
      <c r="E13" s="104"/>
      <c r="F13" s="201">
        <f t="shared" si="0"/>
        <v>0</v>
      </c>
      <c r="G13" s="105"/>
      <c r="H13" s="104"/>
    </row>
    <row r="14" spans="1:8" s="216" customFormat="1" ht="12">
      <c r="A14" s="110"/>
      <c r="B14" s="421" t="s">
        <v>722</v>
      </c>
      <c r="C14" s="422" t="s">
        <v>135</v>
      </c>
      <c r="D14" s="105">
        <v>1</v>
      </c>
      <c r="E14" s="104"/>
      <c r="F14" s="201">
        <f t="shared" si="0"/>
        <v>0</v>
      </c>
      <c r="G14" s="105"/>
      <c r="H14" s="104"/>
    </row>
    <row r="15" spans="1:8" s="216" customFormat="1" ht="12">
      <c r="A15" s="110"/>
      <c r="B15" s="421" t="s">
        <v>723</v>
      </c>
      <c r="C15" s="422" t="s">
        <v>135</v>
      </c>
      <c r="D15" s="105">
        <v>1</v>
      </c>
      <c r="E15" s="104"/>
      <c r="F15" s="201">
        <f t="shared" si="0"/>
        <v>0</v>
      </c>
      <c r="G15" s="105"/>
      <c r="H15" s="104"/>
    </row>
    <row r="16" spans="1:8" s="216" customFormat="1" ht="12">
      <c r="A16" s="110"/>
      <c r="B16" s="421" t="s">
        <v>724</v>
      </c>
      <c r="C16" s="422" t="s">
        <v>135</v>
      </c>
      <c r="D16" s="105">
        <v>8</v>
      </c>
      <c r="E16" s="104"/>
      <c r="F16" s="201">
        <f t="shared" si="0"/>
        <v>0</v>
      </c>
      <c r="G16" s="105"/>
      <c r="H16" s="104"/>
    </row>
    <row r="17" spans="1:8" s="216" customFormat="1" ht="12">
      <c r="A17" s="110"/>
      <c r="B17" s="421" t="s">
        <v>772</v>
      </c>
      <c r="C17" s="422" t="s">
        <v>135</v>
      </c>
      <c r="D17" s="105">
        <v>5</v>
      </c>
      <c r="E17" s="104"/>
      <c r="F17" s="201">
        <f t="shared" si="0"/>
        <v>0</v>
      </c>
      <c r="G17" s="105"/>
      <c r="H17" s="104"/>
    </row>
    <row r="18" spans="1:8" s="216" customFormat="1" ht="12">
      <c r="A18" s="110"/>
      <c r="B18" s="421" t="s">
        <v>725</v>
      </c>
      <c r="C18" s="422" t="s">
        <v>135</v>
      </c>
      <c r="D18" s="105">
        <v>16</v>
      </c>
      <c r="E18" s="104"/>
      <c r="F18" s="201">
        <f t="shared" si="0"/>
        <v>0</v>
      </c>
      <c r="G18" s="105"/>
      <c r="H18" s="104"/>
    </row>
    <row r="19" spans="1:8" s="216" customFormat="1" ht="12">
      <c r="A19" s="110"/>
      <c r="B19" s="421" t="s">
        <v>726</v>
      </c>
      <c r="C19" s="422" t="s">
        <v>135</v>
      </c>
      <c r="D19" s="105">
        <v>2</v>
      </c>
      <c r="E19" s="104"/>
      <c r="F19" s="201">
        <f t="shared" si="0"/>
        <v>0</v>
      </c>
      <c r="G19" s="105"/>
      <c r="H19" s="104"/>
    </row>
    <row r="20" spans="1:8" s="216" customFormat="1" ht="12">
      <c r="A20" s="110"/>
      <c r="B20" s="421" t="s">
        <v>727</v>
      </c>
      <c r="C20" s="422" t="s">
        <v>135</v>
      </c>
      <c r="D20" s="105">
        <v>8</v>
      </c>
      <c r="E20" s="104"/>
      <c r="F20" s="201">
        <f t="shared" si="0"/>
        <v>0</v>
      </c>
      <c r="G20" s="105"/>
      <c r="H20" s="104"/>
    </row>
    <row r="21" spans="1:8" s="216" customFormat="1" ht="12">
      <c r="A21" s="110"/>
      <c r="B21" s="421" t="s">
        <v>728</v>
      </c>
      <c r="C21" s="422" t="s">
        <v>135</v>
      </c>
      <c r="D21" s="105">
        <v>9</v>
      </c>
      <c r="E21" s="104"/>
      <c r="F21" s="201">
        <f t="shared" si="0"/>
        <v>0</v>
      </c>
      <c r="G21" s="105"/>
      <c r="H21" s="104"/>
    </row>
    <row r="22" spans="1:8" s="216" customFormat="1" ht="12">
      <c r="A22" s="110"/>
      <c r="B22" s="421" t="s">
        <v>729</v>
      </c>
      <c r="C22" s="422" t="s">
        <v>135</v>
      </c>
      <c r="D22" s="105">
        <v>5</v>
      </c>
      <c r="E22" s="104"/>
      <c r="F22" s="201">
        <f t="shared" si="0"/>
        <v>0</v>
      </c>
      <c r="G22" s="105"/>
      <c r="H22" s="104"/>
    </row>
    <row r="23" spans="1:8" s="216" customFormat="1" ht="12">
      <c r="A23" s="110"/>
      <c r="B23" s="421" t="s">
        <v>730</v>
      </c>
      <c r="C23" s="422" t="s">
        <v>135</v>
      </c>
      <c r="D23" s="105">
        <v>21</v>
      </c>
      <c r="E23" s="104"/>
      <c r="F23" s="201">
        <f t="shared" si="0"/>
        <v>0</v>
      </c>
      <c r="G23" s="105"/>
      <c r="H23" s="104"/>
    </row>
    <row r="24" spans="1:8" s="216" customFormat="1" ht="12">
      <c r="A24" s="110"/>
      <c r="B24" s="421" t="s">
        <v>731</v>
      </c>
      <c r="C24" s="422" t="s">
        <v>135</v>
      </c>
      <c r="D24" s="105">
        <v>12</v>
      </c>
      <c r="E24" s="104"/>
      <c r="F24" s="201">
        <f t="shared" si="0"/>
        <v>0</v>
      </c>
      <c r="G24" s="105"/>
      <c r="H24" s="104"/>
    </row>
    <row r="25" spans="1:8" s="216" customFormat="1" ht="12">
      <c r="A25" s="110"/>
      <c r="B25" s="421" t="s">
        <v>732</v>
      </c>
      <c r="C25" s="422" t="s">
        <v>135</v>
      </c>
      <c r="D25" s="105">
        <v>5</v>
      </c>
      <c r="E25" s="104"/>
      <c r="F25" s="201">
        <f t="shared" si="0"/>
        <v>0</v>
      </c>
      <c r="G25" s="105"/>
      <c r="H25" s="104"/>
    </row>
    <row r="26" spans="1:8" s="216" customFormat="1" ht="12">
      <c r="A26" s="110"/>
      <c r="B26" s="421" t="s">
        <v>733</v>
      </c>
      <c r="C26" s="422" t="s">
        <v>135</v>
      </c>
      <c r="D26" s="105">
        <v>23</v>
      </c>
      <c r="E26" s="104"/>
      <c r="F26" s="201">
        <f t="shared" si="0"/>
        <v>0</v>
      </c>
      <c r="G26" s="105"/>
      <c r="H26" s="104"/>
    </row>
    <row r="27" spans="1:8" s="216" customFormat="1" ht="12">
      <c r="A27" s="110"/>
      <c r="B27" s="421" t="s">
        <v>734</v>
      </c>
      <c r="C27" s="422" t="s">
        <v>135</v>
      </c>
      <c r="D27" s="105">
        <v>4</v>
      </c>
      <c r="E27" s="104"/>
      <c r="F27" s="201">
        <f t="shared" si="0"/>
        <v>0</v>
      </c>
      <c r="G27" s="105"/>
      <c r="H27" s="104"/>
    </row>
    <row r="28" spans="1:8" s="216" customFormat="1" ht="12">
      <c r="A28" s="110"/>
      <c r="B28" s="421" t="s">
        <v>800</v>
      </c>
      <c r="C28" s="422" t="s">
        <v>135</v>
      </c>
      <c r="D28" s="105">
        <v>2</v>
      </c>
      <c r="E28" s="104"/>
      <c r="F28" s="201">
        <f t="shared" si="0"/>
        <v>0</v>
      </c>
      <c r="G28" s="105"/>
      <c r="H28" s="104"/>
    </row>
    <row r="29" spans="1:8" s="216" customFormat="1" ht="12">
      <c r="A29" s="110"/>
      <c r="B29" s="421" t="s">
        <v>800</v>
      </c>
      <c r="C29" s="422" t="s">
        <v>135</v>
      </c>
      <c r="D29" s="105">
        <v>2</v>
      </c>
      <c r="E29" s="104"/>
      <c r="F29" s="201">
        <f t="shared" si="0"/>
        <v>0</v>
      </c>
      <c r="G29" s="105"/>
      <c r="H29" s="104"/>
    </row>
    <row r="30" spans="1:8" s="126" customFormat="1">
      <c r="A30" s="198"/>
      <c r="B30" s="197"/>
      <c r="C30" s="86"/>
      <c r="D30" s="86"/>
      <c r="E30" s="104"/>
      <c r="F30" s="193"/>
    </row>
    <row r="31" spans="1:8" ht="14.5" thickBot="1"/>
    <row r="32" spans="1:8" ht="14.5" thickBot="1">
      <c r="A32" s="241" t="s">
        <v>505</v>
      </c>
      <c r="B32" s="459" t="s">
        <v>504</v>
      </c>
      <c r="C32" s="243"/>
      <c r="D32" s="202"/>
      <c r="E32" s="464" t="s">
        <v>507</v>
      </c>
      <c r="F32" s="245">
        <f>SUM(F11:F31)</f>
        <v>0</v>
      </c>
    </row>
    <row r="33" spans="4:4">
      <c r="D33" s="130"/>
    </row>
  </sheetData>
  <sheetProtection algorithmName="SHA-512" hashValue="Htp33t4A0ROcuTMUoCkWefxSfdtdcBlCiQYeAMLCTpzgRxAUobJJ7SZMgmGmvcWphr7hYewodaDygKw2+eh+Tg==" saltValue="yMrVOvB3R0Sq1RnpS4V0cQ==" spinCount="100000" sheet="1" objects="1" scenarios="1"/>
  <mergeCells count="3">
    <mergeCell ref="A1:F1"/>
    <mergeCell ref="A2:F2"/>
    <mergeCell ref="B7:F7"/>
  </mergeCells>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9CC25-9D46-44AB-B22E-630EC90F06AF}">
  <dimension ref="A1:H134"/>
  <sheetViews>
    <sheetView view="pageBreakPreview" topLeftCell="A120" zoomScale="110" zoomScaleNormal="100" zoomScaleSheetLayoutView="110" workbookViewId="0">
      <selection activeCell="B123" sqref="B123"/>
    </sheetView>
  </sheetViews>
  <sheetFormatPr defaultColWidth="9.26953125" defaultRowHeight="11.5"/>
  <cols>
    <col min="1" max="1" width="5.54296875" style="194" customWidth="1"/>
    <col min="2" max="2" width="46.1796875" style="194" customWidth="1"/>
    <col min="3" max="3" width="6.81640625" style="239" customWidth="1"/>
    <col min="4" max="4" width="9.54296875" style="195" customWidth="1"/>
    <col min="5" max="5" width="8.453125" style="195" customWidth="1"/>
    <col min="6" max="6" width="10.54296875" style="195" customWidth="1"/>
    <col min="7" max="7" width="9.26953125" style="490"/>
    <col min="8" max="16384" width="9.26953125" style="194"/>
  </cols>
  <sheetData>
    <row r="1" spans="1:8" s="1" customFormat="1" ht="14.5">
      <c r="A1" s="133"/>
      <c r="B1" s="133"/>
      <c r="C1" s="205"/>
      <c r="D1" s="201"/>
      <c r="E1" s="203"/>
      <c r="F1" s="203"/>
      <c r="G1" s="484"/>
    </row>
    <row r="2" spans="1:8" ht="12">
      <c r="A2" s="551" t="s">
        <v>706</v>
      </c>
      <c r="B2" s="552"/>
      <c r="C2" s="552"/>
      <c r="D2" s="552"/>
      <c r="E2" s="552"/>
      <c r="F2" s="553"/>
    </row>
    <row r="3" spans="1:8" ht="12">
      <c r="A3" s="555" t="s">
        <v>579</v>
      </c>
      <c r="B3" s="555"/>
      <c r="C3" s="555"/>
      <c r="D3" s="555"/>
      <c r="E3" s="555"/>
      <c r="F3" s="555"/>
    </row>
    <row r="4" spans="1:8" s="1" customFormat="1" ht="14">
      <c r="A4" s="112" t="s">
        <v>98</v>
      </c>
      <c r="B4" s="112" t="s">
        <v>99</v>
      </c>
      <c r="C4" s="112" t="s">
        <v>100</v>
      </c>
      <c r="D4" s="269" t="s">
        <v>101</v>
      </c>
      <c r="E4" s="269" t="s">
        <v>102</v>
      </c>
      <c r="F4" s="269" t="s">
        <v>103</v>
      </c>
      <c r="G4" s="484"/>
    </row>
    <row r="5" spans="1:8" s="1" customFormat="1" ht="14">
      <c r="A5" s="101"/>
      <c r="B5" s="101"/>
      <c r="C5" s="101"/>
      <c r="D5" s="270"/>
      <c r="E5" s="270"/>
      <c r="F5" s="270"/>
      <c r="G5" s="484"/>
    </row>
    <row r="6" spans="1:8" s="1" customFormat="1" ht="14">
      <c r="A6" s="101"/>
      <c r="B6" s="101"/>
      <c r="C6" s="101"/>
      <c r="D6" s="270"/>
      <c r="E6" s="270"/>
      <c r="F6" s="270"/>
      <c r="G6" s="484"/>
    </row>
    <row r="7" spans="1:8" s="1" customFormat="1" ht="15" thickBot="1">
      <c r="A7" s="102" t="s">
        <v>558</v>
      </c>
      <c r="B7" s="560" t="s">
        <v>559</v>
      </c>
      <c r="C7" s="560"/>
      <c r="D7" s="560"/>
      <c r="E7" s="560"/>
      <c r="F7" s="560"/>
      <c r="G7" s="484"/>
    </row>
    <row r="8" spans="1:8" ht="12">
      <c r="A8" s="115"/>
      <c r="B8" s="116"/>
      <c r="C8" s="117"/>
      <c r="D8" s="105"/>
      <c r="E8" s="103"/>
      <c r="F8" s="103"/>
    </row>
    <row r="9" spans="1:8" ht="12">
      <c r="A9" s="495" t="s">
        <v>106</v>
      </c>
      <c r="B9" s="496"/>
      <c r="C9" s="254"/>
      <c r="D9" s="254"/>
      <c r="E9" s="497"/>
      <c r="F9" s="204"/>
      <c r="G9" s="491"/>
      <c r="H9" s="209"/>
    </row>
    <row r="10" spans="1:8" ht="12">
      <c r="A10" s="495"/>
      <c r="B10" s="496"/>
      <c r="C10" s="254"/>
      <c r="D10" s="254"/>
      <c r="E10" s="497"/>
      <c r="F10" s="204"/>
      <c r="G10" s="491"/>
      <c r="H10" s="209"/>
    </row>
    <row r="11" spans="1:8" ht="26.25" customHeight="1">
      <c r="A11" s="584" t="s">
        <v>560</v>
      </c>
      <c r="B11" s="584"/>
      <c r="C11" s="584"/>
      <c r="D11" s="584"/>
      <c r="E11" s="584"/>
      <c r="F11" s="204"/>
      <c r="G11" s="491"/>
      <c r="H11" s="209"/>
    </row>
    <row r="12" spans="1:8" ht="17.25" customHeight="1">
      <c r="A12" s="584" t="s">
        <v>561</v>
      </c>
      <c r="B12" s="584"/>
      <c r="C12" s="584"/>
      <c r="D12" s="584"/>
      <c r="E12" s="584"/>
      <c r="F12" s="204"/>
      <c r="G12" s="491"/>
      <c r="H12" s="209"/>
    </row>
    <row r="13" spans="1:8" ht="27.75" customHeight="1">
      <c r="A13" s="584" t="s">
        <v>562</v>
      </c>
      <c r="B13" s="584"/>
      <c r="C13" s="584"/>
      <c r="D13" s="584"/>
      <c r="E13" s="584"/>
      <c r="F13" s="204"/>
      <c r="G13" s="491"/>
      <c r="H13" s="209"/>
    </row>
    <row r="14" spans="1:8" ht="27" customHeight="1">
      <c r="A14" s="584" t="s">
        <v>563</v>
      </c>
      <c r="B14" s="584"/>
      <c r="C14" s="584"/>
      <c r="D14" s="584"/>
      <c r="E14" s="584"/>
      <c r="F14" s="204"/>
      <c r="G14" s="491"/>
      <c r="H14" s="209"/>
    </row>
    <row r="15" spans="1:8" ht="12.75" customHeight="1">
      <c r="A15" s="584" t="s">
        <v>564</v>
      </c>
      <c r="B15" s="584"/>
      <c r="C15" s="584"/>
      <c r="D15" s="584"/>
      <c r="E15" s="584"/>
      <c r="F15" s="204"/>
      <c r="G15" s="491"/>
      <c r="H15" s="209"/>
    </row>
    <row r="16" spans="1:8" ht="28.5" customHeight="1">
      <c r="A16" s="584" t="s">
        <v>565</v>
      </c>
      <c r="B16" s="584"/>
      <c r="C16" s="584"/>
      <c r="D16" s="584"/>
      <c r="E16" s="584"/>
      <c r="F16" s="204"/>
      <c r="G16" s="491"/>
      <c r="H16" s="209"/>
    </row>
    <row r="17" spans="1:8" ht="13.5" customHeight="1">
      <c r="A17" s="584" t="s">
        <v>566</v>
      </c>
      <c r="B17" s="584"/>
      <c r="C17" s="584"/>
      <c r="D17" s="584"/>
      <c r="E17" s="584"/>
      <c r="F17" s="204"/>
      <c r="G17" s="491"/>
      <c r="H17" s="209"/>
    </row>
    <row r="18" spans="1:8" ht="14.25" customHeight="1">
      <c r="A18" s="584" t="s">
        <v>567</v>
      </c>
      <c r="B18" s="584"/>
      <c r="C18" s="584"/>
      <c r="D18" s="584"/>
      <c r="E18" s="584"/>
      <c r="F18" s="204"/>
      <c r="G18" s="491"/>
      <c r="H18" s="209"/>
    </row>
    <row r="19" spans="1:8" ht="27.75" customHeight="1">
      <c r="A19" s="584" t="s">
        <v>568</v>
      </c>
      <c r="B19" s="584"/>
      <c r="C19" s="584"/>
      <c r="D19" s="584"/>
      <c r="E19" s="584"/>
      <c r="F19" s="204"/>
      <c r="G19" s="491"/>
      <c r="H19" s="209"/>
    </row>
    <row r="20" spans="1:8" ht="15" customHeight="1">
      <c r="A20" s="584" t="s">
        <v>569</v>
      </c>
      <c r="B20" s="584"/>
      <c r="C20" s="584"/>
      <c r="D20" s="584"/>
      <c r="E20" s="584"/>
      <c r="F20" s="204"/>
      <c r="G20" s="491"/>
      <c r="H20" s="209"/>
    </row>
    <row r="21" spans="1:8" ht="28.5" customHeight="1">
      <c r="A21" s="584" t="s">
        <v>570</v>
      </c>
      <c r="B21" s="584"/>
      <c r="C21" s="584"/>
      <c r="D21" s="584"/>
      <c r="E21" s="584"/>
      <c r="F21" s="204"/>
      <c r="G21" s="491"/>
      <c r="H21" s="209"/>
    </row>
    <row r="22" spans="1:8" ht="16.5" customHeight="1">
      <c r="A22" s="584" t="s">
        <v>571</v>
      </c>
      <c r="B22" s="584"/>
      <c r="C22" s="584"/>
      <c r="D22" s="584"/>
      <c r="E22" s="584"/>
      <c r="F22" s="204"/>
      <c r="G22" s="491"/>
      <c r="H22" s="209"/>
    </row>
    <row r="23" spans="1:8" ht="39" customHeight="1">
      <c r="A23" s="584" t="s">
        <v>572</v>
      </c>
      <c r="B23" s="584"/>
      <c r="C23" s="584"/>
      <c r="D23" s="584"/>
      <c r="E23" s="584"/>
      <c r="F23" s="204"/>
      <c r="G23" s="491"/>
      <c r="H23" s="209"/>
    </row>
    <row r="24" spans="1:8" ht="24.75" customHeight="1">
      <c r="A24" s="584" t="s">
        <v>810</v>
      </c>
      <c r="B24" s="584"/>
      <c r="C24" s="584"/>
      <c r="D24" s="584"/>
      <c r="E24" s="584"/>
      <c r="F24" s="204"/>
      <c r="G24" s="491"/>
      <c r="H24" s="209"/>
    </row>
    <row r="25" spans="1:8" ht="15" customHeight="1">
      <c r="A25" s="584" t="s">
        <v>573</v>
      </c>
      <c r="B25" s="584"/>
      <c r="C25" s="584"/>
      <c r="D25" s="584"/>
      <c r="E25" s="584"/>
      <c r="F25" s="204"/>
      <c r="G25" s="491"/>
      <c r="H25" s="209"/>
    </row>
    <row r="26" spans="1:8" ht="61.5" customHeight="1">
      <c r="A26" s="565" t="s">
        <v>811</v>
      </c>
      <c r="B26" s="565"/>
      <c r="C26" s="565"/>
      <c r="D26" s="565"/>
      <c r="E26" s="565"/>
      <c r="F26" s="204"/>
      <c r="G26" s="491"/>
      <c r="H26" s="209"/>
    </row>
    <row r="27" spans="1:8" ht="25.5" customHeight="1">
      <c r="A27" s="565" t="s">
        <v>812</v>
      </c>
      <c r="B27" s="565"/>
      <c r="C27" s="565"/>
      <c r="D27" s="565"/>
      <c r="E27" s="565"/>
      <c r="F27" s="204"/>
      <c r="G27" s="491"/>
      <c r="H27" s="209"/>
    </row>
    <row r="28" spans="1:8" ht="15.75" customHeight="1">
      <c r="A28" s="565" t="s">
        <v>574</v>
      </c>
      <c r="B28" s="565"/>
      <c r="C28" s="565"/>
      <c r="D28" s="565"/>
      <c r="E28" s="565"/>
      <c r="F28" s="204"/>
      <c r="G28" s="491"/>
      <c r="H28" s="209"/>
    </row>
    <row r="29" spans="1:8" ht="24.75" customHeight="1">
      <c r="A29" s="565" t="s">
        <v>575</v>
      </c>
      <c r="B29" s="565"/>
      <c r="C29" s="565"/>
      <c r="D29" s="565"/>
      <c r="E29" s="565"/>
      <c r="F29" s="204"/>
      <c r="G29" s="491"/>
      <c r="H29" s="209"/>
    </row>
    <row r="30" spans="1:8" ht="29.25" customHeight="1">
      <c r="A30" s="565" t="s">
        <v>576</v>
      </c>
      <c r="B30" s="565"/>
      <c r="C30" s="565"/>
      <c r="D30" s="565"/>
      <c r="E30" s="565"/>
      <c r="F30" s="204"/>
      <c r="G30" s="491"/>
      <c r="H30" s="209"/>
    </row>
    <row r="31" spans="1:8" ht="29.25" customHeight="1">
      <c r="A31" s="565" t="s">
        <v>577</v>
      </c>
      <c r="B31" s="565"/>
      <c r="C31" s="565"/>
      <c r="D31" s="565"/>
      <c r="E31" s="565"/>
      <c r="F31" s="204"/>
      <c r="G31" s="491"/>
      <c r="H31" s="209"/>
    </row>
    <row r="32" spans="1:8" ht="15.75" customHeight="1">
      <c r="A32" s="585" t="s">
        <v>578</v>
      </c>
      <c r="B32" s="585"/>
      <c r="C32" s="585"/>
      <c r="D32" s="585"/>
      <c r="E32" s="585"/>
      <c r="F32" s="204"/>
      <c r="G32" s="491"/>
      <c r="H32" s="209"/>
    </row>
    <row r="33" spans="1:8" ht="12" customHeight="1">
      <c r="A33" s="586"/>
      <c r="B33" s="586"/>
      <c r="C33" s="586"/>
      <c r="D33" s="586"/>
      <c r="E33" s="586"/>
      <c r="F33" s="204"/>
      <c r="G33" s="491"/>
      <c r="H33" s="209"/>
    </row>
    <row r="34" spans="1:8" ht="14.25" customHeight="1">
      <c r="A34" s="585"/>
      <c r="B34" s="585"/>
      <c r="C34" s="585"/>
      <c r="D34" s="585"/>
      <c r="E34" s="585"/>
      <c r="F34" s="204"/>
      <c r="G34" s="491"/>
      <c r="H34" s="209"/>
    </row>
    <row r="35" spans="1:8" ht="12" customHeight="1">
      <c r="A35" s="326"/>
      <c r="B35" s="327"/>
      <c r="C35" s="328"/>
      <c r="D35" s="105"/>
      <c r="E35" s="259"/>
      <c r="F35" s="201"/>
    </row>
    <row r="36" spans="1:8" ht="12">
      <c r="A36" s="498"/>
      <c r="B36" s="250" t="s">
        <v>580</v>
      </c>
      <c r="C36" s="499"/>
      <c r="D36" s="472"/>
      <c r="E36" s="470"/>
      <c r="F36" s="470"/>
    </row>
    <row r="37" spans="1:8" ht="90.75" customHeight="1">
      <c r="A37" s="479" t="s">
        <v>119</v>
      </c>
      <c r="B37" s="287" t="s">
        <v>581</v>
      </c>
      <c r="C37" s="499" t="s">
        <v>582</v>
      </c>
      <c r="D37" s="475">
        <v>1</v>
      </c>
      <c r="E37" s="512"/>
      <c r="F37" s="478">
        <f>ROUND(D37*E37,2)</f>
        <v>0</v>
      </c>
    </row>
    <row r="38" spans="1:8" ht="12" customHeight="1">
      <c r="A38" s="479"/>
      <c r="B38" s="258"/>
      <c r="C38" s="499"/>
      <c r="D38" s="475"/>
      <c r="E38" s="512"/>
      <c r="F38" s="478"/>
    </row>
    <row r="39" spans="1:8" ht="12" customHeight="1">
      <c r="A39" s="479"/>
      <c r="B39" s="250" t="s">
        <v>583</v>
      </c>
      <c r="C39" s="499"/>
      <c r="D39" s="475"/>
      <c r="E39" s="512"/>
      <c r="F39" s="478"/>
    </row>
    <row r="40" spans="1:8" ht="51" customHeight="1">
      <c r="A40" s="479" t="s">
        <v>122</v>
      </c>
      <c r="B40" s="287" t="s">
        <v>584</v>
      </c>
      <c r="C40" s="499" t="s">
        <v>135</v>
      </c>
      <c r="D40" s="475">
        <v>11</v>
      </c>
      <c r="E40" s="512"/>
      <c r="F40" s="478">
        <f t="shared" ref="F40:F101" si="0">ROUND(D40*E40,2)</f>
        <v>0</v>
      </c>
    </row>
    <row r="41" spans="1:8" ht="14.25" customHeight="1">
      <c r="A41" s="479"/>
      <c r="B41" s="287"/>
      <c r="C41" s="499"/>
      <c r="D41" s="475"/>
      <c r="E41" s="512"/>
      <c r="F41" s="478"/>
    </row>
    <row r="42" spans="1:8" ht="151.5" customHeight="1">
      <c r="A42" s="479" t="s">
        <v>585</v>
      </c>
      <c r="B42" s="287" t="s">
        <v>586</v>
      </c>
      <c r="C42" s="499" t="s">
        <v>135</v>
      </c>
      <c r="D42" s="475">
        <v>11</v>
      </c>
      <c r="E42" s="512"/>
      <c r="F42" s="478">
        <f t="shared" si="0"/>
        <v>0</v>
      </c>
    </row>
    <row r="43" spans="1:8" ht="14.25" customHeight="1">
      <c r="A43" s="479"/>
      <c r="B43" s="287"/>
      <c r="C43" s="499"/>
      <c r="D43" s="475"/>
      <c r="E43" s="512"/>
      <c r="F43" s="478"/>
    </row>
    <row r="44" spans="1:8" ht="77.25" customHeight="1">
      <c r="A44" s="479" t="s">
        <v>127</v>
      </c>
      <c r="B44" s="287" t="s">
        <v>587</v>
      </c>
      <c r="C44" s="499" t="s">
        <v>135</v>
      </c>
      <c r="D44" s="475">
        <v>1</v>
      </c>
      <c r="E44" s="512"/>
      <c r="F44" s="478">
        <f t="shared" si="0"/>
        <v>0</v>
      </c>
    </row>
    <row r="45" spans="1:8" ht="13.5" customHeight="1">
      <c r="A45" s="509"/>
      <c r="B45" s="500"/>
      <c r="C45" s="501"/>
      <c r="D45" s="476"/>
      <c r="E45" s="513"/>
      <c r="F45" s="478"/>
    </row>
    <row r="46" spans="1:8" s="1" customFormat="1" ht="25.5" customHeight="1">
      <c r="A46" s="479" t="s">
        <v>131</v>
      </c>
      <c r="B46" s="287" t="s">
        <v>588</v>
      </c>
      <c r="C46" s="499" t="s">
        <v>135</v>
      </c>
      <c r="D46" s="475">
        <v>4</v>
      </c>
      <c r="E46" s="512"/>
      <c r="F46" s="478">
        <f t="shared" si="0"/>
        <v>0</v>
      </c>
      <c r="G46" s="484"/>
    </row>
    <row r="47" spans="1:8" s="1" customFormat="1" ht="14">
      <c r="A47" s="479"/>
      <c r="B47" s="287"/>
      <c r="C47" s="499"/>
      <c r="D47" s="475"/>
      <c r="E47" s="512"/>
      <c r="F47" s="478"/>
      <c r="G47" s="484"/>
    </row>
    <row r="48" spans="1:8" s="1" customFormat="1" ht="11.25" customHeight="1">
      <c r="A48" s="479"/>
      <c r="B48" s="250" t="s">
        <v>589</v>
      </c>
      <c r="C48" s="499"/>
      <c r="D48" s="475"/>
      <c r="E48" s="512"/>
      <c r="F48" s="478"/>
      <c r="G48" s="484"/>
    </row>
    <row r="49" spans="1:7" s="1" customFormat="1" ht="24">
      <c r="A49" s="479" t="s">
        <v>133</v>
      </c>
      <c r="B49" s="287" t="s">
        <v>677</v>
      </c>
      <c r="C49" s="499"/>
      <c r="D49" s="475"/>
      <c r="E49" s="512"/>
      <c r="F49" s="478"/>
      <c r="G49" s="484"/>
    </row>
    <row r="50" spans="1:7" s="1" customFormat="1" ht="14">
      <c r="A50" s="248" t="s">
        <v>590</v>
      </c>
      <c r="B50" s="502" t="s">
        <v>591</v>
      </c>
      <c r="C50" s="503" t="s">
        <v>135</v>
      </c>
      <c r="D50" s="475">
        <v>1</v>
      </c>
      <c r="E50" s="512"/>
      <c r="F50" s="478">
        <f t="shared" si="0"/>
        <v>0</v>
      </c>
      <c r="G50" s="484"/>
    </row>
    <row r="51" spans="1:7" s="1" customFormat="1" ht="14.25" customHeight="1">
      <c r="A51" s="248" t="s">
        <v>592</v>
      </c>
      <c r="B51" s="504" t="s">
        <v>593</v>
      </c>
      <c r="C51" s="503" t="s">
        <v>135</v>
      </c>
      <c r="D51" s="475">
        <v>1</v>
      </c>
      <c r="E51" s="512"/>
      <c r="F51" s="478">
        <f t="shared" si="0"/>
        <v>0</v>
      </c>
      <c r="G51" s="484"/>
    </row>
    <row r="52" spans="1:7" s="1" customFormat="1" ht="14">
      <c r="A52" s="248" t="s">
        <v>594</v>
      </c>
      <c r="B52" s="504" t="s">
        <v>595</v>
      </c>
      <c r="C52" s="503" t="s">
        <v>135</v>
      </c>
      <c r="D52" s="475">
        <v>1</v>
      </c>
      <c r="E52" s="512"/>
      <c r="F52" s="478">
        <f t="shared" si="0"/>
        <v>0</v>
      </c>
      <c r="G52" s="484"/>
    </row>
    <row r="53" spans="1:7" s="1" customFormat="1" ht="14">
      <c r="A53" s="248" t="s">
        <v>596</v>
      </c>
      <c r="B53" s="504" t="s">
        <v>597</v>
      </c>
      <c r="C53" s="503" t="s">
        <v>135</v>
      </c>
      <c r="D53" s="475">
        <v>1</v>
      </c>
      <c r="E53" s="512"/>
      <c r="F53" s="478">
        <f t="shared" si="0"/>
        <v>0</v>
      </c>
      <c r="G53" s="484"/>
    </row>
    <row r="54" spans="1:7" s="1" customFormat="1" ht="28.9" customHeight="1">
      <c r="A54" s="248" t="s">
        <v>598</v>
      </c>
      <c r="B54" s="505" t="s">
        <v>599</v>
      </c>
      <c r="C54" s="473" t="s">
        <v>135</v>
      </c>
      <c r="D54" s="475">
        <v>2</v>
      </c>
      <c r="E54" s="512"/>
      <c r="F54" s="478">
        <f t="shared" si="0"/>
        <v>0</v>
      </c>
      <c r="G54" s="484"/>
    </row>
    <row r="55" spans="1:7" s="1" customFormat="1" ht="24">
      <c r="A55" s="248" t="s">
        <v>600</v>
      </c>
      <c r="B55" s="474" t="s">
        <v>601</v>
      </c>
      <c r="C55" s="503" t="s">
        <v>135</v>
      </c>
      <c r="D55" s="475">
        <v>3</v>
      </c>
      <c r="E55" s="512"/>
      <c r="F55" s="478">
        <f t="shared" si="0"/>
        <v>0</v>
      </c>
      <c r="G55" s="484"/>
    </row>
    <row r="56" spans="1:7" s="1" customFormat="1" ht="24">
      <c r="A56" s="248" t="s">
        <v>602</v>
      </c>
      <c r="B56" s="474" t="s">
        <v>603</v>
      </c>
      <c r="C56" s="503" t="s">
        <v>135</v>
      </c>
      <c r="D56" s="475">
        <v>3</v>
      </c>
      <c r="E56" s="512"/>
      <c r="F56" s="478">
        <f t="shared" si="0"/>
        <v>0</v>
      </c>
      <c r="G56" s="484"/>
    </row>
    <row r="57" spans="1:7" ht="12.75" customHeight="1">
      <c r="A57" s="248" t="s">
        <v>604</v>
      </c>
      <c r="B57" s="504" t="s">
        <v>605</v>
      </c>
      <c r="C57" s="503" t="s">
        <v>135</v>
      </c>
      <c r="D57" s="475">
        <v>1</v>
      </c>
      <c r="E57" s="512"/>
      <c r="F57" s="478">
        <f t="shared" si="0"/>
        <v>0</v>
      </c>
    </row>
    <row r="58" spans="1:7" s="216" customFormat="1" ht="12">
      <c r="A58" s="248" t="s">
        <v>606</v>
      </c>
      <c r="B58" s="504" t="s">
        <v>607</v>
      </c>
      <c r="C58" s="503" t="s">
        <v>135</v>
      </c>
      <c r="D58" s="475">
        <v>1</v>
      </c>
      <c r="E58" s="512"/>
      <c r="F58" s="478">
        <f t="shared" si="0"/>
        <v>0</v>
      </c>
      <c r="G58" s="490"/>
    </row>
    <row r="59" spans="1:7" s="216" customFormat="1" ht="12">
      <c r="A59" s="248" t="s">
        <v>608</v>
      </c>
      <c r="B59" s="504" t="s">
        <v>609</v>
      </c>
      <c r="C59" s="503" t="s">
        <v>135</v>
      </c>
      <c r="D59" s="475">
        <v>1</v>
      </c>
      <c r="E59" s="512"/>
      <c r="F59" s="478">
        <f t="shared" si="0"/>
        <v>0</v>
      </c>
      <c r="G59" s="490"/>
    </row>
    <row r="60" spans="1:7" s="216" customFormat="1" ht="12">
      <c r="A60" s="248" t="s">
        <v>610</v>
      </c>
      <c r="B60" s="502" t="s">
        <v>678</v>
      </c>
      <c r="C60" s="503" t="s">
        <v>135</v>
      </c>
      <c r="D60" s="475">
        <v>1</v>
      </c>
      <c r="E60" s="512"/>
      <c r="F60" s="478">
        <f t="shared" si="0"/>
        <v>0</v>
      </c>
      <c r="G60" s="490"/>
    </row>
    <row r="61" spans="1:7" s="216" customFormat="1" ht="24">
      <c r="A61" s="248" t="s">
        <v>611</v>
      </c>
      <c r="B61" s="504" t="s">
        <v>679</v>
      </c>
      <c r="C61" s="503" t="s">
        <v>135</v>
      </c>
      <c r="D61" s="475">
        <v>1</v>
      </c>
      <c r="E61" s="512"/>
      <c r="F61" s="478">
        <f t="shared" si="0"/>
        <v>0</v>
      </c>
      <c r="G61" s="490"/>
    </row>
    <row r="62" spans="1:7" s="216" customFormat="1" ht="54" customHeight="1">
      <c r="A62" s="248" t="s">
        <v>612</v>
      </c>
      <c r="B62" s="287" t="s">
        <v>613</v>
      </c>
      <c r="C62" s="503" t="s">
        <v>135</v>
      </c>
      <c r="D62" s="475">
        <v>1</v>
      </c>
      <c r="E62" s="512"/>
      <c r="F62" s="478">
        <f t="shared" si="0"/>
        <v>0</v>
      </c>
      <c r="G62" s="490"/>
    </row>
    <row r="63" spans="1:7" s="216" customFormat="1" ht="13">
      <c r="A63" s="509"/>
      <c r="B63" s="500"/>
      <c r="C63" s="501"/>
      <c r="D63" s="476"/>
      <c r="E63" s="471"/>
      <c r="F63" s="478"/>
      <c r="G63" s="490"/>
    </row>
    <row r="64" spans="1:7" s="216" customFormat="1" ht="24">
      <c r="A64" s="479" t="s">
        <v>168</v>
      </c>
      <c r="B64" s="287" t="s">
        <v>680</v>
      </c>
      <c r="C64" s="499"/>
      <c r="D64" s="475"/>
      <c r="E64" s="512"/>
      <c r="F64" s="478"/>
      <c r="G64" s="490"/>
    </row>
    <row r="65" spans="1:7" s="216" customFormat="1" ht="12">
      <c r="A65" s="479" t="s">
        <v>614</v>
      </c>
      <c r="B65" s="502" t="s">
        <v>591</v>
      </c>
      <c r="C65" s="503" t="s">
        <v>135</v>
      </c>
      <c r="D65" s="475">
        <v>1</v>
      </c>
      <c r="E65" s="512"/>
      <c r="F65" s="478">
        <f t="shared" si="0"/>
        <v>0</v>
      </c>
      <c r="G65" s="490"/>
    </row>
    <row r="66" spans="1:7" s="216" customFormat="1" ht="12">
      <c r="A66" s="248" t="s">
        <v>615</v>
      </c>
      <c r="B66" s="504" t="s">
        <v>593</v>
      </c>
      <c r="C66" s="503" t="s">
        <v>135</v>
      </c>
      <c r="D66" s="475">
        <v>1</v>
      </c>
      <c r="E66" s="512"/>
      <c r="F66" s="478">
        <f t="shared" si="0"/>
        <v>0</v>
      </c>
      <c r="G66" s="490"/>
    </row>
    <row r="67" spans="1:7" s="216" customFormat="1" ht="24">
      <c r="A67" s="479" t="s">
        <v>616</v>
      </c>
      <c r="B67" s="505" t="s">
        <v>617</v>
      </c>
      <c r="C67" s="473" t="s">
        <v>135</v>
      </c>
      <c r="D67" s="475">
        <v>1</v>
      </c>
      <c r="E67" s="512"/>
      <c r="F67" s="478">
        <f t="shared" si="0"/>
        <v>0</v>
      </c>
      <c r="G67" s="490"/>
    </row>
    <row r="68" spans="1:7" s="216" customFormat="1" ht="24">
      <c r="A68" s="479" t="s">
        <v>618</v>
      </c>
      <c r="B68" s="474" t="s">
        <v>619</v>
      </c>
      <c r="C68" s="503" t="s">
        <v>135</v>
      </c>
      <c r="D68" s="475">
        <v>2</v>
      </c>
      <c r="E68" s="512"/>
      <c r="F68" s="478">
        <f t="shared" si="0"/>
        <v>0</v>
      </c>
      <c r="G68" s="490"/>
    </row>
    <row r="69" spans="1:7" s="216" customFormat="1" ht="12">
      <c r="A69" s="479" t="s">
        <v>620</v>
      </c>
      <c r="B69" s="505" t="s">
        <v>621</v>
      </c>
      <c r="C69" s="503" t="s">
        <v>135</v>
      </c>
      <c r="D69" s="475">
        <v>1</v>
      </c>
      <c r="E69" s="512"/>
      <c r="F69" s="478">
        <f t="shared" si="0"/>
        <v>0</v>
      </c>
      <c r="G69" s="490"/>
    </row>
    <row r="70" spans="1:7" s="1" customFormat="1" ht="15.65" customHeight="1">
      <c r="A70" s="248" t="s">
        <v>622</v>
      </c>
      <c r="B70" s="504" t="s">
        <v>681</v>
      </c>
      <c r="C70" s="503" t="s">
        <v>135</v>
      </c>
      <c r="D70" s="475">
        <v>1</v>
      </c>
      <c r="E70" s="512"/>
      <c r="F70" s="478">
        <f t="shared" si="0"/>
        <v>0</v>
      </c>
      <c r="G70" s="484"/>
    </row>
    <row r="71" spans="1:7" s="1" customFormat="1" ht="25.5" customHeight="1">
      <c r="A71" s="248" t="s">
        <v>623</v>
      </c>
      <c r="B71" s="504" t="s">
        <v>682</v>
      </c>
      <c r="C71" s="503" t="s">
        <v>135</v>
      </c>
      <c r="D71" s="475">
        <v>1</v>
      </c>
      <c r="E71" s="512"/>
      <c r="F71" s="478">
        <f t="shared" si="0"/>
        <v>0</v>
      </c>
      <c r="G71" s="484"/>
    </row>
    <row r="72" spans="1:7" s="1" customFormat="1" ht="48">
      <c r="A72" s="248" t="s">
        <v>624</v>
      </c>
      <c r="B72" s="287" t="s">
        <v>625</v>
      </c>
      <c r="C72" s="503" t="s">
        <v>135</v>
      </c>
      <c r="D72" s="475">
        <v>1</v>
      </c>
      <c r="E72" s="512"/>
      <c r="F72" s="478">
        <f t="shared" si="0"/>
        <v>0</v>
      </c>
      <c r="G72" s="484"/>
    </row>
    <row r="73" spans="1:7" s="1" customFormat="1" ht="13.5" customHeight="1">
      <c r="A73" s="248"/>
      <c r="B73" s="287"/>
      <c r="C73" s="503"/>
      <c r="D73" s="475"/>
      <c r="E73" s="514"/>
      <c r="F73" s="478"/>
      <c r="G73" s="484"/>
    </row>
    <row r="74" spans="1:7" s="1" customFormat="1" ht="36">
      <c r="A74" s="248" t="s">
        <v>174</v>
      </c>
      <c r="B74" s="287" t="s">
        <v>683</v>
      </c>
      <c r="C74" s="503"/>
      <c r="D74" s="475"/>
      <c r="E74" s="512"/>
      <c r="F74" s="478"/>
      <c r="G74" s="484"/>
    </row>
    <row r="75" spans="1:7" s="1" customFormat="1" ht="14">
      <c r="A75" s="248" t="s">
        <v>626</v>
      </c>
      <c r="B75" s="504" t="s">
        <v>627</v>
      </c>
      <c r="C75" s="503" t="s">
        <v>135</v>
      </c>
      <c r="D75" s="475">
        <v>1</v>
      </c>
      <c r="E75" s="512"/>
      <c r="F75" s="478">
        <f t="shared" si="0"/>
        <v>0</v>
      </c>
      <c r="G75" s="484"/>
    </row>
    <row r="76" spans="1:7" s="1" customFormat="1" ht="36">
      <c r="A76" s="510" t="s">
        <v>628</v>
      </c>
      <c r="B76" s="287" t="s">
        <v>629</v>
      </c>
      <c r="C76" s="503" t="s">
        <v>582</v>
      </c>
      <c r="D76" s="475">
        <v>1</v>
      </c>
      <c r="E76" s="512"/>
      <c r="F76" s="478">
        <f t="shared" si="0"/>
        <v>0</v>
      </c>
      <c r="G76" s="484"/>
    </row>
    <row r="77" spans="1:7" s="1" customFormat="1" ht="14">
      <c r="A77" s="510"/>
      <c r="B77" s="287"/>
      <c r="C77" s="503"/>
      <c r="D77" s="475"/>
      <c r="E77" s="512"/>
      <c r="F77" s="478"/>
      <c r="G77" s="484"/>
    </row>
    <row r="78" spans="1:7" s="1" customFormat="1" ht="14">
      <c r="A78" s="510"/>
      <c r="B78" s="506" t="s">
        <v>630</v>
      </c>
      <c r="C78" s="503"/>
      <c r="D78" s="475"/>
      <c r="E78" s="512"/>
      <c r="F78" s="478"/>
      <c r="G78" s="484"/>
    </row>
    <row r="79" spans="1:7" s="1" customFormat="1" ht="24">
      <c r="A79" s="510"/>
      <c r="B79" s="506" t="s">
        <v>631</v>
      </c>
      <c r="C79" s="503"/>
      <c r="D79" s="475"/>
      <c r="E79" s="512"/>
      <c r="F79" s="478"/>
      <c r="G79" s="484"/>
    </row>
    <row r="80" spans="1:7" s="1" customFormat="1" ht="14">
      <c r="A80" s="509"/>
      <c r="B80" s="500"/>
      <c r="C80" s="501"/>
      <c r="D80" s="476"/>
      <c r="E80" s="471"/>
      <c r="F80" s="478"/>
      <c r="G80" s="484"/>
    </row>
    <row r="81" spans="1:7" s="1" customFormat="1" ht="14">
      <c r="A81" s="479"/>
      <c r="B81" s="250" t="s">
        <v>632</v>
      </c>
      <c r="C81" s="499"/>
      <c r="D81" s="475"/>
      <c r="E81" s="512"/>
      <c r="F81" s="478"/>
      <c r="G81" s="484"/>
    </row>
    <row r="82" spans="1:7" s="1" customFormat="1" ht="48">
      <c r="A82" s="248" t="s">
        <v>179</v>
      </c>
      <c r="B82" s="287" t="s">
        <v>684</v>
      </c>
      <c r="C82" s="503"/>
      <c r="D82" s="475"/>
      <c r="E82" s="512"/>
      <c r="F82" s="478"/>
      <c r="G82" s="484"/>
    </row>
    <row r="83" spans="1:7" s="1" customFormat="1" ht="14">
      <c r="A83" s="248" t="s">
        <v>633</v>
      </c>
      <c r="B83" s="287" t="s">
        <v>634</v>
      </c>
      <c r="C83" s="503" t="s">
        <v>635</v>
      </c>
      <c r="D83" s="475">
        <v>25</v>
      </c>
      <c r="E83" s="512"/>
      <c r="F83" s="478">
        <f t="shared" si="0"/>
        <v>0</v>
      </c>
      <c r="G83" s="484"/>
    </row>
    <row r="84" spans="1:7" s="1" customFormat="1" ht="14">
      <c r="A84" s="248" t="s">
        <v>636</v>
      </c>
      <c r="B84" s="287" t="s">
        <v>637</v>
      </c>
      <c r="C84" s="503" t="s">
        <v>635</v>
      </c>
      <c r="D84" s="475">
        <v>25</v>
      </c>
      <c r="E84" s="512"/>
      <c r="F84" s="478">
        <f t="shared" si="0"/>
        <v>0</v>
      </c>
      <c r="G84" s="484"/>
    </row>
    <row r="85" spans="1:7" s="1" customFormat="1" ht="16.5" customHeight="1">
      <c r="A85" s="509"/>
      <c r="B85" s="500"/>
      <c r="C85" s="501"/>
      <c r="D85" s="476"/>
      <c r="E85" s="471"/>
      <c r="F85" s="478"/>
      <c r="G85" s="484"/>
    </row>
    <row r="86" spans="1:7" s="1" customFormat="1" ht="38.25" customHeight="1">
      <c r="A86" s="248" t="s">
        <v>339</v>
      </c>
      <c r="B86" s="287" t="s">
        <v>685</v>
      </c>
      <c r="C86" s="503"/>
      <c r="D86" s="475"/>
      <c r="E86" s="512"/>
      <c r="F86" s="478"/>
      <c r="G86" s="484"/>
    </row>
    <row r="87" spans="1:7" s="1" customFormat="1" ht="14.25" customHeight="1">
      <c r="A87" s="248" t="s">
        <v>638</v>
      </c>
      <c r="B87" s="287" t="s">
        <v>634</v>
      </c>
      <c r="C87" s="503" t="s">
        <v>635</v>
      </c>
      <c r="D87" s="475">
        <v>5</v>
      </c>
      <c r="E87" s="512"/>
      <c r="F87" s="478">
        <f t="shared" si="0"/>
        <v>0</v>
      </c>
      <c r="G87" s="484"/>
    </row>
    <row r="88" spans="1:7" ht="12">
      <c r="A88" s="248" t="s">
        <v>639</v>
      </c>
      <c r="B88" s="287" t="s">
        <v>637</v>
      </c>
      <c r="C88" s="503" t="s">
        <v>635</v>
      </c>
      <c r="D88" s="475">
        <v>5</v>
      </c>
      <c r="E88" s="512"/>
      <c r="F88" s="478">
        <f t="shared" si="0"/>
        <v>0</v>
      </c>
    </row>
    <row r="89" spans="1:7" ht="13">
      <c r="A89" s="509"/>
      <c r="B89" s="500"/>
      <c r="C89" s="501"/>
      <c r="D89" s="476"/>
      <c r="E89" s="471"/>
      <c r="F89" s="478"/>
    </row>
    <row r="90" spans="1:7" ht="37.5" customHeight="1">
      <c r="A90" s="248" t="s">
        <v>344</v>
      </c>
      <c r="B90" s="287" t="s">
        <v>686</v>
      </c>
      <c r="C90" s="503"/>
      <c r="D90" s="475"/>
      <c r="E90" s="512"/>
      <c r="F90" s="478"/>
    </row>
    <row r="91" spans="1:7" ht="13.5" customHeight="1">
      <c r="A91" s="248"/>
      <c r="B91" s="287" t="s">
        <v>640</v>
      </c>
      <c r="C91" s="503" t="s">
        <v>635</v>
      </c>
      <c r="D91" s="475">
        <v>5</v>
      </c>
      <c r="E91" s="512"/>
      <c r="F91" s="478">
        <f t="shared" si="0"/>
        <v>0</v>
      </c>
    </row>
    <row r="92" spans="1:7" ht="12">
      <c r="A92" s="248"/>
      <c r="B92" s="287"/>
      <c r="C92" s="503"/>
      <c r="D92" s="475"/>
      <c r="E92" s="512"/>
      <c r="F92" s="478"/>
    </row>
    <row r="93" spans="1:7" ht="50.25" customHeight="1">
      <c r="A93" s="248" t="s">
        <v>347</v>
      </c>
      <c r="B93" s="287" t="s">
        <v>687</v>
      </c>
      <c r="C93" s="503"/>
      <c r="D93" s="475"/>
      <c r="E93" s="512"/>
      <c r="F93" s="478"/>
    </row>
    <row r="94" spans="1:7" ht="14.25" customHeight="1">
      <c r="A94" s="248" t="s">
        <v>641</v>
      </c>
      <c r="B94" s="287" t="s">
        <v>640</v>
      </c>
      <c r="C94" s="503" t="s">
        <v>635</v>
      </c>
      <c r="D94" s="475">
        <v>40</v>
      </c>
      <c r="E94" s="512"/>
      <c r="F94" s="478">
        <f t="shared" si="0"/>
        <v>0</v>
      </c>
    </row>
    <row r="95" spans="1:7" ht="24">
      <c r="A95" s="248" t="s">
        <v>642</v>
      </c>
      <c r="B95" s="287" t="s">
        <v>643</v>
      </c>
      <c r="C95" s="503" t="s">
        <v>635</v>
      </c>
      <c r="D95" s="475">
        <v>35</v>
      </c>
      <c r="E95" s="512"/>
      <c r="F95" s="478">
        <f t="shared" si="0"/>
        <v>0</v>
      </c>
    </row>
    <row r="96" spans="1:7" ht="12">
      <c r="A96" s="248"/>
      <c r="B96" s="287"/>
      <c r="C96" s="503"/>
      <c r="D96" s="475"/>
      <c r="E96" s="512"/>
      <c r="F96" s="478"/>
    </row>
    <row r="97" spans="1:6" ht="36">
      <c r="A97" s="248" t="s">
        <v>351</v>
      </c>
      <c r="B97" s="287" t="s">
        <v>688</v>
      </c>
      <c r="C97" s="503"/>
      <c r="D97" s="475"/>
      <c r="E97" s="512"/>
      <c r="F97" s="478"/>
    </row>
    <row r="98" spans="1:6" ht="12">
      <c r="A98" s="248" t="s">
        <v>644</v>
      </c>
      <c r="B98" s="287" t="s">
        <v>645</v>
      </c>
      <c r="C98" s="503" t="s">
        <v>635</v>
      </c>
      <c r="D98" s="475">
        <v>45</v>
      </c>
      <c r="E98" s="512"/>
      <c r="F98" s="478">
        <f t="shared" si="0"/>
        <v>0</v>
      </c>
    </row>
    <row r="99" spans="1:6" ht="24">
      <c r="A99" s="248" t="s">
        <v>646</v>
      </c>
      <c r="B99" s="287" t="s">
        <v>647</v>
      </c>
      <c r="C99" s="503" t="s">
        <v>635</v>
      </c>
      <c r="D99" s="475">
        <v>40</v>
      </c>
      <c r="E99" s="512"/>
      <c r="F99" s="478">
        <f t="shared" si="0"/>
        <v>0</v>
      </c>
    </row>
    <row r="100" spans="1:6" ht="13">
      <c r="A100" s="511"/>
      <c r="B100" s="507"/>
      <c r="C100" s="507"/>
      <c r="D100" s="477"/>
      <c r="E100" s="515"/>
      <c r="F100" s="478"/>
    </row>
    <row r="101" spans="1:6" ht="36">
      <c r="A101" s="479" t="s">
        <v>405</v>
      </c>
      <c r="B101" s="508" t="s">
        <v>648</v>
      </c>
      <c r="C101" s="503" t="s">
        <v>582</v>
      </c>
      <c r="D101" s="475">
        <v>1</v>
      </c>
      <c r="E101" s="512"/>
      <c r="F101" s="478">
        <f t="shared" si="0"/>
        <v>0</v>
      </c>
    </row>
    <row r="102" spans="1:6" ht="13">
      <c r="A102" s="509"/>
      <c r="B102" s="500"/>
      <c r="C102" s="501"/>
      <c r="D102" s="476"/>
      <c r="E102" s="471"/>
      <c r="F102" s="478"/>
    </row>
    <row r="103" spans="1:6" ht="12">
      <c r="A103" s="479"/>
      <c r="B103" s="250" t="s">
        <v>649</v>
      </c>
      <c r="C103" s="499"/>
      <c r="D103" s="475"/>
      <c r="E103" s="512"/>
      <c r="F103" s="478"/>
    </row>
    <row r="104" spans="1:6" ht="36">
      <c r="A104" s="248" t="s">
        <v>408</v>
      </c>
      <c r="B104" s="258" t="s">
        <v>650</v>
      </c>
      <c r="C104" s="503" t="s">
        <v>135</v>
      </c>
      <c r="D104" s="475">
        <v>1</v>
      </c>
      <c r="E104" s="512"/>
      <c r="F104" s="478">
        <f t="shared" ref="F104:F132" si="1">ROUND(D104*E104,2)</f>
        <v>0</v>
      </c>
    </row>
    <row r="105" spans="1:6" ht="13">
      <c r="A105" s="509"/>
      <c r="B105" s="500"/>
      <c r="C105" s="501"/>
      <c r="D105" s="476"/>
      <c r="E105" s="513"/>
      <c r="F105" s="478"/>
    </row>
    <row r="106" spans="1:6" ht="24">
      <c r="A106" s="479" t="s">
        <v>411</v>
      </c>
      <c r="B106" s="287" t="s">
        <v>651</v>
      </c>
      <c r="C106" s="503" t="s">
        <v>135</v>
      </c>
      <c r="D106" s="475">
        <v>2</v>
      </c>
      <c r="E106" s="512"/>
      <c r="F106" s="478">
        <f t="shared" si="1"/>
        <v>0</v>
      </c>
    </row>
    <row r="107" spans="1:6" ht="13">
      <c r="A107" s="509"/>
      <c r="B107" s="500"/>
      <c r="C107" s="501"/>
      <c r="D107" s="476"/>
      <c r="E107" s="471"/>
      <c r="F107" s="478"/>
    </row>
    <row r="108" spans="1:6" ht="12">
      <c r="A108" s="479"/>
      <c r="B108" s="250" t="s">
        <v>652</v>
      </c>
      <c r="C108" s="503"/>
      <c r="D108" s="475"/>
      <c r="E108" s="512"/>
      <c r="F108" s="478"/>
    </row>
    <row r="109" spans="1:6" ht="24">
      <c r="A109" s="479" t="s">
        <v>413</v>
      </c>
      <c r="B109" s="258" t="s">
        <v>653</v>
      </c>
      <c r="C109" s="503" t="s">
        <v>635</v>
      </c>
      <c r="D109" s="475">
        <v>16</v>
      </c>
      <c r="E109" s="512"/>
      <c r="F109" s="478">
        <f t="shared" si="1"/>
        <v>0</v>
      </c>
    </row>
    <row r="110" spans="1:6" ht="12">
      <c r="A110" s="479"/>
      <c r="B110" s="258"/>
      <c r="C110" s="503"/>
      <c r="D110" s="475"/>
      <c r="E110" s="512"/>
      <c r="F110" s="478"/>
    </row>
    <row r="111" spans="1:6" ht="24">
      <c r="A111" s="479" t="s">
        <v>416</v>
      </c>
      <c r="B111" s="287" t="s">
        <v>654</v>
      </c>
      <c r="C111" s="503" t="s">
        <v>135</v>
      </c>
      <c r="D111" s="475">
        <v>12</v>
      </c>
      <c r="E111" s="512"/>
      <c r="F111" s="478">
        <f t="shared" si="1"/>
        <v>0</v>
      </c>
    </row>
    <row r="112" spans="1:6" ht="12">
      <c r="A112" s="479"/>
      <c r="B112" s="258"/>
      <c r="C112" s="503"/>
      <c r="D112" s="475"/>
      <c r="E112" s="512"/>
      <c r="F112" s="478"/>
    </row>
    <row r="113" spans="1:6" ht="12">
      <c r="A113" s="248"/>
      <c r="B113" s="250" t="s">
        <v>655</v>
      </c>
      <c r="C113" s="503"/>
      <c r="D113" s="475"/>
      <c r="E113" s="512"/>
      <c r="F113" s="478"/>
    </row>
    <row r="114" spans="1:6" ht="48">
      <c r="A114" s="248" t="s">
        <v>656</v>
      </c>
      <c r="B114" s="287" t="s">
        <v>689</v>
      </c>
      <c r="C114" s="503"/>
      <c r="D114" s="475"/>
      <c r="E114" s="512"/>
      <c r="F114" s="478"/>
    </row>
    <row r="115" spans="1:6" ht="12">
      <c r="A115" s="248" t="s">
        <v>657</v>
      </c>
      <c r="B115" s="287" t="s">
        <v>658</v>
      </c>
      <c r="C115" s="503" t="s">
        <v>635</v>
      </c>
      <c r="D115" s="475">
        <v>80</v>
      </c>
      <c r="E115" s="512"/>
      <c r="F115" s="478">
        <f t="shared" si="1"/>
        <v>0</v>
      </c>
    </row>
    <row r="116" spans="1:6" ht="24">
      <c r="A116" s="248" t="s">
        <v>659</v>
      </c>
      <c r="B116" s="287" t="s">
        <v>647</v>
      </c>
      <c r="C116" s="503" t="s">
        <v>635</v>
      </c>
      <c r="D116" s="475">
        <v>40</v>
      </c>
      <c r="E116" s="512"/>
      <c r="F116" s="478">
        <f t="shared" si="1"/>
        <v>0</v>
      </c>
    </row>
    <row r="117" spans="1:6" ht="24">
      <c r="A117" s="248" t="s">
        <v>660</v>
      </c>
      <c r="B117" s="287" t="s">
        <v>661</v>
      </c>
      <c r="C117" s="503" t="s">
        <v>135</v>
      </c>
      <c r="D117" s="475">
        <v>4</v>
      </c>
      <c r="E117" s="512"/>
      <c r="F117" s="478">
        <f t="shared" si="1"/>
        <v>0</v>
      </c>
    </row>
    <row r="118" spans="1:6" ht="13">
      <c r="A118" s="509"/>
      <c r="B118" s="500"/>
      <c r="C118" s="501"/>
      <c r="D118" s="476"/>
      <c r="E118" s="471"/>
      <c r="F118" s="478"/>
    </row>
    <row r="119" spans="1:6" ht="36">
      <c r="A119" s="248" t="s">
        <v>662</v>
      </c>
      <c r="B119" s="287" t="s">
        <v>690</v>
      </c>
      <c r="C119" s="503"/>
      <c r="D119" s="475"/>
      <c r="E119" s="512"/>
      <c r="F119" s="478"/>
    </row>
    <row r="120" spans="1:6" ht="12">
      <c r="A120" s="248"/>
      <c r="B120" s="287" t="s">
        <v>658</v>
      </c>
      <c r="C120" s="503" t="s">
        <v>635</v>
      </c>
      <c r="D120" s="475">
        <v>5</v>
      </c>
      <c r="E120" s="512"/>
      <c r="F120" s="478">
        <f t="shared" si="1"/>
        <v>0</v>
      </c>
    </row>
    <row r="121" spans="1:6" ht="12">
      <c r="A121" s="479"/>
      <c r="B121" s="258"/>
      <c r="C121" s="503"/>
      <c r="D121" s="475"/>
      <c r="E121" s="512"/>
      <c r="F121" s="478"/>
    </row>
    <row r="122" spans="1:6" ht="36">
      <c r="A122" s="248" t="s">
        <v>663</v>
      </c>
      <c r="B122" s="287" t="s">
        <v>691</v>
      </c>
      <c r="C122" s="503"/>
      <c r="D122" s="475"/>
      <c r="E122" s="512"/>
      <c r="F122" s="478"/>
    </row>
    <row r="123" spans="1:6" ht="12">
      <c r="A123" s="248"/>
      <c r="B123" s="287" t="s">
        <v>658</v>
      </c>
      <c r="C123" s="503" t="s">
        <v>635</v>
      </c>
      <c r="D123" s="475">
        <v>5</v>
      </c>
      <c r="E123" s="512"/>
      <c r="F123" s="478">
        <f t="shared" si="1"/>
        <v>0</v>
      </c>
    </row>
    <row r="124" spans="1:6" ht="12">
      <c r="A124" s="248"/>
      <c r="B124" s="287"/>
      <c r="C124" s="503"/>
      <c r="D124" s="475"/>
      <c r="E124" s="512"/>
      <c r="F124" s="478"/>
    </row>
    <row r="125" spans="1:6" ht="12">
      <c r="A125" s="248"/>
      <c r="B125" s="250" t="s">
        <v>664</v>
      </c>
      <c r="C125" s="503"/>
      <c r="D125" s="475"/>
      <c r="E125" s="516"/>
      <c r="F125" s="478"/>
    </row>
    <row r="126" spans="1:6" ht="12">
      <c r="A126" s="248" t="s">
        <v>665</v>
      </c>
      <c r="B126" s="248" t="s">
        <v>666</v>
      </c>
      <c r="C126" s="503"/>
      <c r="D126" s="475"/>
      <c r="E126" s="516"/>
      <c r="F126" s="478"/>
    </row>
    <row r="127" spans="1:6" ht="12">
      <c r="A127" s="248" t="s">
        <v>667</v>
      </c>
      <c r="B127" s="287" t="s">
        <v>668</v>
      </c>
      <c r="C127" s="503" t="s">
        <v>135</v>
      </c>
      <c r="D127" s="475">
        <v>1</v>
      </c>
      <c r="E127" s="512"/>
      <c r="F127" s="478">
        <f t="shared" si="1"/>
        <v>0</v>
      </c>
    </row>
    <row r="128" spans="1:6" ht="12">
      <c r="A128" s="248" t="s">
        <v>669</v>
      </c>
      <c r="B128" s="287" t="s">
        <v>670</v>
      </c>
      <c r="C128" s="503" t="s">
        <v>135</v>
      </c>
      <c r="D128" s="475">
        <v>6</v>
      </c>
      <c r="E128" s="512"/>
      <c r="F128" s="478">
        <f t="shared" si="1"/>
        <v>0</v>
      </c>
    </row>
    <row r="129" spans="1:6" ht="12">
      <c r="A129" s="248"/>
      <c r="B129" s="287"/>
      <c r="C129" s="503"/>
      <c r="D129" s="475"/>
      <c r="E129" s="512"/>
      <c r="F129" s="478"/>
    </row>
    <row r="130" spans="1:6" ht="12">
      <c r="A130" s="248" t="s">
        <v>671</v>
      </c>
      <c r="B130" s="248" t="s">
        <v>672</v>
      </c>
      <c r="C130" s="503"/>
      <c r="D130" s="475"/>
      <c r="E130" s="512"/>
      <c r="F130" s="478"/>
    </row>
    <row r="131" spans="1:6" ht="24">
      <c r="A131" s="479" t="s">
        <v>673</v>
      </c>
      <c r="B131" s="258" t="s">
        <v>674</v>
      </c>
      <c r="C131" s="503" t="s">
        <v>135</v>
      </c>
      <c r="D131" s="475">
        <v>1</v>
      </c>
      <c r="E131" s="512"/>
      <c r="F131" s="478">
        <f t="shared" si="1"/>
        <v>0</v>
      </c>
    </row>
    <row r="132" spans="1:6" ht="24">
      <c r="A132" s="479" t="s">
        <v>675</v>
      </c>
      <c r="B132" s="258" t="s">
        <v>676</v>
      </c>
      <c r="C132" s="503" t="s">
        <v>135</v>
      </c>
      <c r="D132" s="475">
        <v>6</v>
      </c>
      <c r="E132" s="512"/>
      <c r="F132" s="478">
        <f t="shared" si="1"/>
        <v>0</v>
      </c>
    </row>
    <row r="133" spans="1:6" ht="12" thickBot="1"/>
    <row r="134" spans="1:6" ht="12.5" thickBot="1">
      <c r="A134" s="241" t="s">
        <v>558</v>
      </c>
      <c r="B134" s="459" t="s">
        <v>692</v>
      </c>
      <c r="C134" s="243"/>
      <c r="D134" s="202"/>
      <c r="E134" s="361" t="s">
        <v>507</v>
      </c>
      <c r="F134" s="245">
        <f>SUM(F37:F133)</f>
        <v>0</v>
      </c>
    </row>
  </sheetData>
  <sheetProtection algorithmName="SHA-512" hashValue="xM0jrr51XKIVbjvxGKh+oVW+znzXHeAgR6zjUsnIY2WutIoUPF00zCLiRDFWKawQQS/d3WOgLhV7UJuE8PS6HQ==" saltValue="LzXDoYrDRYuvnAjVyCyu/Q==" spinCount="100000" sheet="1" objects="1" scenarios="1"/>
  <mergeCells count="27">
    <mergeCell ref="A27:E27"/>
    <mergeCell ref="A34:E34"/>
    <mergeCell ref="A33:E33"/>
    <mergeCell ref="A28:E28"/>
    <mergeCell ref="A29:E29"/>
    <mergeCell ref="A32:E32"/>
    <mergeCell ref="A30:E30"/>
    <mergeCell ref="A31:E31"/>
    <mergeCell ref="A22:E22"/>
    <mergeCell ref="A21:E21"/>
    <mergeCell ref="A23:E23"/>
    <mergeCell ref="A26:E26"/>
    <mergeCell ref="A24:E24"/>
    <mergeCell ref="A25:E25"/>
    <mergeCell ref="A14:E14"/>
    <mergeCell ref="A16:E16"/>
    <mergeCell ref="A18:E18"/>
    <mergeCell ref="A20:E20"/>
    <mergeCell ref="A15:E15"/>
    <mergeCell ref="A17:E17"/>
    <mergeCell ref="A19:E19"/>
    <mergeCell ref="A2:F2"/>
    <mergeCell ref="A3:F3"/>
    <mergeCell ref="B7:F7"/>
    <mergeCell ref="A11:E11"/>
    <mergeCell ref="A13:E13"/>
    <mergeCell ref="A12:E12"/>
  </mergeCells>
  <pageMargins left="0.70866141732283472" right="0.70866141732283472" top="0.74803149606299213" bottom="0.74803149606299213" header="0.31496062992125984" footer="0.31496062992125984"/>
  <pageSetup paperSize="9" scale="8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rowBreaks count="4" manualBreakCount="4">
    <brk id="35" max="5" man="1"/>
    <brk id="52" max="5" man="1"/>
    <brk id="77" max="5" man="1"/>
    <brk id="112" max="5"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90648-B5CE-404C-ACC9-E862DBC8C1BC}">
  <dimension ref="A1:H23"/>
  <sheetViews>
    <sheetView view="pageBreakPreview" zoomScaleNormal="100" zoomScaleSheetLayoutView="100" workbookViewId="0">
      <selection activeCell="B13" sqref="B13"/>
    </sheetView>
  </sheetViews>
  <sheetFormatPr defaultColWidth="9.26953125" defaultRowHeight="14"/>
  <cols>
    <col min="1" max="1" width="5.54296875" style="1" customWidth="1"/>
    <col min="2" max="2" width="42" style="1" customWidth="1"/>
    <col min="3" max="3" width="7.54296875" style="128" customWidth="1"/>
    <col min="4" max="4" width="10.54296875" style="129" customWidth="1"/>
    <col min="5" max="5" width="10.54296875" style="1" customWidth="1"/>
    <col min="6" max="6" width="10.54296875" style="95" customWidth="1"/>
    <col min="7" max="7" width="9.26953125" style="493"/>
    <col min="8" max="8" width="9.26953125" style="1"/>
    <col min="9" max="9" width="56.453125" style="1" customWidth="1"/>
    <col min="10" max="16384" width="9.26953125" style="1"/>
  </cols>
  <sheetData>
    <row r="1" spans="1:8">
      <c r="A1" s="583"/>
      <c r="B1" s="583"/>
      <c r="C1" s="583"/>
      <c r="D1" s="583"/>
      <c r="E1" s="583"/>
      <c r="F1" s="583"/>
      <c r="G1" s="492"/>
    </row>
    <row r="2" spans="1:8">
      <c r="A2" s="551" t="s">
        <v>706</v>
      </c>
      <c r="B2" s="552"/>
      <c r="C2" s="552"/>
      <c r="D2" s="552"/>
      <c r="E2" s="552"/>
      <c r="F2" s="553"/>
    </row>
    <row r="3" spans="1:8" ht="14.5">
      <c r="A3" s="133" t="s">
        <v>695</v>
      </c>
      <c r="B3" s="133"/>
      <c r="C3" s="205"/>
      <c r="D3" s="200"/>
      <c r="E3" s="133"/>
      <c r="F3" s="203"/>
    </row>
    <row r="4" spans="1:8">
      <c r="A4" s="112" t="s">
        <v>98</v>
      </c>
      <c r="B4" s="112" t="s">
        <v>99</v>
      </c>
      <c r="C4" s="112" t="s">
        <v>100</v>
      </c>
      <c r="D4" s="113" t="s">
        <v>101</v>
      </c>
      <c r="E4" s="112" t="s">
        <v>102</v>
      </c>
      <c r="F4" s="112" t="s">
        <v>103</v>
      </c>
    </row>
    <row r="5" spans="1:8">
      <c r="A5" s="101"/>
      <c r="B5" s="101"/>
      <c r="C5" s="101"/>
      <c r="D5" s="114"/>
      <c r="E5" s="101"/>
      <c r="F5" s="101"/>
    </row>
    <row r="6" spans="1:8">
      <c r="A6" s="101"/>
      <c r="B6" s="101"/>
      <c r="C6" s="101"/>
      <c r="D6" s="114"/>
      <c r="E6" s="101"/>
      <c r="F6" s="101"/>
    </row>
    <row r="7" spans="1:8" ht="15" thickBot="1">
      <c r="A7" s="102" t="s">
        <v>693</v>
      </c>
      <c r="B7" s="560" t="s">
        <v>696</v>
      </c>
      <c r="C7" s="560"/>
      <c r="D7" s="560"/>
      <c r="E7" s="560"/>
      <c r="F7" s="560"/>
    </row>
    <row r="8" spans="1:8" ht="14.5">
      <c r="A8" s="157"/>
      <c r="B8" s="271"/>
      <c r="C8" s="271"/>
      <c r="D8" s="271"/>
      <c r="E8" s="271"/>
      <c r="F8" s="271"/>
    </row>
    <row r="9" spans="1:8" ht="25.5" customHeight="1">
      <c r="A9" s="479" t="s">
        <v>119</v>
      </c>
      <c r="B9" s="474" t="s">
        <v>697</v>
      </c>
      <c r="C9" s="473" t="s">
        <v>135</v>
      </c>
      <c r="D9" s="407">
        <v>1</v>
      </c>
      <c r="E9" s="486"/>
      <c r="F9" s="201">
        <f>ROUND(D9*E9,2)</f>
        <v>0</v>
      </c>
    </row>
    <row r="10" spans="1:8" ht="14.25" customHeight="1">
      <c r="A10" s="479"/>
      <c r="B10" s="474"/>
      <c r="C10" s="473"/>
      <c r="D10" s="407"/>
      <c r="E10" s="104"/>
      <c r="F10" s="201"/>
    </row>
    <row r="11" spans="1:8" s="216" customFormat="1" ht="12">
      <c r="A11" s="479" t="s">
        <v>122</v>
      </c>
      <c r="B11" s="474" t="s">
        <v>698</v>
      </c>
      <c r="C11" s="473" t="s">
        <v>135</v>
      </c>
      <c r="D11" s="407">
        <v>1</v>
      </c>
      <c r="E11" s="104"/>
      <c r="F11" s="201">
        <f t="shared" ref="F11:F19" si="0">ROUND(D11*E11,2)</f>
        <v>0</v>
      </c>
      <c r="G11" s="494"/>
      <c r="H11" s="104"/>
    </row>
    <row r="12" spans="1:8" s="216" customFormat="1" ht="12">
      <c r="A12" s="479"/>
      <c r="B12" s="474"/>
      <c r="C12" s="473"/>
      <c r="D12" s="407"/>
      <c r="E12" s="104"/>
      <c r="F12" s="201"/>
      <c r="G12" s="494"/>
      <c r="H12" s="104"/>
    </row>
    <row r="13" spans="1:8" s="216" customFormat="1" ht="26.25" customHeight="1">
      <c r="A13" s="479" t="s">
        <v>127</v>
      </c>
      <c r="B13" s="474" t="s">
        <v>699</v>
      </c>
      <c r="C13" s="473" t="s">
        <v>135</v>
      </c>
      <c r="D13" s="407">
        <v>1</v>
      </c>
      <c r="E13" s="104"/>
      <c r="F13" s="201">
        <f t="shared" si="0"/>
        <v>0</v>
      </c>
      <c r="G13" s="494"/>
      <c r="H13" s="104"/>
    </row>
    <row r="14" spans="1:8" s="216" customFormat="1" ht="12">
      <c r="A14" s="479"/>
      <c r="B14" s="474"/>
      <c r="C14" s="473"/>
      <c r="D14" s="407"/>
      <c r="E14" s="104"/>
      <c r="F14" s="201"/>
      <c r="G14" s="494"/>
      <c r="H14" s="104"/>
    </row>
    <row r="15" spans="1:8" s="216" customFormat="1" ht="24">
      <c r="A15" s="479" t="s">
        <v>131</v>
      </c>
      <c r="B15" s="474" t="s">
        <v>813</v>
      </c>
      <c r="C15" s="473" t="s">
        <v>135</v>
      </c>
      <c r="D15" s="407">
        <v>1</v>
      </c>
      <c r="E15" s="104"/>
      <c r="F15" s="201">
        <f>ROUND(D15*E15,2)</f>
        <v>0</v>
      </c>
      <c r="G15" s="494"/>
      <c r="H15" s="104"/>
    </row>
    <row r="16" spans="1:8" s="216" customFormat="1" ht="12">
      <c r="A16" s="479"/>
      <c r="B16" s="474"/>
      <c r="C16" s="473"/>
      <c r="D16" s="407"/>
      <c r="E16" s="104"/>
      <c r="F16" s="201"/>
      <c r="G16" s="494"/>
      <c r="H16" s="104"/>
    </row>
    <row r="17" spans="1:8" s="216" customFormat="1" ht="12">
      <c r="A17" s="479" t="s">
        <v>133</v>
      </c>
      <c r="B17" s="474" t="s">
        <v>814</v>
      </c>
      <c r="C17" s="473" t="s">
        <v>135</v>
      </c>
      <c r="D17" s="407">
        <v>1</v>
      </c>
      <c r="E17" s="104"/>
      <c r="F17" s="201">
        <f t="shared" si="0"/>
        <v>0</v>
      </c>
      <c r="G17" s="494"/>
      <c r="H17" s="104"/>
    </row>
    <row r="18" spans="1:8" s="216" customFormat="1" ht="12">
      <c r="A18" s="479"/>
      <c r="B18" s="287"/>
      <c r="C18" s="473"/>
      <c r="D18" s="407"/>
      <c r="E18" s="104"/>
      <c r="F18" s="201"/>
      <c r="G18" s="494"/>
      <c r="H18" s="104"/>
    </row>
    <row r="19" spans="1:8" s="216" customFormat="1" ht="48">
      <c r="A19" s="479" t="s">
        <v>168</v>
      </c>
      <c r="B19" s="474" t="s">
        <v>700</v>
      </c>
      <c r="C19" s="473" t="s">
        <v>135</v>
      </c>
      <c r="D19" s="407">
        <v>1</v>
      </c>
      <c r="E19" s="104"/>
      <c r="F19" s="201">
        <f t="shared" si="0"/>
        <v>0</v>
      </c>
      <c r="G19" s="494"/>
      <c r="H19" s="104"/>
    </row>
    <row r="20" spans="1:8" s="216" customFormat="1" ht="12">
      <c r="A20" s="110"/>
      <c r="B20" s="421"/>
      <c r="C20" s="422"/>
      <c r="D20" s="105"/>
      <c r="E20" s="104"/>
      <c r="F20" s="201"/>
      <c r="G20" s="494"/>
      <c r="H20" s="104"/>
    </row>
    <row r="21" spans="1:8" ht="14.5" thickBot="1"/>
    <row r="22" spans="1:8" ht="14.5" thickBot="1">
      <c r="A22" s="241" t="s">
        <v>693</v>
      </c>
      <c r="B22" s="459" t="s">
        <v>694</v>
      </c>
      <c r="C22" s="243"/>
      <c r="D22" s="202"/>
      <c r="E22" s="361" t="s">
        <v>507</v>
      </c>
      <c r="F22" s="245">
        <f>SUM(F9:F21)</f>
        <v>0</v>
      </c>
    </row>
    <row r="23" spans="1:8">
      <c r="D23" s="130"/>
    </row>
  </sheetData>
  <sheetProtection algorithmName="SHA-512" hashValue="tMno21ULFMtUhDKhL5X3W7F3jkC1v3xITx/pJmPSuP5UWe9yyWYAer7/WeS7d2HZ9j8Tt3CMCWZRSbdYHOwCng==" saltValue="+b7siGr2VLdwkwcFifwbTg==" spinCount="100000" sheet="1" objects="1" scenarios="1"/>
  <mergeCells count="3">
    <mergeCell ref="A1:F1"/>
    <mergeCell ref="A2:F2"/>
    <mergeCell ref="B7:F7"/>
  </mergeCells>
  <pageMargins left="0.70866141732283472" right="0.70866141732283472" top="0.74803149606299213" bottom="0.74803149606299213" header="0.31496062992125984" footer="0.31496062992125984"/>
  <pageSetup paperSize="9" orientation="portrait" r:id="rId1"/>
  <headerFooter alignWithMargins="0">
    <oddHeader>&amp;L&amp;8&amp;K000000Projektantski ured: SAEPTUM d.o.o. Travnička 50/a, Čakovec, Kružna ulica 81, Zagreb
Građevina: SZ Tijardovićeva ulica 28, 30, 32, Zagreb, k.č. 5616/2 k.o. Vrapče</oddHeader>
    <oddFooter>&amp;L&amp;"Calibri,Uobičajeno"&amp;9&amp;K000000Zagreb, travanj 2024. godine&amp;R&amp;9&amp;K00-013&amp;P/&amp;N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6b4092e-46b4-42e8-96dd-3ed95d382771">
      <Terms xmlns="http://schemas.microsoft.com/office/infopath/2007/PartnerControls"/>
    </lcf76f155ced4ddcb4097134ff3c332f>
    <TaxCatchAll xmlns="d21001c5-53a2-42c2-a245-b52f4b214e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kument" ma:contentTypeID="0x01010003FAEAF45145CE4AB37E89D3D303D4B9" ma:contentTypeVersion="11" ma:contentTypeDescription="Stvaranje novog dokumenta." ma:contentTypeScope="" ma:versionID="8367ce220354412aeb92d2249ad0394a">
  <xsd:schema xmlns:xsd="http://www.w3.org/2001/XMLSchema" xmlns:xs="http://www.w3.org/2001/XMLSchema" xmlns:p="http://schemas.microsoft.com/office/2006/metadata/properties" xmlns:ns2="06b4092e-46b4-42e8-96dd-3ed95d382771" xmlns:ns3="d21001c5-53a2-42c2-a245-b52f4b214e56" targetNamespace="http://schemas.microsoft.com/office/2006/metadata/properties" ma:root="true" ma:fieldsID="9f0dd49ddd52ac548bbec05109cfc66f" ns2:_="" ns3:_="">
    <xsd:import namespace="06b4092e-46b4-42e8-96dd-3ed95d382771"/>
    <xsd:import namespace="d21001c5-53a2-42c2-a245-b52f4b214e5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4092e-46b4-42e8-96dd-3ed95d3827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Oznake slika" ma:readOnly="false" ma:fieldId="{5cf76f15-5ced-4ddc-b409-7134ff3c332f}" ma:taxonomyMulti="true" ma:sspId="6a3264f8-011e-4ff0-a09b-38e30d877f57"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21001c5-53a2-42c2-a245-b52f4b214e56"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f682800-b3cc-4184-a3c4-ff2f155f846c}" ma:internalName="TaxCatchAll" ma:showField="CatchAllData" ma:web="d21001c5-53a2-42c2-a245-b52f4b214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Vrsta sadržaja"/>
        <xsd:element ref="dc:title" minOccurs="0" maxOccurs="1" ma:index="4" ma:displayName="Naslov"/>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0E9729-423B-4DCE-9FBA-86F44D53ED5E}">
  <ds:schemaRefs>
    <ds:schemaRef ds:uri="ea08edf6-5938-4382-a2e8-fe9b59949537"/>
    <ds:schemaRef ds:uri="b901e292-b3b2-4438-b34a-eb50f3e70cc5"/>
    <ds:schemaRef ds:uri="http://schemas.microsoft.com/office/2006/documentManagement/types"/>
    <ds:schemaRef ds:uri="http://schemas.microsoft.com/office/2006/metadata/properties"/>
    <ds:schemaRef ds:uri="http://schemas.openxmlformats.org/package/2006/metadata/core-properties"/>
    <ds:schemaRef ds:uri="http://purl.org/dc/dcmitype/"/>
    <ds:schemaRef ds:uri="http://schemas.microsoft.com/office/infopath/2007/PartnerControls"/>
    <ds:schemaRef ds:uri="http://www.w3.org/XML/1998/namespace"/>
    <ds:schemaRef ds:uri="http://purl.org/dc/terms/"/>
    <ds:schemaRef ds:uri="http://purl.org/dc/elements/1.1/"/>
    <ds:schemaRef ds:uri="06b4092e-46b4-42e8-96dd-3ed95d382771"/>
    <ds:schemaRef ds:uri="d21001c5-53a2-42c2-a245-b52f4b214e56"/>
  </ds:schemaRefs>
</ds:datastoreItem>
</file>

<file path=customXml/itemProps2.xml><?xml version="1.0" encoding="utf-8"?>
<ds:datastoreItem xmlns:ds="http://schemas.openxmlformats.org/officeDocument/2006/customXml" ds:itemID="{1B3CFB59-B0FA-4AC7-9D5A-8EDF9CA516A7}">
  <ds:schemaRefs>
    <ds:schemaRef ds:uri="http://schemas.microsoft.com/sharepoint/v3/contenttype/forms"/>
  </ds:schemaRefs>
</ds:datastoreItem>
</file>

<file path=customXml/itemProps3.xml><?xml version="1.0" encoding="utf-8"?>
<ds:datastoreItem xmlns:ds="http://schemas.openxmlformats.org/officeDocument/2006/customXml" ds:itemID="{5E606C93-1257-4D41-98C6-8E0A8BD90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b4092e-46b4-42e8-96dd-3ed95d382771"/>
    <ds:schemaRef ds:uri="d21001c5-53a2-42c2-a245-b52f4b214e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Radni listovi</vt:lpstr>
      </vt:variant>
      <vt:variant>
        <vt:i4>25</vt:i4>
      </vt:variant>
      <vt:variant>
        <vt:lpstr>Imenovani rasponi</vt:lpstr>
      </vt:variant>
      <vt:variant>
        <vt:i4>40</vt:i4>
      </vt:variant>
    </vt:vector>
  </HeadingPairs>
  <TitlesOfParts>
    <vt:vector size="65" baseType="lpstr">
      <vt:lpstr>nas</vt:lpstr>
      <vt:lpstr>uk rek</vt:lpstr>
      <vt:lpstr>sve rek</vt:lpstr>
      <vt:lpstr>sve rek + stolarija</vt:lpstr>
      <vt:lpstr>rekap</vt:lpstr>
      <vt:lpstr>rekap+stolarija</vt:lpstr>
      <vt:lpstr>opći</vt:lpstr>
      <vt:lpstr>A.I.1</vt:lpstr>
      <vt:lpstr>A.I.2</vt:lpstr>
      <vt:lpstr>A.II.1</vt:lpstr>
      <vt:lpstr>A.II.2</vt:lpstr>
      <vt:lpstr>A. III. zemlj.</vt:lpstr>
      <vt:lpstr>A.IV.1.zid</vt:lpstr>
      <vt:lpstr>A.IV.2.zid</vt:lpstr>
      <vt:lpstr>A.V.izo</vt:lpstr>
      <vt:lpstr>B.I.lim</vt:lpstr>
      <vt:lpstr>B.III.brav</vt:lpstr>
      <vt:lpstr>B.II.1. brav</vt:lpstr>
      <vt:lpstr>B.II.2. sto</vt:lpstr>
      <vt:lpstr>B.III.zz</vt:lpstr>
      <vt:lpstr>B.IV.brav </vt:lpstr>
      <vt:lpstr>B.V.1.lič</vt:lpstr>
      <vt:lpstr>B.V.2.lič</vt:lpstr>
      <vt:lpstr>C.I.1 </vt:lpstr>
      <vt:lpstr>C.I.2.</vt:lpstr>
      <vt:lpstr>'A. III. zemlj.'!Ispis_naslova</vt:lpstr>
      <vt:lpstr>A.I.1!Ispis_naslova</vt:lpstr>
      <vt:lpstr>A.I.2!Ispis_naslova</vt:lpstr>
      <vt:lpstr>A.II.1!Ispis_naslova</vt:lpstr>
      <vt:lpstr>A.II.2!Ispis_naslova</vt:lpstr>
      <vt:lpstr>A.IV.1.zid!Ispis_naslova</vt:lpstr>
      <vt:lpstr>A.IV.2.zid!Ispis_naslova</vt:lpstr>
      <vt:lpstr>A.V.izo!Ispis_naslova</vt:lpstr>
      <vt:lpstr>B.I.lim!Ispis_naslova</vt:lpstr>
      <vt:lpstr>'B.II.1. brav'!Ispis_naslova</vt:lpstr>
      <vt:lpstr>'B.II.2. sto'!Ispis_naslova</vt:lpstr>
      <vt:lpstr>B.III.brav!Ispis_naslova</vt:lpstr>
      <vt:lpstr>B.III.zz!Ispis_naslova</vt:lpstr>
      <vt:lpstr>'B.IV.brav '!Ispis_naslova</vt:lpstr>
      <vt:lpstr>B.V.1.lič!Ispis_naslova</vt:lpstr>
      <vt:lpstr>B.V.2.lič!Ispis_naslova</vt:lpstr>
      <vt:lpstr>'C.I.1 '!Ispis_naslova</vt:lpstr>
      <vt:lpstr>C.I.2.!Ispis_naslova</vt:lpstr>
      <vt:lpstr>'A. III. zemlj.'!Podrucje_ispisa</vt:lpstr>
      <vt:lpstr>A.I.1!Podrucje_ispisa</vt:lpstr>
      <vt:lpstr>A.I.2!Podrucje_ispisa</vt:lpstr>
      <vt:lpstr>A.II.1!Podrucje_ispisa</vt:lpstr>
      <vt:lpstr>A.II.2!Podrucje_ispisa</vt:lpstr>
      <vt:lpstr>A.IV.2.zid!Podrucje_ispisa</vt:lpstr>
      <vt:lpstr>A.V.izo!Podrucje_ispisa</vt:lpstr>
      <vt:lpstr>B.I.lim!Podrucje_ispisa</vt:lpstr>
      <vt:lpstr>'B.II.1. brav'!Podrucje_ispisa</vt:lpstr>
      <vt:lpstr>'B.II.2. sto'!Podrucje_ispisa</vt:lpstr>
      <vt:lpstr>B.III.brav!Podrucje_ispisa</vt:lpstr>
      <vt:lpstr>B.III.zz!Podrucje_ispisa</vt:lpstr>
      <vt:lpstr>'B.IV.brav '!Podrucje_ispisa</vt:lpstr>
      <vt:lpstr>B.V.1.lič!Podrucje_ispisa</vt:lpstr>
      <vt:lpstr>B.V.2.lič!Podrucje_ispisa</vt:lpstr>
      <vt:lpstr>'C.I.1 '!Podrucje_ispisa</vt:lpstr>
      <vt:lpstr>C.I.2.!Podrucje_ispisa</vt:lpstr>
      <vt:lpstr>nas!Podrucje_ispisa</vt:lpstr>
      <vt:lpstr>opći!Podrucje_ispisa</vt:lpstr>
      <vt:lpstr>rekap!Podrucje_ispisa</vt:lpstr>
      <vt:lpstr>'rekap+stolarija'!Podrucje_ispisa</vt:lpstr>
      <vt:lpstr>'uk rek'!Podrucje_ispisa</vt:lpstr>
    </vt:vector>
  </TitlesOfParts>
  <Company>HP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Toni</dc:creator>
  <cp:lastModifiedBy>The Author</cp:lastModifiedBy>
  <cp:revision/>
  <cp:lastPrinted>2024-05-21T11:19:41Z</cp:lastPrinted>
  <dcterms:created xsi:type="dcterms:W3CDTF">2012-01-25T10:15:07Z</dcterms:created>
  <dcterms:modified xsi:type="dcterms:W3CDTF">2025-06-30T07:52:26Z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0x01010003FAEAF45145CE4AB37E89D3D303D4B9</vt:lpwstr>
  </property>
  <property fmtid="{D5CDD505-2E9C-101B-9397-08002B2CF9AE}" pid="3" name="MediaServiceImageTags">
    <vt:lpwstr/>
  </property>
</Properties>
</file>