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mc:AlternateContent xmlns:mc="http://schemas.openxmlformats.org/markup-compatibility/2006">
    <mc:Choice Requires="x15">
      <x15ac:absPath xmlns:x15ac="http://schemas.microsoft.com/office/spreadsheetml/2010/11/ac" url="T:\Ilica 103 Primorac\"/>
    </mc:Choice>
  </mc:AlternateContent>
  <xr:revisionPtr revIDLastSave="0" documentId="13_ncr:1_{7A691BA2-F25D-4604-97FA-FA375E81D0ED}" xr6:coauthVersionLast="47" xr6:coauthVersionMax="47" xr10:uidLastSave="{00000000-0000-0000-0000-000000000000}"/>
  <bookViews>
    <workbookView xWindow="6330" yWindow="795" windowWidth="20280" windowHeight="20310" tabRatio="730" activeTab="2" xr2:uid="{EB1B90FF-823B-42DC-B0D8-158D864B89EC}"/>
  </bookViews>
  <sheets>
    <sheet name="Naslovnica" sheetId="1" r:id="rId1"/>
    <sheet name="Opći uvjeti" sheetId="12" r:id="rId2"/>
    <sheet name="A GOR " sheetId="13" r:id="rId3"/>
  </sheets>
  <definedNames>
    <definedName name="_xlnm.Print_Area" localSheetId="2">'A GOR '!$A$1:$H$1024</definedName>
    <definedName name="_xlnm.Print_Area" localSheetId="0">Naslovnica!$A$1:$F$54</definedName>
    <definedName name="_xlnm.Print_Titles" localSheetId="2">'A GOR '!$5:$6</definedName>
  </definedNames>
  <calcPr calcId="191029"/>
</workbook>
</file>

<file path=xl/calcChain.xml><?xml version="1.0" encoding="utf-8"?>
<calcChain xmlns="http://schemas.openxmlformats.org/spreadsheetml/2006/main">
  <c r="F759" i="13" l="1"/>
  <c r="F743" i="13"/>
  <c r="F724" i="13"/>
  <c r="F704" i="13"/>
  <c r="F685" i="13"/>
  <c r="F666" i="13"/>
  <c r="F795" i="13"/>
  <c r="F791" i="13"/>
  <c r="F785" i="13"/>
  <c r="F781" i="13"/>
  <c r="F775" i="13"/>
  <c r="F803" i="13"/>
  <c r="F772" i="13"/>
  <c r="F973" i="13"/>
  <c r="F981" i="13"/>
  <c r="F997" i="13"/>
  <c r="F989" i="13"/>
  <c r="F962" i="13"/>
  <c r="F961" i="13"/>
  <c r="F960" i="13"/>
  <c r="F957" i="13"/>
  <c r="F956" i="13"/>
  <c r="F955" i="13"/>
  <c r="F952" i="13"/>
  <c r="F951" i="13"/>
  <c r="F950" i="13"/>
  <c r="F947" i="13"/>
  <c r="F946" i="13"/>
  <c r="F945" i="13"/>
  <c r="F942" i="13"/>
  <c r="F941" i="13"/>
  <c r="F940" i="13"/>
  <c r="F933" i="13"/>
  <c r="F932" i="13"/>
  <c r="F931" i="13"/>
  <c r="F927" i="13" l="1"/>
  <c r="F926" i="13"/>
  <c r="F925" i="13"/>
  <c r="F922" i="13"/>
  <c r="F921" i="13"/>
  <c r="F920" i="13"/>
  <c r="F917" i="13"/>
  <c r="F916" i="13"/>
  <c r="F915" i="13"/>
  <c r="F912" i="13"/>
  <c r="F911" i="13"/>
  <c r="F910" i="13"/>
  <c r="F907" i="13"/>
  <c r="F906" i="13"/>
  <c r="F905" i="13"/>
  <c r="F902" i="13"/>
  <c r="F901" i="13"/>
  <c r="F900" i="13"/>
  <c r="F897" i="13"/>
  <c r="F896" i="13"/>
  <c r="F895" i="13"/>
  <c r="F892" i="13"/>
  <c r="F891" i="13"/>
  <c r="F890" i="13"/>
  <c r="F887" i="13"/>
  <c r="F886" i="13"/>
  <c r="F885" i="13"/>
  <c r="F882" i="13"/>
  <c r="F881" i="13"/>
  <c r="F880" i="13"/>
  <c r="F877" i="13"/>
  <c r="F876" i="13"/>
  <c r="F875" i="13"/>
  <c r="F872" i="13"/>
  <c r="F871" i="13"/>
  <c r="F870" i="13"/>
  <c r="F867" i="13"/>
  <c r="F866" i="13"/>
  <c r="F865" i="13"/>
  <c r="F847" i="13"/>
  <c r="F838" i="13"/>
  <c r="F821" i="13"/>
  <c r="F820" i="13"/>
  <c r="F825" i="13"/>
  <c r="F644" i="13"/>
  <c r="F641" i="13"/>
  <c r="F637" i="13"/>
  <c r="F632" i="13"/>
  <c r="F627" i="13"/>
  <c r="F624" i="13"/>
  <c r="F623" i="13"/>
  <c r="F622" i="13"/>
  <c r="F621" i="13"/>
  <c r="F620" i="13"/>
  <c r="F619" i="13"/>
  <c r="F608" i="13"/>
  <c r="F550" i="13"/>
  <c r="F538" i="13"/>
  <c r="F537" i="13"/>
  <c r="F549" i="13"/>
  <c r="F542" i="13"/>
  <c r="F546" i="13"/>
  <c r="F530" i="13"/>
  <c r="F512" i="13"/>
  <c r="F511" i="13"/>
  <c r="F510" i="13"/>
  <c r="F506" i="13"/>
  <c r="F497" i="13"/>
  <c r="F299" i="13"/>
  <c r="F434" i="13"/>
  <c r="F427" i="13"/>
  <c r="F420" i="13"/>
  <c r="F417" i="13"/>
  <c r="F313" i="13"/>
  <c r="F268" i="13"/>
  <c r="F275" i="13"/>
  <c r="F263" i="13" l="1"/>
  <c r="F413" i="13"/>
  <c r="F410" i="13"/>
  <c r="F491" i="13"/>
  <c r="F489" i="13"/>
  <c r="F408" i="13"/>
  <c r="F406" i="13"/>
  <c r="F487" i="13"/>
  <c r="F404" i="13"/>
  <c r="F485" i="13"/>
  <c r="F483" i="13"/>
  <c r="F402" i="13"/>
  <c r="F481" i="13"/>
  <c r="F400" i="13"/>
  <c r="F398" i="13"/>
  <c r="F396" i="13"/>
  <c r="F477" i="13"/>
  <c r="F475" i="13"/>
  <c r="F394" i="13"/>
  <c r="F392" i="13"/>
  <c r="F390" i="13"/>
  <c r="F388" i="13"/>
  <c r="F386" i="13"/>
  <c r="F465" i="13"/>
  <c r="F463" i="13"/>
  <c r="F376" i="13"/>
  <c r="F461" i="13"/>
  <c r="F459" i="13"/>
  <c r="F494" i="13"/>
  <c r="F479" i="13"/>
  <c r="F473" i="13"/>
  <c r="F471" i="13"/>
  <c r="F469" i="13"/>
  <c r="F467" i="13"/>
  <c r="F457" i="13"/>
  <c r="F455" i="13"/>
  <c r="F453" i="13"/>
  <c r="F450" i="13"/>
  <c r="F384" i="13"/>
  <c r="F382" i="13"/>
  <c r="F380" i="13"/>
  <c r="F378" i="13"/>
  <c r="F374" i="13"/>
  <c r="F372" i="13"/>
  <c r="F370" i="13"/>
  <c r="F344" i="13"/>
  <c r="F347" i="13" s="1"/>
  <c r="F332" i="13"/>
  <c r="F331" i="13"/>
  <c r="F307" i="13"/>
  <c r="F303" i="13"/>
  <c r="F318" i="13" l="1"/>
  <c r="F294" i="13"/>
  <c r="F290" i="13"/>
  <c r="F280" i="13"/>
  <c r="F279" i="13"/>
  <c r="F250" i="13"/>
  <c r="F255" i="13"/>
  <c r="F254" i="13"/>
  <c r="F247" i="13"/>
  <c r="F245" i="13"/>
  <c r="F243" i="13"/>
  <c r="F241" i="13"/>
  <c r="F239" i="13"/>
  <c r="F195" i="13"/>
  <c r="F196" i="13"/>
  <c r="F198" i="13"/>
  <c r="F197" i="13"/>
  <c r="F230" i="13"/>
  <c r="F229" i="13"/>
  <c r="F222" i="13"/>
  <c r="F221" i="13"/>
  <c r="F206" i="13"/>
  <c r="F220" i="13"/>
  <c r="F217" i="13"/>
  <c r="F214" i="13"/>
  <c r="F213" i="13"/>
  <c r="F188" i="13"/>
  <c r="F183" i="13"/>
  <c r="F178" i="13"/>
  <c r="F177" i="13"/>
  <c r="F172" i="13"/>
  <c r="F167" i="13"/>
  <c r="F160" i="13"/>
  <c r="F130" i="13"/>
  <c r="F129" i="13"/>
  <c r="F128" i="13"/>
  <c r="F150" i="13"/>
  <c r="F140" i="13"/>
  <c r="F135" i="13"/>
  <c r="F124" i="13"/>
  <c r="F119" i="13"/>
  <c r="F114" i="13"/>
  <c r="F155" i="13"/>
  <c r="F145" i="13"/>
  <c r="F88" i="13"/>
  <c r="F84" i="13"/>
  <c r="F80" i="13"/>
  <c r="F94" i="13"/>
  <c r="F91" i="13"/>
  <c r="F67" i="13"/>
  <c r="F54" i="13"/>
  <c r="F48" i="13"/>
  <c r="F43" i="13"/>
  <c r="F16" i="13"/>
  <c r="F317" i="13" l="1"/>
  <c r="F316" i="13"/>
  <c r="F315" i="13"/>
  <c r="F762" i="13"/>
  <c r="F806" i="13"/>
  <c r="F824" i="13"/>
  <c r="F639" i="13"/>
  <c r="F529" i="13" l="1"/>
  <c r="F527" i="13"/>
  <c r="F199" i="13" l="1"/>
  <c r="F46" i="13" l="1"/>
  <c r="F45" i="13"/>
  <c r="F97" i="13" l="1"/>
  <c r="F559" i="13" s="1"/>
  <c r="F1000" i="13"/>
  <c r="F965" i="13"/>
  <c r="F828" i="13"/>
  <c r="F647" i="13"/>
  <c r="F1006" i="13" s="1"/>
  <c r="F553" i="13"/>
  <c r="F565" i="13" s="1"/>
  <c r="F515" i="13"/>
  <c r="F564" i="13" s="1"/>
  <c r="F321" i="13"/>
  <c r="F561" i="13" s="1"/>
  <c r="F335" i="13"/>
  <c r="F562" i="13" s="1"/>
  <c r="F283" i="13"/>
  <c r="F1010" i="13" l="1"/>
  <c r="F563" i="13"/>
  <c r="F560" i="13"/>
  <c r="F567" i="13" l="1"/>
  <c r="F1008" i="13"/>
  <c r="F1011" i="13"/>
  <c r="F1009" i="13"/>
  <c r="F1007" i="13"/>
  <c r="F1013" i="13" l="1"/>
  <c r="F1021" i="13" s="1"/>
  <c r="F1019" i="13"/>
  <c r="F1024" i="13" l="1"/>
</calcChain>
</file>

<file path=xl/sharedStrings.xml><?xml version="1.0" encoding="utf-8"?>
<sst xmlns="http://schemas.openxmlformats.org/spreadsheetml/2006/main" count="1780" uniqueCount="1029">
  <si>
    <t>NARUČITELJ:</t>
  </si>
  <si>
    <t>MJESTO GRADNJE:</t>
  </si>
  <si>
    <t>GRAĐEVINA:</t>
  </si>
  <si>
    <t xml:space="preserve">             DOKUMENTACIJA ZA JAVNU NABAVU</t>
  </si>
  <si>
    <t>GLAVNI PROJEKTANT:</t>
  </si>
  <si>
    <t>A. GRAĐEVINSKO OBRTNIČKI RADOVI</t>
  </si>
  <si>
    <t>izradio</t>
  </si>
  <si>
    <t>DRUGI FORMAT d.o.o Zagreb</t>
  </si>
  <si>
    <t>A.</t>
  </si>
  <si>
    <t>GRAĐEVINSKO OBRTNIČKI RADOVI</t>
  </si>
  <si>
    <t>OPĆI UVJETI IZVOĐENJA RADOVA</t>
  </si>
  <si>
    <t>Troškove uređenja gradilišta izvođač treba uklakulirati u cijenu izvođenja radova.
Izvođač mora izvesti pripremne radove za neometano izvođenje ugovorenih radova bez posebne naplate te mora osigurati pogodan prilaz do objekta i mjere sigurnosti u tijeku izvođenja radova na objektima.</t>
  </si>
  <si>
    <t>ODREDBE O NORMAMA</t>
  </si>
  <si>
    <t>U dokumentaciji su navedena tehnička pravila koja opisuju predmet nabave pomoću hrvatskih odnosno europskih odnosno međunarodnih normi. Ponuditelj treba ponuditi predmet nabave u skladu s normama iz dokumentacije o nabavi ili jednakovrijednim normama. S toga za svaku navedenu normu navedenu pod dotičnom  normizacijskom sustavu dozvoljeno je nuditi jednakovrijednu normu, tehničko odobrenje odnosno uputu iz odgovarajuće hrvatske, europske ili međunarodne nomenklature.</t>
  </si>
  <si>
    <t>JEDINIČNA CIJENA</t>
  </si>
  <si>
    <t>Općenito u ponuđenoj jediničnoj cijeni trebaju biti ukalkulirani svi troškovi za rad, nabavna cijena glavnog i pomoćnog materijala, dobava, unutrašnji i vanjski transport, ugradnja, režija, ispitivanje i dokazivanje kvalitete kao i svi drugi izdaci izvođača potrebni za potpuno dovršenje pojedine vrste rada</t>
  </si>
  <si>
    <t>Jedinična cijena, također, uključuje sva potrebna ispitivanja, kontrole i mjerenja za sve izvedene radove, ugrađene materijale i opremu, u svrhu dokazivanja njihove kvalitete i kompletiranja tehničke dokumentacije potrebne za ishođenje uporabne dozvole, te se prilikom primopredaje građevine, uručuje Investitoru odnosno krajnjem korisniku.</t>
  </si>
  <si>
    <t>Navedena ispitivanja, kontrole i mjerenja izvode ovlaštene institucije, a odnose se na ispitivanje plinskih instalacija, ispitivanje vodonepropusnosti kanalizacije, ispitivanje funkcionalnosti unutarnje i vanjske hidrantske mreže, uzimanje uzoraka i ispitivanje pitkosti vode, ispitivanje gromobranske instalacije, ispitivanje električne instalacije jake i slabe struje, pregled dimovodnih kanala, te ostala potrebna ispitivanja sukladno važećoj zakonskoj regulativi.</t>
  </si>
  <si>
    <t>Sve predmetno je obuhvaćeno jediničnom cijenom i ne navodi se kao zasebna stavka!</t>
  </si>
  <si>
    <t xml:space="preserve">OBILAZAK LOKACIJE </t>
  </si>
  <si>
    <t>Nuđenje se vrši sukladno navedenim karakteristikama proizvoda (materijala, opreme i dr.) iz pojedine  stavke, a izabrani izvođač je dužan ugraditi proizvode čiju će usklađenost s traženim karakteristikama  potvrditi projektant prije narudžbe i isporuke, odnosno stručni nadzor prije ugradnje istog.</t>
  </si>
  <si>
    <t>Za sve ponuđene proizvode (materijal, opremu i dr.) mora postojati atestna dokumentacija  (dokazi o tehničkoj sposobnosti i kvaliteti proizvoda, certifikati, potvrde o sukladnosti i dr.)  sukladno zahtjevima iz troškovnika i važećoj zakonskoj regulativi. Ukoliko ponuđač ponudi jednakovrijedan proizvod obavezan je s ponudom dostaviti dokaz da taj prozvod svojim specifikacijama zadovoljava kriterije jednakovrijednosti.</t>
  </si>
  <si>
    <t>Opći uvjeti izvođenja i opći uvjeti pojedinih vrsta radova</t>
  </si>
  <si>
    <t>Sve eventualne nejasnoće dužan je izvođač razjasniti dogovorno s naručiteljem prije podnošenja ponude, jer se naknadne primjedbe u tom smislu neće moći uvažiti. Radove treba izvesti po opisu pojedine stavke troškovnika, općim uvjetima pojedinih grupa radova i ovim općim uvjetima.</t>
  </si>
  <si>
    <t>Ovi opći uvjeti odnose se na sve radove ovog troškovnika (građevinskoobrtničke, okoliš, instalacije).</t>
  </si>
  <si>
    <t>Jediničnom cijenom treba obavezno obuhvatiti slijedeće:</t>
  </si>
  <si>
    <t>a) materijal</t>
  </si>
  <si>
    <t>Pod time se podrazumijeva cijena materijala, kako osnovnog koji se ugrađuje tako i pomoćnog koji služi pri izradi ili ugradbi ali se sam ne ugrađuje. Ovdje treba uključiti i sve potrebne transporte i uskladištenje, utovare i pretovare, te sva ispitivanja potrebnih uzoraka materijala u skladu s odredbama standarda, do dobivanja atesta.</t>
  </si>
  <si>
    <t>b) rad</t>
  </si>
  <si>
    <t>U kalkulaciji treba uključiti sav rad, kako glavni tako i pomoćni, te sve radove na unutarnjem transportu na gradilištu (horizontalni i vertikalni prijenosi, utovari i istovari, pretovari, uskladištenja). Također se mora uključiti sav rad oko zaštite gotovih konstrukcija i dijelova objekta od štetnih utjecaja vručine, hladnoće, kiše, snijega, vjetra i drugih atmosferskih nepogoda, te potrebnu njegu dijelova konstrukcije u toku izgradnje. U instalaterskim radovima svaka stavka mora sadržavati sva potrebna dubljenja šliceva, te proboje neophodne da se stavka izvede, kao i zatvaranje šliceva i proboja.</t>
  </si>
  <si>
    <t>c) skele i pomoćne konstrukcije</t>
  </si>
  <si>
    <t>Sve vrste skela bez obzira na visinu ulaze u jediničnu cijenu određene stavke, odnosno rada vezanog uz tu stavku, osim onih koje su troškovnikom posebno navedene. U stavke ulaze skele za podupiranje, konstrukcije za pristup, radne skele i podovi, skele potrebne kod demontaže te sve druge konstrukcije vezane uz pravila zaštite na radu. Kod zemljanih radova treba uključiti i platforme za prebacivanje ručnih iskopa kod većih dubina. Za potrebe obrtničkih radova skele se moraju izvesti besplatno, uključivo sve radove oko transporta i demontaže, ako troškovnikom nije drugačije određeno.</t>
  </si>
  <si>
    <t>d) oplata</t>
  </si>
  <si>
    <t>Sve oplate treba izvesti po opisu stavke troškovnika i općim uvjetima grupe radova. U cijeni izvedbe oplate treba uračunati izradu, postavu i vezanje, podupiranje, demontažu i čišćenje oplate, ali i izvedbu svih proreza, šliceva, utora, kutija za instalacione prodore i otvore i vrata u sklopu zida, a po oplatnim nacrtima. Ujedno u cijenu oplate ulaze i sva potrebna mazanja i kvašenja oplate prije betoniranja.</t>
  </si>
  <si>
    <t>e) izmjere</t>
  </si>
  <si>
    <t>Ukoliko nije u pojedinoj stavci drugačije navedeno, obračun radova obavlja se prema postojećim i važećim normativima u građevinarstvu.</t>
  </si>
  <si>
    <t>f) dodaci</t>
  </si>
  <si>
    <t>Dodatci za otežanja rada zbog niskih ili visokih temperatura, noćnog rada, skučenog prostora, malih količina, radova u adaptaciji ili slično mora izvođač uračunati u jediničnoj cijeni odgovarajuće stavke radova. Nikakvi naknadni zahtjevi neće se moći priznati. Uvid u moguća otežanja mora sam izvođač steći prije podnošenja ponude uvidom u projektnu dokumentaciju. Izvođač može obići i detaljno pregledati lokaciju.</t>
  </si>
  <si>
    <t>g) faktor</t>
  </si>
  <si>
    <t>Na jediničnu cijenu radne snage mora izvođač uračunati faktor po zakonskim propisima i instrumentima na osnovi zakonskih propisa. Osim toga, izvođač mora faktorom obuhvatiti slijedeće radove, koji se neće posebno platiti, bilo kao troškovnička stavka ili naknadni rad, i to:</t>
  </si>
  <si>
    <t>- iskolčenje temelja prije iskopa;</t>
  </si>
  <si>
    <t>- sve troškove, režijske sate, osim troškovnikom predviđene i po nadzornom organnu ovjerene;</t>
  </si>
  <si>
    <t>- sva ispitivanja materijala;</t>
  </si>
  <si>
    <t>- uređivanje gradilišta po završetku rada s otklanjanjem svih otpadaka, ostatka građevinskog materijala, ambalaže, oplate i objekta gradilišta;</t>
  </si>
  <si>
    <t>- pomoćne objekta i slično;</t>
  </si>
  <si>
    <t>- uskladištenje materijala i elemenata za obrtničke i instalaterske radove do njihove ugradbe;</t>
  </si>
  <si>
    <t>- skele koje se daju obrtnicima besplatno na korištenje;</t>
  </si>
  <si>
    <t>- osiguranje objekta i radnika;</t>
  </si>
  <si>
    <t>- sve radove vezane uz primjenu pravila zaštite na radu i zaštite od požara;</t>
  </si>
  <si>
    <t>- garancijski rok i radove vezane uz održavanje;</t>
  </si>
  <si>
    <t>- čišćenje objekata nakon završetka svih radova;</t>
  </si>
  <si>
    <t>- elaborat iskolčenja, geodetska izmjere pri izvođenju, sva kolčenja i sva geodetska praćenja.</t>
  </si>
  <si>
    <t>Površine oko objekta koje je izvođač koristio za potrebe gradilišta moraju se prije predaje objekta dovesti u predhodno stanje, počistiti od otpadaka, gradilišnih strojeva i objekata.</t>
  </si>
  <si>
    <t>Prilikom izvođenja pojedinih radova, izvođač mora zaštiti sve susjedne plohe, tako da ne dođe do oštećenja gore navedenog. Zaštitu treba izvesti raznim sredstvima (ljepenkom, folijama, kartonom, daskama, pijeskom i sl.).</t>
  </si>
  <si>
    <t>Sve troškove zaštite već izvedenih konstrukcija i radova treba izvođač uračunati u jediničnu cijenu.</t>
  </si>
  <si>
    <t>Izvođač treba kvalitetu ugrađenih materijala i stručnost radnika dokazati odgovarajućim atestima izdanim od strane za to ovlaštene stručne organizacije. Sve troškove atestiranja i nabave uzoraka za ispitivanje mora izvođač uračunati u jediničnu cijenu.</t>
  </si>
  <si>
    <t>Po završetku radova ali i u toku radova ako je to potrebno svaki izvođač dužan je iza sebe počistiti radni prostor.</t>
  </si>
  <si>
    <t>Svi upotrebljeni materijali moraju biti kvalitetni i odgovarati važećim propisima i standardima, a istih se treba pridržavati i pri izvedbi radova.</t>
  </si>
  <si>
    <t>Primopredaju objekata konstatiraju zapisnički predstavnik izvođača i investitora.</t>
  </si>
  <si>
    <t>Sve mjere u nacrtima provjeriti u naravi, što se naročito odnosi na stavke stolarskih i bravarskih radova.</t>
  </si>
  <si>
    <t>SVE KOLIČINE OBRAČUNATI PREMA STVARNO UGRAĐENIM KOLIČINAMA.</t>
  </si>
  <si>
    <t>1. Zemljani radovi</t>
  </si>
  <si>
    <t>Sve iskope izvesti točno po projektu, u skladu sa statičkim proračunom.</t>
  </si>
  <si>
    <t>Troškovnikom predviđenu kategoriju tla treba provjeriti te ukoliko ne odgovara, ustanoviti ispravnu u prisutnosti rukovodioca gradilišta i nadzornog organa i konstatirati upisom u građ. dnevnik.</t>
  </si>
  <si>
    <t>Ukoliko se prilikom iskopa naiđe na podzemnu vodu, o tome treba obavijestiti investitora. Izvođač se mora kod OZ-a osigurati od takvog slučaju i isto uračunati u cijenu radova.</t>
  </si>
  <si>
    <t>Kod zatrpavanja pojedinih iskopa, materijal treba polijevati zbog boljeg zbijanja. Nasip izvoditi u slojevima od po 30 cm, nabijanjem i vlaženjem vodom, do potrebne zbijenosti po statičkom proračunu.</t>
  </si>
  <si>
    <t>Kod materijala koji će se ponovo upotrijebiti (npr. za nasipanje u objektu zatrpavanje oko temelja), isti treba prevesti na gradilišnu deponiju, uskladištiti te poslije upotrijebiti. Sve prenose do i sa gradilišne deponije treba uključiti u jediničnu cijenu iskopa, te ponovnog nasipanja.</t>
  </si>
  <si>
    <t>Jedinična cijena pojedine stavke mora sadržavati još i:</t>
  </si>
  <si>
    <t>- sav rad na  iskopu;</t>
  </si>
  <si>
    <t>- sva nalaganja temelja i nanosne skele;</t>
  </si>
  <si>
    <t>- razupiranje;</t>
  </si>
  <si>
    <t>- eventualno crpljenje vode;</t>
  </si>
  <si>
    <t>- sva potrebna planiranja (ako nema posebne stavke);</t>
  </si>
  <si>
    <t>- sve vertikalne i horizontalne transporte;</t>
  </si>
  <si>
    <t>- sva osiguranja gradilišta i objekta;</t>
  </si>
  <si>
    <t>- sve mjere zaštite na radu;</t>
  </si>
  <si>
    <t>- U cijenama  svih stavki radova treba uračunati i odgovarajuće koeficijente zbijenosti ili rastresitosti, jer isti nisu uključeni u količine.</t>
  </si>
  <si>
    <t>2. Betonski i armiranobetonski radovi</t>
  </si>
  <si>
    <t>Beton obavezno mješati strojno. Kod ugradbe paziti da ne dođe do stvaranja gnijezda i segregacije. Pri nastavku betoniranja po visini, zaštititi površinu betona od procjeđenog cementnog mlijeka.</t>
  </si>
  <si>
    <t>Sve radove treba obaveznoizvesti po :</t>
  </si>
  <si>
    <t>Prilikom projektiranja, izvođenja i održavanja konstrukcije i elemenata od betona i AB nužno je pridržavati se gore nevedenih propisa i pravilnika kao i svih standarda koji su navedeni u sklopu pravilnika.</t>
  </si>
  <si>
    <t>U sve betonske i AB elemente treba prije i u toku betoniranja ugraditi čel. pločice, ankere i drvene kladice za ugradbu bravarije i sl., što se neće posebno naplaćivati.</t>
  </si>
  <si>
    <t>Jedinična cijena pojedine stavke mora sadržavati i:</t>
  </si>
  <si>
    <t>- sav rad, osnovni i pomoćni;</t>
  </si>
  <si>
    <t>- sva potrebna podupiranja oplate, učvršćenja, radne skele, mostove i prilaze;</t>
  </si>
  <si>
    <t>- sva ubacivanja i prebacivanja betona, nabijanje, vibriranje i pervibriranja;</t>
  </si>
  <si>
    <t>- mazanja oplate “oplatanom”, kvašenje oplate;</t>
  </si>
  <si>
    <t>- zaštitu betonskih i AB konstrukcija od djelovanja atmosferijala, vručine, hladnoće, i sl. njega betona;</t>
  </si>
  <si>
    <t>- sve ugradbe kladica, vijaka, pločica.</t>
  </si>
  <si>
    <t>Beton treba ugrađivati isključivo strojno, a ručna ugradba dozvoljena je samo za male količine betona u konstrukcijama malog i složenog presjeka.</t>
  </si>
  <si>
    <t>Prije betoniranje, oplatu i armaturu treba obavezno pregledati nadzorni organ (statičar) i upisom u građevinski dnevnik odobriti betoniranje. Zabranjuje se betoniranje koje nadzorni ogran nije odobrio.</t>
  </si>
  <si>
    <t>Nakon ugradbe i zaglađivanja gornje bet.plohe, treba odgovarajućim mjerama, zaštititi i njegovati beton (pokrivanjem hasurama, vlaženjem i polijevanjem i sl.) i uračunati u jediničnu cijenu. Odgovarajuće mjere treba primjenjivati dok beton ne dosegne bar 70% tlačne čvrtoće ili kako je predviđeno projektom konstrukcije.</t>
  </si>
  <si>
    <t>3. Skele i oplate</t>
  </si>
  <si>
    <t>Oplate, kao i razna razupiranja, moraju imati takvu sigurnost i krutost da bez slijegavanja i štetnih deformacija mogu primiti opterećenja i utjecaje koji nastaju za vrijeme izvedbe radova. Te konstrukcije moraju biti tako izvedene da osiguravaju punu sigurnost radnika i sredstava rada, kao i sigurnost prolaznika, prometa, susjednih objekata i okolice.</t>
  </si>
  <si>
    <r>
      <t>Za izradu oplate koriste se daske, gredice i letve od jelove rezane građe IV klase prema HRN D.B1.041ili jednakovrijednoj</t>
    </r>
    <r>
      <rPr>
        <u/>
        <sz val="10"/>
        <rFont val="Arial"/>
        <family val="2"/>
        <charset val="238"/>
      </rPr>
      <t xml:space="preserve">                          </t>
    </r>
  </si>
  <si>
    <t>Oplate moraju biti stabilne, otporne i dovoljno poduprte da se ne bi izvile ili popustile u bilo kojem pravcu. Oplata mora biti izrađena točno po mjerama označenim u crtežima plana oplate za pojedine dijelove, koji će se betonirati, i to sa svim potrebnim podupiračima. Kod betoniranja podupirača moraju se rasporediti tako da se teret gornjih podupirača prenosi neposredno na nosive elemente ispod njih.</t>
  </si>
  <si>
    <t>Unutarnje površine oplate moraju biti ravne, bilo da su horizontalne, vertikalne ili nagnute prema tome kako je to u crtežima planova oplate predviđeno. Nastavci pojedinih dasaka ne smiju izlaziti iz ravnine, tako da nakon njihovog skidanja vidljive površine betona budu ravne i s oštrim rubovima, te da se osigura dobro brtvljenje i sprečavanje deformacija oplate.</t>
  </si>
  <si>
    <t>Oplate betona koji ostaje vidljiv ne smiju se kroz beton vezati žicom ili limom.</t>
  </si>
  <si>
    <t>Kod premazivanja oplate ne smiju se upotrijebiti takvi premazi koji se ne bi mogli odstraniti sa gotove betonske površine ili bi nakon pranja ostale na njima mrlje.</t>
  </si>
  <si>
    <t>Pod blanjanom ili glatkom oplatom podrazumijeva se oplata sa glatkim ravnim pločama ili daskama sa stisnutim sljubnicama da ne dođe do bet.curki na površini. Površina betona mora imati potpuno jednoliku strukturu i boju. Izvođač je dužan bez posebne naknade nakon skidanja oplate očistiti površinu betona od eventualnih bet.curki, ostataka premaza oplate i slično.</t>
  </si>
  <si>
    <t>Ukoliko u stavci nije ništa spomenuto, podrazumijeva se upotreba obične oplate.</t>
  </si>
  <si>
    <t>U jediničnim cijenama uključeni su svi horizontalni i vertikalni transporti.</t>
  </si>
  <si>
    <t>U cijenu oplate uključiti sva podupiranja, učvršćenja, prilazne platforme i sl., te vlaženje i mazanje oplate.</t>
  </si>
  <si>
    <t>Skele (fasadne i radne) treba postaviti (montirati) čvrste i stabilne, prema Praviniku o zaštiti na radu u građevinarstvu i prema svim ZNR važećim propisima, međusobno povezati, ukrutiti i osigurati od bilo kakvog pomicanja. Za skelu treba izvođač radova izraditi statički proračun i nacrt montaže skele. Izvana se skela mora osigurati ogradom od dasaka na visinu do 1 m od radnog poda, zatim skelu povezati i ukrutiti protiv horizontalnog pomicanja.</t>
  </si>
  <si>
    <t xml:space="preserve">Sav materijal korišten za oplate, radne  podove i skele mora u potpunosti zadovoljava  ti uvjete iz troškovnika. </t>
  </si>
  <si>
    <t>Sve skele moraju u potpunosti biti izvedene u skladu s pravilima zaštite na radu, s radnim podovima i ogradama, pravilno riješenim pristupima i ukručenjima u oba smjera. Skele moraju biti izvedene na osnovu nacrta i dimenzionirane po statičkom  proračunu, s spojnim sredstvima koja su proračunski predviđena.</t>
  </si>
  <si>
    <t>Skele treba redovito pregledavati i kontrolirati, a naročito nakon vremenskih nepogoda (kiša, vjetar i sl.), te po potrebi popravljati.</t>
  </si>
  <si>
    <t>Sve drvo za konstrukcije treba biti zaštičeno od crvotočine što ulazi u stavku.</t>
  </si>
  <si>
    <t>U cijeni skele uzeti obavezno izradu, postavu, amortizaciju, sva premještanja i prijenose (po potrebi), prilaze, mostove i ograde te demontažu skele, popravke i uskladištenje. Također obavezno uračunati sve osnovne i pomoćne materijale za izvedbu i održavanje skele, te vezna sredstva za izvedbu konstrukcije.</t>
  </si>
  <si>
    <t>4. Armatura i ugradnja armature</t>
  </si>
  <si>
    <t>Armatura izrađena od čelika za armiranje prema odredbama ugrađuje se u armiranu betonsku konstrukciju prema projektu betonske konstrukcije, normi HRN ENV 13670-1 ili jednakovrijedno                       , normama na koje ta upućuje.</t>
  </si>
  <si>
    <t>Rukovanje, skladištenje i zaštita armature treba biti u skladu sa zahtjevima tehničkih specifikacija koje se odnose na čelik za armiranje,projekta betonske kontrukcije te odredbama ovog Priloga.</t>
  </si>
  <si>
    <t>Izvođač mora prema normi HRN ENV 13670-1 ili jednakovrijedno                        prije početka ugradnje provjeriti je li armatura u skladu sa zahtjevima iz projekta betonske konstrukcije, te je li tijekom rukovanja i skladištenja armature došlo do njezinog oštećivanja,deformacije ili druge promjene koja bi bila od utjecaja na tehnička svojstva betonske konstrukcije.</t>
  </si>
  <si>
    <t>Nadzorni inženjer neposredno prije početka betoniranja mora:</t>
  </si>
  <si>
    <t>- provjeriti postoji li isprava o sukladnosti za čelik za armiranje, odnosno za armaturu i jesu li iskazana svojstva sukladna zahtjevima iz projekta betonske konstrukcije,</t>
  </si>
  <si>
    <t>- provjeriti je li armatura izrađena,postavljena i povezana u skladu s projektom betonske konstrukcije te u skladu s Prilozima “B” te dokumentirati nalaze svih provedenih provjera zapisom u građevinski dnevnik.</t>
  </si>
  <si>
    <t>Materijali</t>
  </si>
  <si>
    <t>Površina armature mora biti očišćena od slobodne hrđe i tvari koje mogu štetno djelovati na čelik, beton ili vezu između njih.</t>
  </si>
  <si>
    <t>Galvanizirana armatura može se koristiti samo u betonu s cementom koji nema štetnog djelovanja na vezu s galvaniziranom armaturom.</t>
  </si>
  <si>
    <t>Savijanje, rezanje, prijevoz i skladištenje</t>
  </si>
  <si>
    <t>Čelik za armiranje betona treba rezati i savijati prema projektnim specifikacijama. Pri tome:</t>
  </si>
  <si>
    <t>-          savijanje treba izvoditi jednolikom brzinom,</t>
  </si>
  <si>
    <t>-          savijanje čelika pri temperaturi ispod -5°C,ako je dopušteno projektnim specifikacijama treba izvoditi uz poduzimanje odgovarajućih posebnih mjera osiguranja,</t>
  </si>
  <si>
    <t>-          savijanje armature grijanjem smije se izvoditi samo uz posebno odobrenje u projektnim specifikacijama.</t>
  </si>
  <si>
    <t>Promjer trna za savijanje šipki treba biti prilagođen stvarnom tipu armature.</t>
  </si>
  <si>
    <t>5. Zidarski i završni zidarski radovi</t>
  </si>
  <si>
    <t>Zidarski radovi izvodit će se prema odobrenom glavnom i izvedbenom projektu, pridržavajući se i primjenjujući važeće propise i norme, naročito:</t>
  </si>
  <si>
    <t xml:space="preserve">Mort za zidanje U.M2.010 ili jednakovrijedno                       </t>
  </si>
  <si>
    <t xml:space="preserve">Mort za žbukanje U.M2.012 ili jednakovrijedno                       </t>
  </si>
  <si>
    <t xml:space="preserve">Ispitivanje morta B.C8.022, U.M8.002 ili jednakovrijedno                       </t>
  </si>
  <si>
    <t xml:space="preserve">Vapno građevinsko B.C1.020 ili jednakovrijedno                       </t>
  </si>
  <si>
    <t xml:space="preserve">Parna brana - bitumenska ljepenka U.M3.232 ili jednakovrijedno                       </t>
  </si>
  <si>
    <t>Mineralna vuna (MW) prema HRN EN 13162</t>
  </si>
  <si>
    <t>ili jednakorvrijedno</t>
  </si>
  <si>
    <t xml:space="preserve">Elastičnost estriha (zvuk) U.J6.087 </t>
  </si>
  <si>
    <t>ili jednakovrijedno</t>
  </si>
  <si>
    <t>Ekspandirani polistiren (EPS) prema HRN EN 13163</t>
  </si>
  <si>
    <t>Ekstrudirana polistirenska pjena (XPS) prema HRN EN 13164</t>
  </si>
  <si>
    <t>Svi materijali primjenjeni na fasadi moraju imati potrebne ateste proizvođača i dokumente o ispravnosti isporučenog materijala, a radove treba izvesti prema Tehničkim uvjetima za izvođenje fasaderskih radova</t>
  </si>
  <si>
    <t>Pri izvedbi podloga za podove, odnosno estriha, primjenjuju se norme:</t>
  </si>
  <si>
    <t xml:space="preserve">DIN 4109 ili jednakovrijedna </t>
  </si>
  <si>
    <t>Za izradu morta potrebno je kontrolirati kvalitetu vode, pijeska, vapna, cementa i marku morta.</t>
  </si>
  <si>
    <t>Spoj zida od opeke sa betonskim stupom mora biti izveden u skladu sa propisom o zidanju na seizmičkom području. Zidanje kod temperature ispod 0°C nije dozvoljeno. Sve eventualno smrznute zidove treba srušiti i ponovo izvesti.</t>
  </si>
  <si>
    <t>Pijesak za žbukanje mora biti čist od organskih primjesa, (ako ih ima treba ih pranjem otkloniti) oštar i prosijan. Kvaliteta vapna mora odgovarati normama. Za upotrebu cementnog i produžnog morta upotrijebiti sporo vezajući normalni portland cement PC-250 ili PC-350.</t>
  </si>
  <si>
    <t>Žbukanje zidova i arm. betonske konstrukcije vršiti u pogodno vrijeme, kad su  potpuno suhi, te u optimalnoj temperaturi. Žbukanje treba izbjegavati za vrijeme zimskih niskih i ljetnih visokih temperatura, jer tada može doći do smrzavanja, odnosno prebrzog sušenja žbuke.</t>
  </si>
  <si>
    <t>Prije žbukanja treba plohe dobro očistiti, a naročito spojnice koje moraju biti udubljene 2 cm od plohe zida. Prije početka žbukanja plohe dobro navlažiti, a naročito kod žbukanja sa cementnim mortom. Betonske i armirano betonske dijelove prije žbukanja poprskati sa rijetkim cementnim mortom. Isto vrijedi i za fasadne dijelove, ako se isti žbukaju.</t>
  </si>
  <si>
    <t>Kod žbukanja u dva sloja ukupna debljina žbuke treba biti 2 do 2,5 cm. Kod žbukanja fini sloj nanosi se tek nakon što je prvi sloj, posve suh.</t>
  </si>
  <si>
    <t>Fina žbuka se nanosi na zid tako da se dobije posve ravna i glatka površina zida, a uglovi i bridovi, te spojevi zida i stropa se izvode "oštro" pod pravim kutem, ukoliko u opisu rada nije drugačije označeno.</t>
  </si>
  <si>
    <t>Gotova smjesa morta mora odgovarati točnom opisu rada, omjerima ili markama po količinama materijala označenim normama, kao i propisanoj čvrstoći morta.</t>
  </si>
  <si>
    <t>Ukoliko nije u opisu rada drugačije označeno, obračun kvadrature izvršiti po prosječnim normama. Povećanje zbog postotka otvora za vanjske plohe treba uključiti u jediničnu cijenu jer se isto ne plaća po koeficijentu povećanja zasebno.</t>
  </si>
  <si>
    <t>Prije početka radova na fasadi izvođač je obavezan dostaviti projektantu na ovjeru uzorke završne obrade.</t>
  </si>
  <si>
    <t>Radovi se moraju izvesti u skladu sa projektom uz prethodnu provjeru kvalitete zidane konstrukcije, u pogledu geometrije i čvrstoće, posebno na betonskim dijelovima gdje se moraju odstraniti eventualne masnoće od sredstva kojima se premazuje oplata radi lakšeg odvajanja od betona.</t>
  </si>
  <si>
    <t>Sve ugradbe izvesti točno po propisima na mjestu označenom po projektu, bez šteta na ostatku objekta.</t>
  </si>
  <si>
    <t>Jedinična cijena sadrži dopremu materijala na gradilište, sav materijal, alat, mehanizaciju, uskladištenje, montažu i demontažu skela i radnih platformi, troškove radne snage, sve horizontalne i vertikalne transporte, čišćenje nakon izvedbe radova, svu štetu i troškove popravaka kao posljedice nepažnje), troškove zaštite na radu, troškove atesta, zaštitu zidnih površina od utjecaja vrućine, hladnoće i atmosferskih nepogoda.</t>
  </si>
  <si>
    <t>Obračun izvršenih radova izvršit će se prema jedinici mjere pojedinog rada i prema stvarno izvršenim količinama ovjerenih od nadzorne službe investitora.</t>
  </si>
  <si>
    <t>Prije predaje ponude izvođač radova mora zatražiti sva potrebna razjašnjenja od naručitelja ukoliko neke stavke u troškovniku nisu dovoljno opisane, jer se kasniji prigovori neće uzeti u obzir</t>
  </si>
  <si>
    <t>Po završetku radova sav otpadni materijal na gradilišnoj deponiji potrebno je sortirati prema tipu, te odvesti na deponiju određenu od strane općine ili županije.</t>
  </si>
  <si>
    <t>Prilikom izvođenja obavezno se pridržavati svih pravilnika i standarda.</t>
  </si>
  <si>
    <t>6. Izolaterski radovi</t>
  </si>
  <si>
    <t>Tehnički uvjeti za termoizolacije</t>
  </si>
  <si>
    <t>Sav materijal za termoizolacije mora biti prvorazredne kvalitete, te u skladu sa važećim propisima:</t>
  </si>
  <si>
    <t>- HRN EN 13163 ili jednakovrijedna                   Ekspandirani polistiren (EPS)</t>
  </si>
  <si>
    <t>- Ekstrudirana polistirenska pjena (XPS) prema HRN EN 13164 ili jednakovrijedna</t>
  </si>
  <si>
    <t>- Mineralna vuna (MW) prema HRN EN 13162 ili jednakovrijedna</t>
  </si>
  <si>
    <t>- DIN 18165  ili jednakovrijedna                  Toplinsko izolacijski materijali</t>
  </si>
  <si>
    <t>- Potrebno je provjeravati da li se upotrebljavaju materijali predviđeni projektom, elaboratom uštede energije i toplinske zaštite te dostaviti certifikate proizvođača, kako za izolacioni materijal, tako i za sidra kojima se učvršćuju na konstrukciju.</t>
  </si>
  <si>
    <t>- Za toplinsku izolaciju ravnih krovova ekstrudiranim polistirenom izvođač je obavezan dostaviti certirikat o zahtijevanoj tlačnoj čvrstoći materijala, a polaganje u svemu izvesti prema uputama proizvođača i raspisima u stavakama troškovnika.</t>
  </si>
  <si>
    <t>- Toplinsko-izolacijske slojeve ugraditi prema uputstvima proizvođača, elaboratu fizikalne zaštite, opisu u troškovniku i nacrtima. Izvedba treba da je takva da potencijalni toplinski mostovi budu eliminirani u svim detaljima.</t>
  </si>
  <si>
    <t>Hidroizolaterski radovi</t>
  </si>
  <si>
    <t>Hidroizolacijske radove izvesti prema odobrenom glavnom i izvedbenom projektu, opisu iz troškovnika, te u skladu sa svim važećim normativima i propisima.</t>
  </si>
  <si>
    <t>Sav materijal za hidroizolacije mora biti prvorazredne kvalitete, te u skladu sa svim važećim propisima:</t>
  </si>
  <si>
    <t>bitumenske ljepenke HRN U.M3.232 ili jednakovrijedno</t>
  </si>
  <si>
    <t>hladni bitumenski premaz U.M3.240 ili jednakovrijedno</t>
  </si>
  <si>
    <t>vrući bitumenski premaz U.M3.244 ili jednakovrijedno              .</t>
  </si>
  <si>
    <t>bitumenska ljepenka s uloškom od staklenog voala U.M3.231 ili jednakovrijedno</t>
  </si>
  <si>
    <t>bitumenske trake za varenje (sastav i uvjeti kvalitete) U.M3.300 ili jednakovrijedno</t>
  </si>
  <si>
    <t>Izvođač radova treba provjeravati certifikate hidroizolacijskih traka i spojnog materijala u odnosu na projekt. Prije polaganja hidroizolacije potrebno je provjeriti hrapavost podloge.</t>
  </si>
  <si>
    <t>Svi materijali koji se ugrađuju moraju biti ispravni i neoštećeni.</t>
  </si>
  <si>
    <t>Ako se stavkom troškovnika traži materijal koji nije obuhvaćen važećim normativima, mora se izvesti u svemu prema naputku proizvođača, te garancijom i certifikatima ovlaštenih ustanova.</t>
  </si>
  <si>
    <t>Ukoliko se naknadno ustanovi nesolidna izvedba, tj. pojave se prodori vode, izvoditelj mora uraditi sanaciju hidroizolacije na svoj trošak. Ako izvoditelj tijekom sanacije hidroizolacije na bilo koji način ošteti ili mora oštetiti ostale dijelove građevine, izvoditelj snosi sve troškove i te sanacije.</t>
  </si>
  <si>
    <t>Obračun se vrši prema hrvatskim normama i standardima rada G.N.561. ili jednakovrijedno</t>
  </si>
  <si>
    <t>Izrada dilatacija uključena je u jediničnu cijenu izvedbe hidroizolacije.</t>
  </si>
  <si>
    <t>Jedinična cijena sadrži sav potreban materijal i pribor, sav transport do gradilišta i na gradilištu, sve potrebne skele i radne platforme, svu potrebnu pogonsku energiju, kao i svu potrebnu zaštitu na radu radnika na gradilištu.</t>
  </si>
  <si>
    <t>Svi građevinski, zanatski i drugi radovi koji prethodne pojedinim izolacijama bilo da su u vezi s njima ili ne, ali čije uporedno, odnosno kasnije izvođenje stvara mogućnost da se izolacija ošteti moraju se izvesti prije prema predviđenom redosljedu.</t>
  </si>
  <si>
    <t>Prije početka izvedbe izolacionih radova mora se kontrolirati ispravnost već izvršenih građevinskih, zanatskih i drugih radova koji bi mogli uticati na kvalitet, sigurnost i trajnost izolacija. Izvođenje izolacionih radova mora biti takovo da pojedini dijelovi ili slojevi kao i cijela završna izolacija u potpunosti odgovara svojoj namjeni, zahtjevima dobre kvalitete, sigurnosti i dugotrajnosti.</t>
  </si>
  <si>
    <t>Obračun se vrši prema tlocrtnoj površini hidroizolacije bez dodatka na razvijenu površinu, odnosno prema opisu u troškovniku.</t>
  </si>
  <si>
    <t>Ukoliko se utvrde međusobne neusklađenost predviđenih tehničkih rješenja u pojedinim dijelovima projektne dokumentacije, izvođač će zatražiti da projektant odredi točan način izvedbe.</t>
  </si>
  <si>
    <t>Hidroizolacije krovova, podova na tlu i zidu u tlu treba izvesti prema zahtjevima iz HRN U.M3.224, 227, 229, 230, 231, 234, 240, 242, 300 ili jednakovrijedno</t>
  </si>
  <si>
    <t>7. Limarski radovi</t>
  </si>
  <si>
    <t>Limarske radove izvesti prema opisu u troškovniku, uz eventualne korekcije projektom predviđenih razvijenih širina i opisa detalja po izmjeri na licu mjesta. Radove izvoditi po pravilima struke i primjenjujući važeće opće i posebne tehničke propise i norme, naročito temeljem čl. 20. Zakona o tehničkim zahtjevima za prizvode i ocjeni sukladnosi (NN 80/13, 14/14), preuzetih:</t>
  </si>
  <si>
    <t>Pravilnik o tehn.normativima za projektiranje i izvođenje završnih radova u građevinarstvu (Sl.list 21/90), te hrvatske norme:</t>
  </si>
  <si>
    <t>HRN U.N9.053 ili jednakovrijedno -Građ.prefabr.elementi: Odvodnjavanje krovova i dijelova zgrada limenim elementima</t>
  </si>
  <si>
    <t>HRN U.N9.054 ili jednakovrijedno -Građ.prefabr.elementi: Pokrivanje krovnih ravnina limom</t>
  </si>
  <si>
    <t>HRN U.N9.055 ili jednakovrijedno -Građ.prefabr.elementi: Opšivanja vanjskih dijelova zgrada limom</t>
  </si>
  <si>
    <t>Ugrađeni materijali moraju biti kvalitetni i odgovarati hrvatskim normama i to:</t>
  </si>
  <si>
    <t>Limovi od aluminija i od aluminijskih legura HRN C.C4.020, HRN C.C4.025, HRN C.C4.050 - 051, HRN C.C4.060 - 062, HRN C.C4.120, HRN C.C4.150, HRN C.C4.160 ili jednakovrijedno</t>
  </si>
  <si>
    <t>Svi ostali materijali koji nisu obuhvaćeni normama moraju imati certifikate od za to ovlaštenih institucija. Konzole - nosače opšava, žljebova i cijevi izvesti iz pocinčanog željeza ili iz običnog plosnog željeza zaštićenog antikorozivnim sredstvom.</t>
  </si>
  <si>
    <t>Lim koji naliježe na betonsku podlogu ili na podlogu od opeke mora biti podložen sa krovnom ljepenkom.</t>
  </si>
  <si>
    <t>Kod spajanja raznih vrsta materijala treba na pogodan način izvesti izolaciju (premaz, izol.traka i sl.) da ne dođe do galvanskog elektriciteta.</t>
  </si>
  <si>
    <t>Izvođač je dužan prije izrade limarije uzeti sve izmjere u naravi, a također je dužan prije početka montaže ispitati sve dijelove gdje se imaju izvesti limarski radovi, te na eventualnu neispravnost istih upozoriti nadzornog inženjera, jer će se u protivnom naknadni popravci izvršiti na račun izvođača limarskih radova.</t>
  </si>
  <si>
    <t>Način izvedbe i ugradbe, te obračun u svemu prema postojećim normama za izvođenje završnih radova u građevinarstvu TU-XVII, po jedinici mjere u troškovniku i stvarno izvedenim količinama na gradilištu.</t>
  </si>
  <si>
    <t>Jedinična cijena treba sadržavati:</t>
  </si>
  <si>
    <t>sav rad uključivo i uzimanje mjere na gradnji za izvedbu i obračun,</t>
  </si>
  <si>
    <t>sav materijal uključivo pomoćni te pričvrsni materijal,</t>
  </si>
  <si>
    <t>sav rad na gradnji i u radionici,</t>
  </si>
  <si>
    <t>sav transport i uskladištenje materijala,</t>
  </si>
  <si>
    <t>čišćenje i miniziranje željeznih dijelova</t>
  </si>
  <si>
    <t>dobavu i polaganje podložne ljepenke,</t>
  </si>
  <si>
    <t>ugradbu limarije upucavanjem,</t>
  </si>
  <si>
    <t>potrebne platforme, pokretnu skelu za montažu, kuke, užad, ljestve,</t>
  </si>
  <si>
    <t>ugradbu u ziđe ili sl. potrebnih obujmica, slivnika i sl.,</t>
  </si>
  <si>
    <t>čišćenje od otpadaka nakon izvršenih radova,</t>
  </si>
  <si>
    <t>zaštitu izvedenih radova do primopredaje.</t>
  </si>
  <si>
    <t>Ovi opći uvjeti mijenjaju se ili nadopunjuju opisom pojedinih stavki troškovnika.</t>
  </si>
  <si>
    <t>8. Stolarski radovi</t>
  </si>
  <si>
    <t>Stolarske radove izvesti prema shemama stolarije i opisu u troškovniku, po pravilima zanata, primjenjujući važeće opće i posebne tehničke propise i norme, naročito temeljem čl. 20. Zakona o tehničkim zahtjevima za prizvode i ocjeni sukladnosti (NN 158/03) preuzet:</t>
  </si>
  <si>
    <t>Pravilnik o tehničkim normativima za projektiranje i izvođenje završnih radova u građevinarstvu (Sl.list br. 21/90), posebno poglavlja od članka 50 do čl. 70, u kojima su navedene specifične odredbe i HR-norme za stolariju kojih se treba pridržavati.</t>
  </si>
  <si>
    <t>Materijali trebaju odgovarati slijedećim normama:</t>
  </si>
  <si>
    <t>Građevinska stolarija HRN D.E1.001, HRN D.E1.010 – 192 HRN D.E8.001, HRN D.E8.193 HRN D.E8.235 ili jednakovrijedno</t>
  </si>
  <si>
    <t>Okov za građevinsku stolariju HRN M.K3.020 – 324 ili jednakovrijedno</t>
  </si>
  <si>
    <t>Zvučna izolacija prozora i vratiju HRN U.J6.201 (klasifikacija u V grupa) ili jednakovrijedno</t>
  </si>
  <si>
    <t>Zvučna izolacija prozora i vratiju HRN U.J6.041 (ispitivanje u laboratoriju) ili jednakovrijedno</t>
  </si>
  <si>
    <t>Zvučna izolacija prozora i vratiju HRN U.J6.045 (terenska mjerenja) ili jednakovrijedno</t>
  </si>
  <si>
    <t>Ponuđena i isporučena stolarija mora odgovarati modularnoj koordinaciji za vrata D.E1.020. ili jednakovrijedno</t>
  </si>
  <si>
    <t>Vanjska stolarija mora zadovoljavati zahtjev zaštite od buke, kao i toplotnu zaštitu.</t>
  </si>
  <si>
    <t>Spoj stolarije sa zidom mora se prekriti sa profiliranim kutnim letvicama.</t>
  </si>
  <si>
    <t>Sve mjere prije izvedbe potrebno je usuglasiti na gradilištu.</t>
  </si>
  <si>
    <t>Sva stolarija kod dostave kao i na gradilištu mora biti zaštićena.</t>
  </si>
  <si>
    <t>USTAKLJENJE stolarije izvesti od prvoklasnog stakla bez boje i čisto ili ako je u boji da bude u određenoj boji jednoličnog tona, a kvalitete stakla moraju odgovarati hrvatskim normama i to:</t>
  </si>
  <si>
    <t>ravno prozorsko staklo, vučeno HRN B.E1.011 ili jednakovrijedno</t>
  </si>
  <si>
    <t>ravno liveno, brazdasto i ornament staklo HRN B.E1.050 ili jednakovrijedno</t>
  </si>
  <si>
    <t>ravno armirano staklo HRN B.E1.080 ili jednakovrijedno</t>
  </si>
  <si>
    <t>staklarski kitovi HRN H.C6.050 ili jednakovrijedno</t>
  </si>
  <si>
    <t>Materijali koji nisu obuhvaćeni HRN-om moraju biti najbolje kvalitete. Za takove materijale izvođač je dužan da podnese naručitelju certifikat o ispitivanju kvalitete materijala, a pri izvedbi mora postupati i po uputstvima proizvođača materijala.</t>
  </si>
  <si>
    <t>Prije izvedbe radova obavezna je izmjera i provjera na licu mjesta.</t>
  </si>
  <si>
    <t>9. Bravarija i aluminarija</t>
  </si>
  <si>
    <t>Prije davanja ponude izvođač treba obavezno sve nedoumice i nejasnoće razjasniti s naručiteljem, jer se nikakve naknadne primjedbe neće uvažiti.</t>
  </si>
  <si>
    <t>Prije izvedbe radova izvođač je dužan izraditi i projektantu  predočiti detalje izvedbe i radioničke nacrte kao i materijale za izvedbu. Tek nakon izbora i odobrenja projektanta može se otpočeti rad u odobranoj kvaliteti.</t>
  </si>
  <si>
    <t>Prije početka radova izvođač treba obavezno izvršiti kontrolu mjera na licu mjesta, radi provjere i ustanovljenja eventualnih pogrešaka kod izvedbe građevinskih radova. Jediničnom cijenom treba obuhvatiti sav rad i materijal, kako osnovni tako i pomoćni te sve prijenose i uskladištenja: dobavu i dopremu te ostakljenje u kvantiteti i kvaliteti po opisu stavke troškovnika: toplinske izolacije u fasadnim stijenama, brtvljenje i kitanje reški i dilatacije između pojedinih elemenata same stavke i između stavke i susjednih ploha, uključivo sve pokrovne i kutne limove, letvice i profile: okvire za ugradbu, sva sidra i sidrene vijke kao i ugradbu vijaka: po potrebi zapunjavanje rupa za sidra ili oštečenja od ugradbe cem.mortom 1:1; temeljni premaz i finalna obrada. Sve troškove atestiranja do dobivanje atesta, uključivo sve potrebne materijale, uzorke i radnje vezane uz isto: potrebnu radnu skelu.</t>
  </si>
  <si>
    <t>10. Gipsarski radovi</t>
  </si>
  <si>
    <t>gipskartonske ploče DIN 18180, HRN B.C1.035</t>
  </si>
  <si>
    <t>mineralna vuna DIN 18165 ili jednakovrijedno</t>
  </si>
  <si>
    <t>zvučna zaštita DIN 4109 ili jednakovrijedno</t>
  </si>
  <si>
    <t>vatrozaštita HRN U.J1.090, DIN 4102</t>
  </si>
  <si>
    <t>U stavkama troškovnika nisu opisane posebnosti vezane za potrebe izrade instalacijskog zida ili specijalnih nosača za veća opterećenja, što će izvođač izvesti prema potrebi. Sva potrebna spojna sredstva za montažu stijena i obloga izvođač isporučuje prema katalogu. Nosiva metalna konstrukcija (profili, dužina i debljina lima) isporučuje se prema katalogu proizvođača.</t>
  </si>
  <si>
    <t>U jediničnu cijenu gipskartonskih stijena uključuje se sav rad, materijal, transport, potrebna drvena ili metalna nosiva konstrukcija za ugradnju gipskartonskih ploča, dobava i ugradba brtvenog i pričvrsnog materijala, kao i sve radnje brtvljenja, zapunjavanje i kitanje, a prema standardima i uputstvima proizvođača. U slučaju ugradnje dovratnika ili sanitarija, potrebno je u gipskartonske zidove ugraditi dodatne nosive tipske metalne profile.</t>
  </si>
  <si>
    <t>11. Podopolagački radovi</t>
  </si>
  <si>
    <t>Ukoliko neka od podnih obloga nema standard proizvođač je dužan certifikatom potvrditi slijedeće karakteristike:</t>
  </si>
  <si>
    <t>Dimenzije</t>
  </si>
  <si>
    <t>dimenzionalnu stabilnost</t>
  </si>
  <si>
    <t>postojanost prema svjetlu</t>
  </si>
  <si>
    <t>zapaljivost</t>
  </si>
  <si>
    <t>klizavost</t>
  </si>
  <si>
    <t>provodljivost (električna i sl.)</t>
  </si>
  <si>
    <t>ujednačenost površina</t>
  </si>
  <si>
    <t>Sve podloge za polaganje podnih obloga potrebno je fino izravnati sa masom za izravnanje.</t>
  </si>
  <si>
    <t>Radovi na polaganju podova mogu se izvoditi nakon što su provjereni svi potrebni uvjeti, kao što su kvaliteta podloge, vlažnost, temperatura u prostorijama, kao i svi ostali uvjeti koje traži izvođač pojedinih vrsta radova.</t>
  </si>
  <si>
    <t>Obračun izvršenih radova izvršiti će se prema jedinici mjera u troškovniku, važećim normama, tehničkim uvjetima za pojedine vrste podova i izmjeri na licu mjesta.</t>
  </si>
  <si>
    <t>Jedinična cijena sadrži sav potreban materijal i pribor, sav potreban rad, transport do gradilišta i na gradilištu, kao i sva sredstva zaštite na radu radnika na gradilištu.</t>
  </si>
  <si>
    <t>Prije nabave podnih obloga na gradilište, potrebno je da izvođač radova predoči projektantu uzorke zbog odabiranja, te da provjeri sve potrebne količine.</t>
  </si>
  <si>
    <t>Sve radove izvesti prema:</t>
  </si>
  <si>
    <t>HRN U.F2.017  ili jednakovrijedno                      - Tehnički uvjeti za izvođenje  radova pri polaganju podnih obloga.</t>
  </si>
  <si>
    <t>12. Keramičarski radovi</t>
  </si>
  <si>
    <t>Pločice za oblaganje podova</t>
  </si>
  <si>
    <t>a) Pocakljene podne pločice moraju zadovoljavati uvjete ovih normi: HRN B.D1.305, HRN B.D1.306, HRN B.D1.450 i HRN B.D8.052., HRN B.D6.058, HRN B.D8.062</t>
  </si>
  <si>
    <t>b) Nepocakljene podne pločice moraju zadovoljavati uvjete ovih normi: HRN B.D1.305, HRN B.D1.306, HRN B.D1.450 i HRN B.D8.052, HRN B.D6.058, HRN B.D8.062</t>
  </si>
  <si>
    <t>Pločice za oblaganje zidova moraju zadovoljavati uvjete ovih normi: HRN B.D1.300, HRN B.D1.301, HRN B.D8.050 i HRN B.D8.099.</t>
  </si>
  <si>
    <t>Granitno porculanske pločice polažu se prema preporuci proizvođača. Pločice moraju biti kalibrirane i obavezno je priložiti certifikate:</t>
  </si>
  <si>
    <t>za čvrstoću</t>
  </si>
  <si>
    <t>otpornost na habanje</t>
  </si>
  <si>
    <t>protukliznost</t>
  </si>
  <si>
    <t>otpornost na kemikalije</t>
  </si>
  <si>
    <t>Izvođač je dužan prije početka radova ispitati podlogu, te eventualne neispravnosti javiti nadzornom organu. Površine koje se oblažu moraju biti čiste, bez prašine i drugih prljavština, ravne i suhe, te bez neravnina. Ljepljenje pločica izvodi se ljepilom. Za ljepljenje keramičkih pločica mogu se upotrijebiti samo ona ljepila koja su od strane proizvođača deklarirana za određenu vrstu radova i imaju certifikat ovlaštenog instituta.</t>
  </si>
  <si>
    <t>Proizvođač mora dati detaljna uputstva za ugradnju i potrebne pradradnje za ljepljenje, ljepilo ne smije izazvati nikakve štetne posljedice uslijed kemijskih utjecaja izazvanih pri dodiru podloge i obloge sa ljepilom.</t>
  </si>
  <si>
    <t>Čvrstoća na posmik na zidove mora biti min. 3 kg/cm2. Čvrstoća na pritisak na podove ne smije biti manja od čvrstoće podloge.</t>
  </si>
  <si>
    <t>Ako tekstom troškovnika nije drugačije traženo, reške između pločica na zidovima i podovima su širine 2 mm. Reške se zatvaraju pogodnim zaptivnim materijalom (kit raznih vrsta).</t>
  </si>
  <si>
    <t>Nakon dovršenja radova treba stijene i pod posve očistiti.</t>
  </si>
  <si>
    <t>Jedinična cijena treba sadržavati sav potreban osnovni i pomoćni materijal (distanceri) i pribor s masom za fugiranje, sav rad, sve transporte do gradilišta i na gradilištu, sredstva zaštite na radu i sve zakonom propisane troškove.</t>
  </si>
  <si>
    <t>U izvedbi je uključeno ispitivanje i čišćenje podloge, te izravnanje manjih neravnina, precizno izvođenje priključaka opločenja na ostale građevne dijelove, zaštita izrađenih površina i odstranjenje i odvoz svih otpadaka po dovršenju radova, kao i dobava uzoraka u svrhu odobrenja.</t>
  </si>
  <si>
    <t>13. Soboslikarsko - ličilački i fasaderski radovi</t>
  </si>
  <si>
    <t>Soboslikarsko-ličilačke radove izvesti prema opisu u stavkama troškovnika po pravilima struke, primjenjivajući važeće propise i norme, naročito temeljem čl. 20. Zakona o tehničkim zahtjevima za proizvode i ocjeni sukladnosti (NN 158/03) preuzet "Pravilnik o tehničkim normativima za projektiranje i izvođenje završnih radova u građevinarstvu" (Sl.list br. 21/90) i odgovarajuće norme:</t>
  </si>
  <si>
    <t xml:space="preserve">HRN U.F1.012 ili jednakovrijedno                       Tehnički uvjeti za izvođenje ličilačkih radova </t>
  </si>
  <si>
    <t>HRN U.F2.013 ili jednakovrijedno                       Tehnički uvjeti za izvođenje soboslikarskih radova</t>
  </si>
  <si>
    <t>HRN U.F2.010 ili jednakovrijedno                       Tehnički uvjeti za izvođenje fasaderskih radova</t>
  </si>
  <si>
    <t>Nenormizirane izvedbe vanjskih slojeva na konstrukcijama trebaju biti ispitane od stručne institucije, a rad treba izvoditi po stručnom uputstvu.</t>
  </si>
  <si>
    <t>Ako je u stavci troškovnika uključena izvedba radova za koje je potrebna radna snaga posebne kvalifikacije (struke), treba ih povjeriti radnicima tražene struke.</t>
  </si>
  <si>
    <t>Ako je u opisu radova spomenut određen materijal, može se upotrijebiti i drugi dokazano istovjetan proizvod, ali uz odobrenje nadzornog inženjera. Ako u opisu radova nije izričito propisan određeni materijal, izvođač treba da na vlastitu odgovornost izabere i pripremi materijal prema vrsti podloge, zahtjevanom izvođenju i uvjetima u kojima se podloga nalazi u vrijeme izvođenja i eksploatacionim uvjetima. Materijali se mogu primjenjivati samo na onim površinama za koje su prema svojim fizičko kemijskim i mehaničkim osobinama namjenjeni. Ako se u garantnom roku pojave bilo kakve promjene na radovima zbog loše kvalitete materijala izvođač je o svom trošku dužan ukloniti nedostatke. Gotovi, tvornički proizvedeni materijali moraju se upotrijebiti prema uputstvima proizvođača. Posebno voditi računa o dozvoljenoj temperaturi zraka za primjenu pojedine vrste materijala. Premazivanje može biti ručno ili strojno, ako u opisu radova nije strojno izvođenje radova isključeno.</t>
  </si>
  <si>
    <t>Svi upotrebljeni materijali trebaju biti potvrđeni kvalitetom proizvođača. Izvođač radova dužan je prije početka rada pregledati sve površine na gradnji, te izvođaču građevinskih radova dati svoje eventualne primjedbe. Podloge na koje se nanose zidne i stropne boje (žbuke, beton) treba prethodno obraditi prema uputama proizvođača - provesti kompletne predradnje - čišćenje ploha, impregnaciju, gletanje, kitanje i brušenje.</t>
  </si>
  <si>
    <t>Zidove treba bijeliti i bojati kad su potpuno suhi, a prije bijeljenja treba izravnati sve eventualne rupe, pukotine ili krhotine.</t>
  </si>
  <si>
    <t>U jediničnoj cijeni kod bojanja odabranom bojom na novom zidu i stropu uključeno je:</t>
  </si>
  <si>
    <t>a) Priprema podloge</t>
  </si>
  <si>
    <t>čišćenje površine od prašine i eventualno potrebni popravci na podlozi</t>
  </si>
  <si>
    <t>b) Impregniranje</t>
  </si>
  <si>
    <t>produžne žbuke, vapnene žbuke i beton impregnirati odgovarajućom impregnacijom. Prije upotrebe treba impregnaciju razrijediti čistom vodom prema uputstvu proizvođača.</t>
  </si>
  <si>
    <t>c) Zaglađivanje</t>
  </si>
  <si>
    <t>za zaglađivanje valja primjeniti odgovarajući kit i nanijeti ga gladilicom u dva do tri tanja sloja. Nakon sušenja prebrusiti papirom broj 120 ili broj 150.</t>
  </si>
  <si>
    <t>d) Završno ličenje</t>
  </si>
  <si>
    <t>Izvoditi u 3 naliča, materijal pripremiti prema uputstvu proizvođača. Nanositi krznenim valjkom ili četkom.</t>
  </si>
  <si>
    <t>Premazi moraju čvrsto prijanjati na podlogu i imati jednoličnu površinu bez tragova četke, odnosno valjka. Boja mora biti ujednačenog intenziteta i tona, bez mrlja, tragova kitanja i oštećenja.</t>
  </si>
  <si>
    <t>Unutarnji uljani premazi moraju biti postojani na svjetlo i otporni na pranje. Vanjski premazi moraju biti otporni na atmosferilije. Podloga za sve radove mora biti u pravilu čista i bez prljavština (prašina, smola, ulje, mast, čađa, rđa, bitumen i sl.). Opće je pravilo da prije završne obrade treba sve metalne dijelove ugrađene u podlozi zaštititi premazivanjem antikorozivnim sredstvom.</t>
  </si>
  <si>
    <t>U cijeni radova uključen je i sav pomoćni rad i materijal, svi transporti, kao i sve potrebne skele, podesti i druga pomagala, skidanje i ponovno vješanje prozorskih i vratnih krila, izrada uzoraka, pogonska energija, sredstva zaštite na radu i drugo.</t>
  </si>
  <si>
    <t>Treba nastojati da se što više iskoriste već postavljene skele za građevinske radove.</t>
  </si>
  <si>
    <t>Obračun izvršenih radova izvršit će se po jedinici mjere pojedine stavke u troškovniku prema stvarno izvedenim količinama radova na gradilištu.</t>
  </si>
  <si>
    <t>IV</t>
  </si>
  <si>
    <t>A</t>
  </si>
  <si>
    <t>Redni broj</t>
  </si>
  <si>
    <t>opis stavke</t>
  </si>
  <si>
    <t>jedinične mjere</t>
  </si>
  <si>
    <t>količina</t>
  </si>
  <si>
    <t>jedinična cijena</t>
  </si>
  <si>
    <t>ukupna cijena</t>
  </si>
  <si>
    <t>Opća napomena:</t>
  </si>
  <si>
    <t>Svi radovi, materijali i ugrađena oprema moraju biti u skladu sa trenutno važećim zakonima, propisima, normama i standardima.</t>
  </si>
  <si>
    <t>A1</t>
  </si>
  <si>
    <t xml:space="preserve">   GRAĐEVINSKI  RADOVI</t>
  </si>
  <si>
    <t>I</t>
  </si>
  <si>
    <t>kom</t>
  </si>
  <si>
    <t>m2</t>
  </si>
  <si>
    <t>II</t>
  </si>
  <si>
    <t>DEMONTAŽE I RUŠENJA</t>
  </si>
  <si>
    <t>h</t>
  </si>
  <si>
    <t>m3</t>
  </si>
  <si>
    <t>m1</t>
  </si>
  <si>
    <t xml:space="preserve"> - utori dim 5x5 cm</t>
  </si>
  <si>
    <t xml:space="preserve"> - utori dim 5x10 cm</t>
  </si>
  <si>
    <t>NKV</t>
  </si>
  <si>
    <t>sati</t>
  </si>
  <si>
    <t>VKV</t>
  </si>
  <si>
    <t>DEMONTAŽE I RUŠENJA UKUPNO :</t>
  </si>
  <si>
    <t>III</t>
  </si>
  <si>
    <t>V</t>
  </si>
  <si>
    <t>BETONSKI I ARMIRANO BETONSKI RADOVI</t>
  </si>
  <si>
    <t>VI</t>
  </si>
  <si>
    <t>VII</t>
  </si>
  <si>
    <t>ZIDARSKI RADOVI</t>
  </si>
  <si>
    <t>kompl</t>
  </si>
  <si>
    <t xml:space="preserve">Ponuditelj može obići i detaljno pregledati lokaciju (građevnu česticu, građevinu/e, zonu obuhvata). </t>
  </si>
  <si>
    <t xml:space="preserve">Sve stavke ovog troškovnika podrazumjevaju dobavu svih sklopova i proizvoda na gradilište, montažu (ugradnju), te stavljanje u funkciju do pune gotovosti. </t>
  </si>
  <si>
    <t xml:space="preserve"> - Tehnički propisi za građevinske konstrukcije NN RH br. 17/17, 75/20</t>
  </si>
  <si>
    <t>Prije početka zidanja zidova potrebno je kontrolirati čvrstoću i dozvoljena odstupanja od dimenzija opeke, a prema važećim HRN normativima ili jednakovrijedno.</t>
  </si>
  <si>
    <t>Opeka za zidanje mora biti prvoklasna sa minimalnim odstupanjima po HRN-u ili jednakovrijedno. Za nosive zidove ne smiju se upotrebljavati elementi od pečene gline marke niže od M 10. Obavezno osigurati sve predviđene otvore i "žljebove" za ugradnju stolarije, bravarije i za montažu instalacija, jer se ovaj posao neće posebno obračunavati, već je sadržan u jediničnoj cijeni stavci zidanja.</t>
  </si>
  <si>
    <t>Ako je opis koje stavke izvođaču nejasan treba pravovremeno, prije predaje ponude, tražiti objašnjenje od naručitelja. Sve višeradnje koje neće biti na taj način utvrđivane, neće se priznati u obračun.</t>
  </si>
  <si>
    <t>Podopolagačke radove izvesti prema opisu u troškovniku, iz prvoklasnog materijala, u svemu prema tehničkim uvjetima za podopolagačke radove i hrvatskim normama ili jednakovrijednim. Prema vrsti materijala podne obloge mogu biti:</t>
  </si>
  <si>
    <t>Opločenje zidova ili podova izvršiti će se prema opisu u pojedinoj stavci troškovnika iz prvorazrednog novog (neupotrebljenog) materijala u svemu prema tehničkim uvjetima za keramičarske radove i hrvatskim normama ili jednakovrijednim:</t>
  </si>
  <si>
    <r>
      <t xml:space="preserve">Za izradu pregradnih stijena sa gipskartonskim pločama </t>
    </r>
    <r>
      <rPr>
        <sz val="10"/>
        <rFont val="Arial"/>
        <family val="2"/>
        <charset val="238"/>
      </rPr>
      <t xml:space="preserve"> vezani su standardi:</t>
    </r>
  </si>
  <si>
    <t>Čelik za armiranje betona treba zadovoljavati uvjete EN 10080  ili jednakovrijedo    i uvjete projekta konstrukcije. Svaki proizvod treba biti jasno označen i prepoznatljiv.</t>
  </si>
  <si>
    <t>Sidreni i spojni elementi trebaju zadovoljavati uvjete ENV 1992-1-1 ili jednakovrijedno, priznatih propisa navedenih u TPBK i uvjete projekta.</t>
  </si>
  <si>
    <t>HRN U.F2.010  ili jednakovrijednoj te "Pravilnika o tehničkim mjerama i uvjetima za završne radove u zgradarstvu (Sl.list 21/90), te normativi i standardi rada GN 301 ili jednakovrijedni.</t>
  </si>
  <si>
    <t>HRN U.F2.019 ili jednakovrijedno  Plivajuće podne konstrukcije (Teh.uvjeti) ili jednakorvijedna</t>
  </si>
  <si>
    <t>Svi ugrađeni materijali trebaju imati certifikate.</t>
  </si>
  <si>
    <t>Za izradu ponude i izvođenje podova ponuđač je dužan primjeniti relevantne propise i norme koje su propisane ili jednakovrijedne.</t>
  </si>
  <si>
    <t>HRN U.F2.011 ili jednakovrijedno                          
 - Tehnički uvjeti za izvođenje keramičarskih radova</t>
  </si>
  <si>
    <t>IZOLATERSKI RADOVI</t>
  </si>
  <si>
    <t>1.</t>
  </si>
  <si>
    <t>A2</t>
  </si>
  <si>
    <t>Jedinična cijena stavaka treba sadržavati sve radove do potpune gotovosti elemenata kao:</t>
  </si>
  <si>
    <t>izrada radioničkih nacrta</t>
  </si>
  <si>
    <t>izrada elemenata prema shemi i mjerama</t>
  </si>
  <si>
    <t>ličenje</t>
  </si>
  <si>
    <t>ostalo bojanje i lakiranje</t>
  </si>
  <si>
    <t>oblaganje</t>
  </si>
  <si>
    <t>ustakljenje</t>
  </si>
  <si>
    <t>potreban okov i sav pribor za montažu i suhu ugradnju</t>
  </si>
  <si>
    <t>postava stolarije i bravarije</t>
  </si>
  <si>
    <t>postava i ugradnja vrata između prostora sa različitom visinom poda</t>
  </si>
  <si>
    <t>željezni kutni profil kao prag</t>
  </si>
  <si>
    <t>STOLARSKI RADOVI</t>
  </si>
  <si>
    <t>STOLARSKI RADOVI UKUPNO :</t>
  </si>
  <si>
    <t>BRAVARSKI RADOVI</t>
  </si>
  <si>
    <t>Napomena:</t>
  </si>
  <si>
    <t>BRAVARSKI RADOVI UKUPNO :</t>
  </si>
  <si>
    <t>SOBOSLIKARSKO LIČILAČKI RADOVI</t>
  </si>
  <si>
    <t xml:space="preserve"> </t>
  </si>
  <si>
    <t>RAZNI RADOVI</t>
  </si>
  <si>
    <t>RAZNI RADOVI  UKUPNO:</t>
  </si>
  <si>
    <t>REKAPITULACIJA GRAĐEVINSKO OBRTNIČKIH RADOVA:</t>
  </si>
  <si>
    <t>2.</t>
  </si>
  <si>
    <t>9.</t>
  </si>
  <si>
    <t>B.</t>
  </si>
  <si>
    <t>ELEKTROINSTALACIJE</t>
  </si>
  <si>
    <t>TEHNIČKI UVJETI IZVEDBE I OSIGURANJE KONTROLE KVALITETE</t>
  </si>
  <si>
    <t>Ovi tehnički uvjeti su dopuna i objašnjenje za ovu vrstu instalacija i kao takvi su  sastavni dio projekta, te su stoga obavezni za izvođača.</t>
  </si>
  <si>
    <t>Instalacija se izvodi perma projektu i tehničkom opisu u projektu, važećim hrvatskim propisima, tehničkim propisima i pravilima struke.</t>
  </si>
  <si>
    <t>3.</t>
  </si>
  <si>
    <t>Za sve promjene i odstupanja od ovog projekta mora se pribaviti pismena suglasnost nadzornog inženjera, odnosno projektanta.</t>
  </si>
  <si>
    <t>4.</t>
  </si>
  <si>
    <t>Izvodač je dužan prije početka radova projekt provjeriti na licu mjesta i za eventualna odstupanja konzultirati projektanta.</t>
  </si>
  <si>
    <t>5.</t>
  </si>
  <si>
    <t>Sav materijal koji se upotrebljava u izvođenju mora odgovarati  važećim standardima. Po donošenju materijala na gradilište, na poziv izvođača, nadzorni inženjer će ga pregledati i njegovo stanje konstatirati u građevinskom dnevniku. Ako bi i zvođač upotrijebio materijal za koji se kasnije ispostavi da nije odgovarao, na zahtjev nadzornog inženjera mora se ukloniti s objekta i ugraditi drugi koji odgovara propisima.</t>
  </si>
  <si>
    <t>6.</t>
  </si>
  <si>
    <t>Pored materijala i sam rad mora biti kvalitetno izveden, a sve što bi se u toku rada ili kasnije pokazalo nekvalitetno izvođač je dužan o svom trošku ispraviti.</t>
  </si>
  <si>
    <t>7.</t>
  </si>
  <si>
    <t>Prije nego se pristupi polaganju vodova mora se izvršiti točno razmjeravanje i obilježavanje na zidu, podu i stropovima, te naznačiti mjesta za razvodne kutije i prolaze kroz zidove, pa tek onda prići dubljenju zidova.</t>
  </si>
  <si>
    <t>8.</t>
  </si>
  <si>
    <t>Vododvi se polažu po naznačenoj trasi u planu instalacija horizontalno i vertikalno. Koso polaganje nije dozvoljeno.</t>
  </si>
  <si>
    <t xml:space="preserve">Razmak obujmica ne smije biti veći od 30 cm, a kod okomitog postavljanja od 40 cm. Pri odmotavanju kabela paziti da se kabel ne usuče i da se ne oštećuje izolacija kabela.                                                                                                    </t>
  </si>
  <si>
    <t>10.</t>
  </si>
  <si>
    <t>Nulti i zaštitni vodovi ne smiju biti osigurani, a po  boji se moraju razlikovati od faznih vodova. U električnom pogledu moraju predstavljati neprekidnu cjelinu.</t>
  </si>
  <si>
    <t>11.</t>
  </si>
  <si>
    <t>Nastavljanje i grananje vodova vrši se isključivo u razvodnim kutijama.</t>
  </si>
  <si>
    <t>12.</t>
  </si>
  <si>
    <t>Da bi se omogućilo nesmetano spajanje vodiča u kutijama , prekidačima, svjetiljkama i priključnicama, potrebno je na tim mjestima kabel napustiti za 10-15 cm.</t>
  </si>
  <si>
    <t>13.</t>
  </si>
  <si>
    <t>Sklopke, utičnice i drugi instalacioni materijal prije postavljanja ispitati   na tehničku ispravnost.</t>
  </si>
  <si>
    <t>14.</t>
  </si>
  <si>
    <t>Svi elementi u razvodnim ormarima moraju bit ipostavljeni pregledno i označeni odgovarajučim oznakama, prema strujnim shemama, a elementi na vratima označeni graviranim natpisnim pločicama.</t>
  </si>
  <si>
    <t>15.</t>
  </si>
  <si>
    <t>Kod izvođenja elektroinstalacije mora se voditi računa da se ne oštete već izvedeni radovi i dijelovi objekta.</t>
  </si>
  <si>
    <t>16.</t>
  </si>
  <si>
    <t>Rušenje, bušenje i dubljenje armirano betonske i čelične konstrukcije, smije se vršiti samo uz suglasnost građevinskog nadzornog tijela.</t>
  </si>
  <si>
    <t>17.</t>
  </si>
  <si>
    <t>Spajanje vodova u razvodnim kutijama vrši se isključivo u stezaljkama odgovarajućeg presjeka.</t>
  </si>
  <si>
    <t>18.</t>
  </si>
  <si>
    <t>Kod polaganja kabela treba se pridržavati propisanog radijusa savijanja.</t>
  </si>
  <si>
    <t>Po završetku svih radova , a prije konačnog puštanja u pogon, odnosno instalacije u rad, moraju se provesti ispitivanja od strane ovlaštene pravne osobe, te investitoru predati pripadajuće ispitne protokole.</t>
  </si>
  <si>
    <t xml:space="preserve">Ispitivanja će se izvesti prema važećem Zakonu o normizaciji  </t>
  </si>
  <si>
    <t>Ispitivanje elektroenergetske instalacije niskog napona:</t>
  </si>
  <si>
    <t>Provjera pregledom: mjerenje razmaka kod zaštite pregradama, izbor i podešenost zaštitnih uređaja, ispravnost isklopnih uređaja, izbor opreme, kontrola neutralnog i zaštitnog vodiča, postojanje shema u svim razvodnim ormarima, oznake sustava zaštite od indirektog dodira na vanjskoj strani razvodnih ormara, označavanje strujnih krugova, spajanje vodiča, zaštitne mjere od širenja vatre. Mjerenje otpora izolacije</t>
  </si>
  <si>
    <t>Mjerenje otpora petlje i napona dodira</t>
  </si>
  <si>
    <t xml:space="preserve">Provjera zaštite električnih odvajanja strujnih krugova   </t>
  </si>
  <si>
    <t>Mjerenje otpora uzemljenja i neprekinutosti zaštitnog vodiča</t>
  </si>
  <si>
    <t>Funkcionalno ispitivanje</t>
  </si>
  <si>
    <t>Ispitivanje djelovanja ZUDS-a</t>
  </si>
  <si>
    <t>Izdavanje potrebnih atesta, ispitnih listova i izvještaja o ispitivanju:</t>
  </si>
  <si>
    <t>-</t>
  </si>
  <si>
    <t>ispitni protokoli za navedena ispitivanja</t>
  </si>
  <si>
    <t>atesti, certifikati ili izjave o sukladnosti o kvaliteti upotrebljenih materijala i opreme.</t>
  </si>
  <si>
    <t xml:space="preserve">Napomena: </t>
  </si>
  <si>
    <t>U specifičnim slučajevima, izvođač može i obavezan je po zakonu, tražitit posebna ispitivanja i odgovarajuće ateste, a taj trošak mora ukalkulirati u jediničnu cijenu stavke.</t>
  </si>
  <si>
    <t>C.</t>
  </si>
  <si>
    <t>VATRODOJAVA</t>
  </si>
  <si>
    <t>Program kontrole i osiguranja kvalitete“ sastoji se u obvezatnoj primjeni svih zahtjeva i normi od važnosti za kvalitetu. Ove norme i zahtjevi upisani su u odgovarajućim dokumentima u prilozima ovog projekta.</t>
  </si>
  <si>
    <t>Svi učesnici uključeni u aktivnostima nabave dijelova, opreme ili usluga, izrade, montaže, građenja, puštanja u pogon kao i za vrijeme redovnog pogona, dužni su primjenjivati navedene norme i ispunjavati tražene zahtjeve.</t>
  </si>
  <si>
    <t>Osim navedenih normi i zahtjeva, svi učesnici u spomenutim aktivnostima dužni su primjenjivati norme i poštovati zahtjeve od važnosti za kvalitetu iz područja djelatnosti koju obavljaju.</t>
  </si>
  <si>
    <t>Uz sve ugrađene uređaje, opremu i materijal potrebno je dostaviti odgovarajuće ateste i certifikate, kojima se dokazuje kvaliteta.</t>
  </si>
  <si>
    <t>Izvođač radova treba radove izvoditi prema propisima i tehničkim normativima i dužan je kvalitetu radova dokumentirati rezultatima ispitivanja.</t>
  </si>
  <si>
    <t>Izvođač se obvezuje da će redovito upisivati u montažni dnevnik sve potrebne podatke koje je obvezan upisivati i da će osobi ovlaštenoj za vršenje nadzora omogućiti svakodnevni uvid u montažni dnevnik.
Osobe ovlaštene za vršenje nadzora obvezne su redovito potpisivati dnevnik o izvršenim radovima.
Obavijest o završetku radova izvođač je obavezan dostaviti pismeno investitoru.</t>
  </si>
  <si>
    <t xml:space="preserve">Sve garantne listove, ateste, i certifikate ugrađenog materijala i opreme, zajedno sa svim potrebnim uputama za upotrebu i održavanje izvedene instalacije obvezan je izvođač dostaviti investitoru prije izvršenja tehničkog pregleda.
Poslije tehničkog pregleda izvršit će se primopredaja izvedenih radova izvođača i investitora i to u najkraćem mogućem roku.
Primopredaja radova između izvođača i investitora obuhvaća utvrđivanje izvedenih radova, te konačni obračun radova.
</t>
  </si>
  <si>
    <t>Izvođač radova ne odgovara za kvarove nastale nasilnim oštećenjem ili nestručnim korištenjem izvedene opreme i instalacije.</t>
  </si>
  <si>
    <t xml:space="preserve">Prvo ispitivanje je potrebno izvesti prije puštanja u pogon novog sustava.
Jednom godišnje potrebno je provesti ispitivanje sustava od ovlaštene tvrtke.
Sustav treba održavati stručna i osposobljena osoba.
Kod  polaganja instalacija vatrodojave  pridržavati se važećih propisa za instalacije slabe struje kao i posebnih uvjeta proizvođača opreme.
</t>
  </si>
  <si>
    <t xml:space="preserve">Izbjegnuti  blisko paralelno vođenje instalacija vatrodojave i instalacija jake struje. Na mjestima gdje to nije  moguće,  najmanje rastojanje treba  iznositi:
 10  cm  između telefonskih i drugih telekomunikacijskih vodova,
 20  cm  između električnih vodova
</t>
  </si>
  <si>
    <t>Pridržavati se pravila kod polaganja instalacijskih cijevi i vodova po katovima tako da su instalacijske cijevi i vodovi položeni 10  cm  ispod tavanice,  da su cijevi i vodovi telekomunikacijskih instalacija  položeni 20 cm  ispod tavanice,  a cijevi i kabeli električnih instalacija  položeni 30 cm  ispod tavanice.</t>
  </si>
  <si>
    <t>Na strujni krug kojim se napaja centrala sustava vatrodojave nesmije biti  priključeno niti jedno drugo trošilo.</t>
  </si>
  <si>
    <t>Zaštita od previsokog napona dodira na centralnom uređaju  izvesti  spajanjem svih vodljivih dijelova centralnog uređaja  na postojeći sustav zaštite u objektu.</t>
  </si>
  <si>
    <t>Zaštita od previsokog napona dodira na detektorima i javljačima požara nije potrebna jer je maksimalni napon 24 V.</t>
  </si>
  <si>
    <t>Vodiče i kabele između centralnog uređaja i javljača ili javljača i javljača voditi  u jednom komadu bez prekida.</t>
  </si>
  <si>
    <t>Sve vodove vatrodojavnog sustava  označiti naljepnicama ili pločicama u skladu s projektom.</t>
  </si>
  <si>
    <t>Ne smiju se izvršiti nikakve izmjene u projektu bez suglasnosti projektanta.</t>
  </si>
  <si>
    <t>D.</t>
  </si>
  <si>
    <t>INSTALACIJE VODOVODA I KANALIZACIJE</t>
  </si>
  <si>
    <t>POSEBNI TEHNIČKI UVJETI GRADNJE ZA INSTALACIJE INTERNOG VODOVODA I KANALIZACIJE</t>
  </si>
  <si>
    <t>MATERIJAL</t>
  </si>
  <si>
    <t>Sav materijal i uređaji potrebni za izvedbu instalacija internog vodovoda i kanalizacije moraju odgovarati propisima  normi  i prema posebnim uvjetima i smjernicama (ukoliko takvi postoje) lokalnih distributera koji gospodare javnim vodovodom i kanalizacijom.</t>
  </si>
  <si>
    <t>Materijal za izvedbu protupožarne hidrantske mreže mora osim toga odgovarati i “Propisima vatrogasne službe”.</t>
  </si>
  <si>
    <t>IZVEDBA</t>
  </si>
  <si>
    <t>Općenito</t>
  </si>
  <si>
    <t>Instalaciju internog vodovoda i kanalizacije, te montažu sanitarnih predmeta i uređaja, treba izvesti stručno i točno prema nacrtima, tehničkom opisu, troškovniku i pravilima struke.</t>
  </si>
  <si>
    <t>Prije početka radova izvoditelj je dužan na gradnji kontrolirati sve mjere koje su mu potrebne za izvedbu i izvedeni objekt usporediti s nacrtima. Ako se ustanove bitne razlike u mjerama, veće promjene ili neki nedostaci koji bi mogli utjecati na izvedbu radova, izvođač je dužan o tome pravodobno obavijestiti naručitelja i pismeno zatražiti njegove daljnje upute, te ne započeti s radovima dok se ne uklone uočeni nedostaci. Odstupanje od konačno odobrenih nacrta dozvoljeno je na temelju pismenog odobrenja projektanta uz suglasnost naručitelja, a kod većih odstupanja na temelju novog odobrenog projekta.</t>
  </si>
  <si>
    <t>Naručitelj je dužan dati izvoditelju dovoljno velik osvijetljen prostor na gradilištu za slaganje i uskladištenje materijala i alata, a izvoditelj mora dozvoliti nadzornom organu pristup u prostor u svrhu nadzora izvedbe i materijala.</t>
  </si>
  <si>
    <t>U zidovima mora projektant, kao i izvoditelj građevinskih radova u dogovoru s izvoditeljem instalacija, predvidjeti dovoljno velike usjeke i prodore za ugradnju vertikalnih i horizontalnih vodova.</t>
  </si>
  <si>
    <t>Izvoditelj instalacija vodovoda i kanalizacije mora koordinirati svoju izvedbu sa izvoditeljima ostalih instalacijskih radova, tako da ne dođe do oštećenja instalacija.</t>
  </si>
  <si>
    <t>Izvoditelj instalacija vodovoda i kanalizacije dužan je voditi za vrijeme izvedbe radova dnevnik montaže u koji se svakodnevno upisuju i po potrebi ucrtavaju svi podaci o radovima na montaži instalacije.</t>
  </si>
  <si>
    <t>Instalacija internog vodovoda</t>
  </si>
  <si>
    <t>Projektiranje, izvedba i ispitivanje internih instalacija vodovoda, kao i izvedba okna za vodomjer mora se izvršiti prema pravilima struke i prema propisima lokalnog distributera koji gospodari javnim vodovodom.</t>
  </si>
  <si>
    <t>Instalaciju spojnog voda od javne vodovodne mreže do internog vodomjernog okna vrši samo lokalni distributer, odnosno ovlašteno poduzeće, a na teret troškova objekta, odnosno investitora.</t>
  </si>
  <si>
    <t>Instalacija interne kanalizacije</t>
  </si>
  <si>
    <t>Projektiranje, izvedba i ispitivanje internih instalacija kanalizacije, kao i izvedba priključnog (kontrolnog) revizijskog okna kanalizacije mora se izvršiti prema pravilima struke i prema propisima lokalnog distributera koji gospodari javnom kanalizacijom ukoliko se građevina priključuje na istu.</t>
  </si>
  <si>
    <t>Izvedbu priključnog kanala od javnog uličnog kanala do priključnog (kontrolnog) revizijskog okna vrši samo ovlašteno poduzeće koje gospodari javnom kanalizacijom, a na teret troškova objekta, odnosno investitora.</t>
  </si>
  <si>
    <t>SPOREDNI RADOVI</t>
  </si>
  <si>
    <t>U cijeni instalacija internog vodovoda i kanalizacije sadržani su i sljedeći sporedni radovi, ukoliko u troškovniku nije drugačije propisano:</t>
  </si>
  <si>
    <t>- izmjere potrebne za izvedbu i obračun s upotrebom potrebnih sprava, alata i radne snage;</t>
  </si>
  <si>
    <t>- izrada potrebnih obračuna i obračunskih nacrta kao prilog konačnom obračunu;</t>
  </si>
  <si>
    <t>- održavanje rasvjete i čišćenje prostorija koje su dodijeljene za skladište materijala i boravak radnika;</t>
  </si>
  <si>
    <t>transport, uskladištenje i čuvanje materijala potrebnog za radove;</t>
  </si>
  <si>
    <t>- ugradnja materijala, kao i sva spajanja, brtvljenja i ušvršćenja sa svim potrebnim pomoćnim materijalom i priborom;</t>
  </si>
  <si>
    <t>dobava i ugradnja podmetača za učvršćenje sanitarnih predmeta;</t>
  </si>
  <si>
    <t>- izolacija vodovodnih cijevi u zidu i termoizolaciji poda sa gotovim izolacijskim cijevima;</t>
  </si>
  <si>
    <t>- izolacija vodovodnih cijevi vođenih slobodno u prostoru (pod stropom, uz zid) sa gotovim izolacijskim cijevima tipa;</t>
  </si>
  <si>
    <t>- izolacija vodovodnih cijevi vođenih u drenažnoj podlozi poda i u zemlji sa gotovim bitumeniziranim trakama;</t>
  </si>
  <si>
    <t>- postava i rušenje skela do visine 3,50 m;</t>
  </si>
  <si>
    <t>- troškovi ispitivanja cijevi i drugog materijala prije ugradnje, troškovi ispitivanja instalacija vodovoda i kanalizacije na vodonepropusnost prema postojećim propisima, te ispitivanje uređajnih predmeta na ispravan rad;</t>
  </si>
  <si>
    <t>- troškovi naknadnog ispitivanja materijala, instalacija i uređajnih predmeta, ali samo u slučaju ako se ispitivanjem dokaže da izvoditelj nije upotrijebio propisan materijal ili nije propisno izvršio svoj rad;</t>
  </si>
  <si>
    <t>- odstranjenje svih otpadaka i ambalaže od vlastitih radova;</t>
  </si>
  <si>
    <t>- popravak i naknada štete učinjenih nepažnjom ili propustima na tuđim ili vlastitim radovima.</t>
  </si>
  <si>
    <t>U cijeni instalacija internog vodovoda i kanalizacije su sadržani sljedeći sporedni radovi, ukoliko u troškovniku nije drugačije propisano:</t>
  </si>
  <si>
    <t>- bušenje zidova i zasjeka, rabiciranja, zazidavanja i popravak žbuke;</t>
  </si>
  <si>
    <t>- postava i rušenje skela u visini preko 3,50 m;</t>
  </si>
  <si>
    <t>- iskopi, razupiranja jama, zatrpavanje, nabijanje i uspostava prijašnjeg stanja površina;</t>
  </si>
  <si>
    <t>- uvođenje rasvjete u prostorije skladišta materijala;</t>
  </si>
  <si>
    <t>- zaštitni naliči vidljivih cijevi protiv korozije ili drugog oštećenja u zgradi.</t>
  </si>
  <si>
    <t>Ukoliko u troškovniku nije propisan drugi način obračunavanja, obračunavaju se:</t>
  </si>
  <si>
    <t>- cijevi zajedno s fazonskim komadima odijeljeno prema vrsti i promjeru po m’ mjereno po osi. U cijeni je sadržana dobava i ugradnja, zajedno s eventualnom dobavom i ugradnjom potrebnih kuka, ovjesa, ogrlica i drugo, ali bez armatura:</t>
  </si>
  <si>
    <t>slavine, zasuni, armature, obični redukcijski ventili, regulacijski i sigurnosni ventili i drugo po komadu;</t>
  </si>
  <si>
    <t>- sanitarni i ostali uređajni predmeti po komadu zajedno s montažom ili zasebno dobava i zasebno montaža;</t>
  </si>
  <si>
    <t>- zaštitni naliči po propisu za soboslikarske i ličilačke radove, zaštitni povoji i zaštitne cijevi po m’ uz oznaku vrste i promjera;</t>
  </si>
  <si>
    <t>- bušenje proboja zidova prema debljini i vrsti zida po komadu, a zidnih zasjeka prema veličini presjeka zasjeka i vrsti zida po duljini (m’);</t>
  </si>
  <si>
    <t>- eventualno zidanje, betoniranje, žbukanje i drugo prema “Posebnim tehničkim uvjetima za građevinske radove”;</t>
  </si>
  <si>
    <t>- iskopi, zatrpavanja i uspostava površina kako je određeno u “Posebnim tehničkim uvjetima za građevinske radove”;</t>
  </si>
  <si>
    <t>- postava i skidanje skela kako je određeno u “Prosječnim normama u građevinarstvu”.</t>
  </si>
  <si>
    <t>OPĆI UVJETI:</t>
  </si>
  <si>
    <t>Dimenzije za sve elemente opreme potrebno je provjeriti na licu mjesta.</t>
  </si>
  <si>
    <t>U jediničnim cijenama za sve stavke troškovnika, ponuda mora sadržavati dobavu, ukupne troškove materijala i rada do potpunog dovršenja cjelokupnog posla odnosno do pune funkcionalnosti.U slučaju odstupanja od projekta u tijeku izvođenja  radova isporučitelj je dužan izraditi elaborat izvedenog stanja.</t>
  </si>
  <si>
    <t>Jedinična cijena, također, uključuje sva potrebna ispitivanja, kontrole i mjerenja za sve izvedene radove, ugrađene materijale i opremu, u svrhu dokazivanja njihove kvalitete i kompletiranja tehničke dokumentacije potrebne za ishođenje uporabne dozvole, te se prilikom primopredaje građevine, uručuje Investitoru odnosno krajnjem korisniku prije oštećenja.</t>
  </si>
  <si>
    <t>Navedena ispitivanja, kontrole i mjerenja izvode ovlaštene institucije, a odnose se na ispitivanje klimatizacije i ventilacije,te ostala potrebna ispitivanja sukladno važećoj zakonskoj regulativi.</t>
  </si>
  <si>
    <t>Kao dokaz usklađenosti sa specificiranim materijalom u troškovniku, ponuditelj je dužan obvezno dostaviti prije isporuke sljedeće dokumente:</t>
  </si>
  <si>
    <t>katalog sa opisom i fotografijom svih ponuđenih proizvoda, iz kojeg su vidljive sve tražene karakteristike proizvoda predmeta nabave.</t>
  </si>
  <si>
    <t>Isporučitelj je dužan prilikom isporuke, montaže i razmještaja opreme u okviru ugovorene cijene, preuzeti nekretninu, te obavijestiti investitora o početku radova. Od tog trenutka pa do primopredaje opreme, isporučitelj je odgovoran za stvari i osobe koje se nalaze u građevini.</t>
  </si>
  <si>
    <t>Za sav materijal, opremu i uređaje isporučitelj  je dužan prije isporuke dostaviti ateste i uvjerenja o kvaliteti, te garancijske listove i tehničku dokumentaciju sa podacima.</t>
  </si>
  <si>
    <t>Ukoliko isporučitelj isporuči robu na neodgovarajući način i od neodgovarajućih materijala,dužan je na svoj trošak izvesti iste iz materijala tražene kvalitete i na opisan način, uz prethodno otklanjanje nekvalitetnih dijelova.</t>
  </si>
  <si>
    <t>Pri radu treba obavezno primjenjivati sve potrebne mjere zaštite na radu, naročito zaštite od požara.</t>
  </si>
  <si>
    <t>Ukoliko se isporučitelj ne pridržava ovih pravila može mu se zabraniti daljnji rad dok ga ne organizira u skladu s pravilima.</t>
  </si>
  <si>
    <t>Troškovi zaštite uračunati su u jediničnu cijenu. Ukoliko ipak dođe do oštećenja prethodno izvedenih radova, isporučitelj je dužan oštećenja otkloniti o svom trošku  i dovesti u stanje prije oštećenja.</t>
  </si>
  <si>
    <t>Jednakovrijedni proizvodi moraju zadovoljiti opisane minimalne karakteristike i mora  postojati međusobna kompatibilnost.</t>
  </si>
  <si>
    <t>Zbrinjavanje otpada obaveza je izvoditelja radova.</t>
  </si>
  <si>
    <t>Po završetku montaže i razmještaja opreme i u toku radova isporučitelj je dužan čistiti prostor i susjedne prostore.</t>
  </si>
  <si>
    <t>U stavkama troškovnika predviđene su minimalne tehničke karakteristike uz dozvoljeno odstupanje u dimenzijama od +- 5%</t>
  </si>
  <si>
    <t xml:space="preserve">Ovi opći uvjeti i grafički prilozi sastavni su dio opisa svake pojedine stavke troškovnika. </t>
  </si>
  <si>
    <t>E.</t>
  </si>
  <si>
    <t>STROJARSKE INSTALACIJE</t>
  </si>
  <si>
    <t>GENERALNA NAPOMENA:</t>
  </si>
  <si>
    <t>Sav demontirani i porušeni materijal odvesti na gradski deponij te zbrinuti, a troškove obuhvatiti jediničnom cijenom jer se nikakvi troškovi odvoza neće posebno priznavati.</t>
  </si>
  <si>
    <t xml:space="preserve"> OBRTNIČKI RADOVI</t>
  </si>
  <si>
    <t>Posebna napomena za stolarske i bravarske radove:</t>
  </si>
  <si>
    <t>plastifikacija</t>
  </si>
  <si>
    <t>Izvođač radova je dužan izrađene radioničke nacrte dostaviti na ovjeru projektantu, te usaglasiti sve detalje, a tek nakon toga elementi se mogu dati na izradu. Prema građevinskim nacrtima odrediti broj desnih i lijevih vrata.</t>
  </si>
  <si>
    <t>A2/</t>
  </si>
  <si>
    <t xml:space="preserve"> OBRTNIČKI RADOVI UKUPNO:</t>
  </si>
  <si>
    <t>A1/  GRAĐEVINSKI RADOVI :</t>
  </si>
  <si>
    <t>A2/  OBRTNIČKI RADOVI :</t>
  </si>
  <si>
    <t>A/   GRAĐEVINSKO OBRTNIČKI RADOVI UKUPNO (A1+A2):</t>
  </si>
  <si>
    <t xml:space="preserve"> REKAPITULACIJA OBRTNIČKIH RADOVA</t>
  </si>
  <si>
    <t xml:space="preserve">BRAVARSKI RADOVI </t>
  </si>
  <si>
    <t>A1/</t>
  </si>
  <si>
    <t>REKAPITULACIJA GRAĐEVINSKIH RADOVA</t>
  </si>
  <si>
    <t>GRAĐEVINSKI RADOVI UKUPNO :</t>
  </si>
  <si>
    <t>kompl.</t>
  </si>
  <si>
    <t>jednakovrijedna norma/certifikat</t>
  </si>
  <si>
    <t>TROŠKOVNIK GRAĐEVINSKO OBRTNIČKIH RADOVA SA SHEMAMA STOLARIJE I BRAVARIJE</t>
  </si>
  <si>
    <t>TESARSKI RADOVI</t>
  </si>
  <si>
    <t>ARMIRAČKI RADOVI</t>
  </si>
  <si>
    <t>VIII</t>
  </si>
  <si>
    <t>IX</t>
  </si>
  <si>
    <t>BETONSKI I ARMIRANO BETONSKI UKUPNO:</t>
  </si>
  <si>
    <t>ARMIRAČKI RADOVI UKUPNO :</t>
  </si>
  <si>
    <t>TESARSKI RADOVI UKUPNO:</t>
  </si>
  <si>
    <t>ZIDARSKI RADOVI UKUPNO:</t>
  </si>
  <si>
    <t>IZOLATERSKI  RADOVI UKUPNO:</t>
  </si>
  <si>
    <t>Izvođač radova dužan je prije izvedbe novih stolarskih stavki iz drveta  izvršiti izmjeru građevinskih otvora u naravi.</t>
  </si>
  <si>
    <t>Izvoditelj se obvezuje usuglasiti odabir profila, radioničke nacrte, te boju elemenata s projektantom i predstavnikom nadležnog Konzervatorskog odjela.</t>
  </si>
  <si>
    <t>Završna obrada drveta uljanom bojom, u boji i tonu po odabiru  predstavnika nadležnog Konzervatorskog odjela.</t>
  </si>
  <si>
    <t>Izrada kompletne stolarije iz visokokvalitetnih drvenih industrijski sljepljenih profila iz ariša, visoke čvrstoće i otpornosti na savijanje ili iz hrastovog masiva, prema opisu u pojedinoj stavci.</t>
  </si>
  <si>
    <t>KROVOPOKRIVAČKI I LIMARSKI RADOVI</t>
  </si>
  <si>
    <t>KROVOPOKRIVAČKI I LIMARSKI RADOVI UKUPNO :</t>
  </si>
  <si>
    <t>SOBOSLIKARSKO LIČILAČKI RADOVI UKUPNO:</t>
  </si>
  <si>
    <t>Ove radove izvode ovlašteni restauratori, po pravilima struke sa prvorazrednim materijalom i izvedbom, odnosno u svemu kao postojeće.</t>
  </si>
  <si>
    <t>RESTAURATORSKI RADOVI</t>
  </si>
  <si>
    <t>PRIJE NUĐENJA OVIH STAVKI OBAVEZNO JE IZVRŠITI UVID NA LICU MJESTA.</t>
  </si>
  <si>
    <t>Jedinične cijene stavaka sadrže sve potrebne radnje za uklanjanje građevinskih elemenata, kao čišćenje, sortiranje, prijenose, prijevoze, deponiranje u prostoru ili izvan zgrade, skladištenje i transportiranje na mjesto koje odredi nadzorni inženjer investitora.</t>
  </si>
  <si>
    <t>Uređenje gradilišta</t>
  </si>
  <si>
    <t>Uređenje gradilišta uključuje pripremu cjelokupne građevinske mehanizacije, njihovo dovođenje, postavljanje i puštanje u pogon za izvođenje zemljanih i građevinskih radova.</t>
  </si>
  <si>
    <t>Navedeni uređaji i strojevi postavljaju se za potrebe gradilišta za potrebno vrijeme građenja.</t>
  </si>
  <si>
    <t>Eventualno višekratno premještanje sadržano je u cijeni.</t>
  </si>
  <si>
    <t>Priključci vode, struje i telefona moraju biti osigurani do završetka gradnje te uklonjeni po završetku radova.</t>
  </si>
  <si>
    <t>Prilazni putevi, prostori za skladištenje te ostale površine moraju se osigurati te ukloniti po završetku gradnje.</t>
  </si>
  <si>
    <t>Zaštitna građevinska ograda za osiguranje gradilišta, te osiguranje sigurnosti prometa oko gradilišta mora biti izgrađena te uklonjena po završetku gradnje.</t>
  </si>
  <si>
    <t>U cijeni je sadržana gradilišna ograda sa ulaznim vratima, kemijski wc, kontejneri za reciklažno odvajanje otpada /posebno za šutu, plastiku,papir,stiropor,drvo,željezo/, svi potrebni privremeni priključci,gradilišni kontejneri za potrebe gradilišta, nadzora ,prilazni putevi, građevinska mehanizacija</t>
  </si>
  <si>
    <t>Izvođač je obvezan u roku od dva tjedna po primitku odnosno potpisu Ugovora o građenju dostaviti investitoru shemu uređenja gradilišta.</t>
  </si>
  <si>
    <t>Javni i privatni putevi se moraju u slučaju onečiščenja od strane izvoditelja, po potrebi čistiti, a najmanje jednom dnevno, te po završetku radova moraju biti dovedeni u prvobitno stanje.</t>
  </si>
  <si>
    <t>Odvoz i uklanjanje navedenih uređaja i strojeva s gradilišta uključeno je u cijenu.</t>
  </si>
  <si>
    <t>a)</t>
  </si>
  <si>
    <t>OBRAČUN KOLIČINA</t>
  </si>
  <si>
    <t>▪</t>
  </si>
  <si>
    <t>Obračun  se  vrši  po  m3, m2, m1 ili  po  komadu.</t>
  </si>
  <si>
    <t>b)</t>
  </si>
  <si>
    <t xml:space="preserve">Jedinična cijena za obračun radova, pored navedenog u pojedinim stavkama uključuje i:  </t>
  </si>
  <si>
    <t xml:space="preserve">U jediničnoj cijeni pojedine stavke sadržan je sav rad i materijal, uskladištenje,osiguranje od kvara ili krađe, svi prijenosi i prijevozi, tako da je jedinična cijena konačna. </t>
  </si>
  <si>
    <t>Uvjeti nuđenja te uvjeti građenja iz poglavlja 3. Program kontrole kvalitete u glavnom projektu su sastavni dio svake pojedine stavke. Sve što je navedeno u njima, a nije u pojedinačnom opisu stavke smatra se uključenim u jediničnu cijenu.</t>
  </si>
  <si>
    <t>Ploča gradilišta</t>
  </si>
  <si>
    <t xml:space="preserve">ploča gradilišta </t>
  </si>
  <si>
    <t>Informacijska ploča</t>
  </si>
  <si>
    <t xml:space="preserve">Dobava i montaža vodootporne metalne ploče na bravarskoj konstrukciji sa svim potrebnim informacijama vezanim za gradilište u skladu s hrvatskim zakonima i smjernicama EU. Otporna na vjetar, nevremena te na vlagu, postavljena na betonskim temeljima potrebna podkonstrukcija, stup, spojni materijal, nosači potreban premaz ploče i podkonstrukcije </t>
  </si>
  <si>
    <t>Ploča gradilišta mora biti dobro vidljiva s javne prometnice i postavlja se u dogovoru s investitorom. Mora sadržavati naziv projekta, naziv korisnika, vrijednost projekta i iznos sufinanciranog dijela, razdoblje provedbe.</t>
  </si>
  <si>
    <t>Radove je obvezan izvršiti izvođač radova prije nego pristupi izvođenju, a naročito se odnose na pregled konstrukcije, ostalih važnih elemenata koje odredi stručna osoba, kako bi se ocijenilo stanje i potrebna sanacija ili zamjena, a što je zbog nemogućnosti pristupa  kod snimanja objekta bilo nemoguće točno utvrditi.</t>
  </si>
  <si>
    <t xml:space="preserve">Radovi na zgradi izvode se u svemu prema projektu i detaljima projektanta, a sve radnje vezano za stabilnost konstrukcije potrebno je usaglasiti sa statičarem nakon provjere postojećeg stanja.   </t>
  </si>
  <si>
    <t>19.</t>
  </si>
  <si>
    <t>Obračun se vrši po m2 izvedene zaštite.</t>
  </si>
  <si>
    <t>Izvoditelj snosi sve troškove ponovne dobave ili izrade pojedinih elemenata u slučaju oštećenja ili otuđenja sa gradilišta.</t>
  </si>
  <si>
    <t>Utovar i odvoz otpadnog materijala na deponiju, razvrstavanje i odlaganje, uključujući sve takse i troškove zbrinjavanja otpada.</t>
  </si>
  <si>
    <t>Obračun po kompletu.</t>
  </si>
  <si>
    <t>Obračun po m3 uklonjenog materijala.</t>
  </si>
  <si>
    <t xml:space="preserve">  </t>
  </si>
  <si>
    <t>U jediničnu cijenu uključena je sva potrebna mehanizacija, podupiranja  kao i odvoz na gradsku deponiju, razvrstavanje i odlaganje, uključujući sve takse i troškove zbrinjavanja otpada. Radove izvoditi uz prisutnost projektanta konstrukcije i nadzornog inženjera.</t>
  </si>
  <si>
    <t>Obračun po m3 uklonjene drvene konstrukcije</t>
  </si>
  <si>
    <t>Konzervatorska istraživanja i dokumentiranje slojevitosti naliča i žbuke te arhitektonske plastike, radi utvrđivanja izgleda pročelja u raznim povijesnim razdobljima, te radi utvrđivanja stanja obrada i konstrukcija.</t>
  </si>
  <si>
    <t>Prema odredbama nadležnog konzervatorskog odjela otvoriti sonde na ravnim površinama  svih etaža, u zoni podnožja, na vijencima, klupčicama  i kiparskim elementima.</t>
  </si>
  <si>
    <t>Profilacije koje nije moguće snimiti na terenu, potrebno je izraditi prema  istraživanjima i rekonstrukciji iz sačuvanih starih fotografija i druge postojeće dokumentacije.</t>
  </si>
  <si>
    <t>Stavka uključuje izradu nacrta istraživanja s ucrtanim i opisanim nalazima - dokumentiranje sondi te nacrte arhitektonske plastike nakon uklanjanja postojeće žbuke. Predviđa se 20 sondi, te dokumentiranje arhitektonske plastike na kompletnoj građevini. U stavku uključena izrada konzervatorskog elaborata, kao i rekonstrukcija svih nesačuvanih dijelova pročeljne plastike iz sačuvanih starih fotografija i druge postojeće dokumentacije.</t>
  </si>
  <si>
    <t>Ako se prilikom skidanja žbuke na nekim vijencima naiđe na montažnu podkonstrukciju /drvenu ili metalnu/ potrebno je provjeriti da li je ta podkonstrukcija zdrava prije njenog ponovnog zatvaranja.</t>
  </si>
  <si>
    <t xml:space="preserve">Prije otucanja trošne žbuke treba detaljno snimiti profilacije na građevini, korigirati profilacije i prema potrebi izraditi limene šablone. Snimke treba dati na uvid i odobrenje predstavniku nadležnog konzervatorskog odjela koji potvrđuje njihovu ispravnost upisom u građevinski dnevnik. </t>
  </si>
  <si>
    <t>Nakon podizanja skele i provedbe istražnih radova odredit će se oni elementi pročeljne plastike koji se trebaju:</t>
  </si>
  <si>
    <t xml:space="preserve">OBNOVITI </t>
  </si>
  <si>
    <t>čišćenje do nulte forme, uključujući čišćenje ili uklanjanje svih reški reprofilacija, ponovno fugiranje i uređenje - sve prema uputama Konzervatorskog odjela.</t>
  </si>
  <si>
    <t>IZRADITI NOVE ELEMENTE</t>
  </si>
  <si>
    <t>Sanacija dekorativnih elemenata na pročelju i drugim djelovima građevine obaviti će se čišćenjem i sanacijom na građevini ili restauracijom u radionici. Točan opseg radova i način izvedbe utvrditi će se nakon postavljanja skele, kada će biti moguće na licu mjesta utvrditi stanje svakog pojedinog elementa.
Sanacija na građevini izvesti će se upotrebom kamena, šuko mase ili drugog matrijala u kojem su izvedeni izvorni elementi i to u slučajevima kada je osnova elementa zadovoljavajuće čvrstoće, a nedostaju manji dijelovi pojedinog elementa. Upotrebljeni materijal treba imati zadovoljavajuću čvrstoću, otpornost na smrzavanje, vodoodbojnost i paropropusnost. Dograđene dijelove treba imobilizirati pomoću armature iz nehrđajućeg matrijala.</t>
  </si>
  <si>
    <t>Elementi koji nedostaju, ili su oštećenja takva da na građevini nije moguća sanacija, zamijeniti će se novima. Po jedan primjerak svakog različitog elementa treba retuširati i po potrebi dograditi dijelove koji nedostaju, kako bi poslužio kao izvornik za izradu kalupa. Potreban broj odljeva izraditi će se u smjesi bijelog cementa i odgovarajućeg punila. Navedena smjesa treba imati zadovoljavajuću čvrstoću, paropropusnost i biti otporna na atmosferske utjecaje. Prilikom punjenja kalupa smjesom za izradu odljeva treba ugraditi i prihvatnu armaturu od nehrđajućeg matrijala.
Elementi se ugrađuju u tijeku izvedbe fasaderskih radova, tj. nakon što se izvede gruba žbuka. Postavljaju se na očišćenu i čvrstu podlogu (najčešće zid od pune opeke ili kamena s kojeg je otučena žbuka). Učvršćuju se odgovarajućim klinovima od nehrđajućeg materijala. Nakon postave treba po potrebi obaviti retuš (na spojevima pojedinih dijelova ili ako je došlo do sitnijih oštećenja prilikom ugradnje) i izvesti sloj fine žbuke, s tim da se pazi da ne dođe do naknadnih oštećenja elemenata.</t>
  </si>
  <si>
    <t>Sve radove treba izvesti prema važećim tehničkim propisima, normama ili prihvaćenim recepturama, te uzancama zanata.
Kod primopredaje radova izvoditelj je dužan predati investitoru uvjerenje o kvaliteti svih ugrađenih matrijala (atesti, normi).
Jediničnom cijenom treba obuhvatiti:
sav rad i pomoćni materijal, troškove transporta i prijenosa do mjesta rada, skidanje elemenata koji služe kao izvornici, uzimanje otisaka, izradu kalupa, izradu odljeva sa potrebnom armaturom za učvršćenje, postavu na građevini.</t>
  </si>
  <si>
    <t>Izrada, dobava i postava fasadne željezne cijevne skele,  te demontaža iste i odvoz sa gradilišta nakon završetka radova.</t>
  </si>
  <si>
    <t>Posebnu pažnju treba obratiti na samu izvedbu fasadne skele.</t>
  </si>
  <si>
    <t>Isto tako treba predvidjeti pomične željezne penjalice za vršenje nadzora nad izvođenjem radova i za vertikalnu komunikaciju.</t>
  </si>
  <si>
    <t>Izrada i dostava detaljnog operativnog plana izvođenja radova i shema organizacije gradilišta.</t>
  </si>
  <si>
    <t>20.</t>
  </si>
  <si>
    <t>21.</t>
  </si>
  <si>
    <t>Utovar i odvoz otpadnog materijala na deponiju, razvrstavanje i odlaganje, uključujući sve takse i troškove zbrinjavanja otpada. Obračun po stvarnom broju demontiranih prozora.</t>
  </si>
  <si>
    <t>24.</t>
  </si>
  <si>
    <t>25.</t>
  </si>
  <si>
    <t>26.</t>
  </si>
  <si>
    <t>Utovar i odvoz otpadnog materijala na deponiju, razvrstavanje i odlaganje, uključujući sve takse i troškove zbrinjavanja otpada. Obračun po stvarnom broju demontiranih elemenata.</t>
  </si>
  <si>
    <t>Štemanje šliceva za razne instalacije koji nisu obračunati u troškovnicima instalacija. Kompletan rad i materijal. Odvoz šute na gradsku deponiju.</t>
  </si>
  <si>
    <t>23.</t>
  </si>
  <si>
    <t xml:space="preserve">Dobava, izrada, siječenje, savijanje, postava i vezivanje armature kvalitete MA 500/560, RA 400/500. </t>
  </si>
  <si>
    <t>Izvesti prema statičkom računu i nacrtima savijanja armature. Količine u troškovniku računate u odnosu na m3 ugradjenog betona. Stvarne količine će se obračunati na temelju nacrta savijanja, računajući teoretske težine.</t>
  </si>
  <si>
    <t>Obračun po kg ugradjene armature.</t>
  </si>
  <si>
    <t>Prije betoniranja nadzorni inženjer ili statičar treba pregledati montiranu armaturu i upisom u građevinski dnevnik odobriti betoniranje.</t>
  </si>
  <si>
    <t>kg</t>
  </si>
  <si>
    <t>Beton klase C 25/30.</t>
  </si>
  <si>
    <t>Armirati  prema statičkom proračunu (obračunato u armiračkim radovima).</t>
  </si>
  <si>
    <t>U cijenu uključeno spravljanje, doprema i ugradnja, te zaštita betona, izrada, montaža i demontaža glatke oplate.</t>
  </si>
  <si>
    <t xml:space="preserve"> - beton</t>
  </si>
  <si>
    <t xml:space="preserve"> - oplata</t>
  </si>
  <si>
    <t>Čišćenje objekta obuhvaćeno u 5 faza:</t>
  </si>
  <si>
    <t>2) čišćenje prije žbukanja i ugradbe elemenata stolarije i bravarije.</t>
  </si>
  <si>
    <t>3) čišćenje poslije izvedbe instalacija.</t>
  </si>
  <si>
    <t>4) čišćenje prije polaganja podova.</t>
  </si>
  <si>
    <t>5) definitivno čišćenje prije tehničkog prijema koje mora biti i najkvalitetnije u zadnjoj fazi (5) obuhvatiti pranje i čišćenje, stakla iznutra i izvana, vratiju, podova i opločenja, kompletno sa odvozom otpadnog materijala.</t>
  </si>
  <si>
    <t>Obračun po m2 podnih površina.</t>
  </si>
  <si>
    <t>Razna zidarska pripomoć i poslovi koji se ne mogu normirati.</t>
  </si>
  <si>
    <t>PKV</t>
  </si>
  <si>
    <t>Kompletan rad i materijal u cijeni.</t>
  </si>
  <si>
    <t>Strojno pranje zidova pročelja nakon otucanja žbuke vodom pod pritiskom /do 200Ba/.</t>
  </si>
  <si>
    <t>Dijelove pročelja gdje je žbuka deblja treba rabicirati, a žbuku nanositi u više slojeva. Na mjestima gdje treba izvesti još i nadžbukavanje istaka u žbuci ili izvlačiti vijence i sl. Podložnu žbuku završno izbrazdati.</t>
  </si>
  <si>
    <t xml:space="preserve"> - prvi premaz: izravnavanje eventualnih neravnina pomoću hidrofobnog oplemenjenog kita s cementnim vezivom.</t>
  </si>
  <si>
    <t xml:space="preserve"> - drugi premaz: silikatna impregnacija 1x. </t>
  </si>
  <si>
    <t>KROV</t>
  </si>
  <si>
    <t>U cijeni pojedine stavke treba obuhvatiti i:</t>
  </si>
  <si>
    <t>sve pripremne i međufaze rada potrebne za korektno dovršenje stavke prema pravilima struke i važećim propisima, sva preklapanja, brtvljenja i kitanja bez obzira da li je sve to napomenuto u pojedinoj stavci, razradu detalja u fazi izvođenja, uredno izvedene međusobne spojeve pojedinih stavaka unutar ove grupe radova i sa okolnim konstrukcijama te izvedbu u skladu s preporukama proizvođača odabranog materijala.</t>
  </si>
  <si>
    <t>NAPOMENA:</t>
  </si>
  <si>
    <t>* Izvedba hidroizolacije oko prodora instalacija izvodi se hidroizolacionim materijalima adekvatnim osnovnoj izolaciji sve prema preporuci proizvođača materijala do potpune vodonepropusnosti i uključena je u jediničnu cijenu stavaka tj. ne naplaćuje se posebno.</t>
  </si>
  <si>
    <t>* Prijelaze horizontalne u vert. hidroizolaciju, kao i lomove izolacije izvesti vodonepropusno upotrebom holkera ili veznih fazonskih elemenata, sve prema uputstvima proizvođača izolacijskih materijala, a što je uključeno u jediničnu cijenu stavaka tj. ne naplaćuje se posebno.</t>
  </si>
  <si>
    <t>Obračun se vrši po m2 izoliranih površina.</t>
  </si>
  <si>
    <t>Hidroizolacijska traka potpuno zavarena na uzdužnim i poprečnim preklopima, te za prethodni sloj, kompatibilna sa krovnom izolacijom i da kemijski ne reagira u dodiru sa cinkotit limom.</t>
  </si>
  <si>
    <t xml:space="preserve">       </t>
  </si>
  <si>
    <t>Skela se izvodi prema postojećim propisima HTZ i zaštite na radu.</t>
  </si>
  <si>
    <t>U stavci uključen kompletan pokrov, kao i pripadajući opšavi.</t>
  </si>
  <si>
    <t>Snimanje izvornih detalja na postojećoj limariji uključeno je u cijenu stavke.</t>
  </si>
  <si>
    <t xml:space="preserve">U jediničnu cijenu uračunati sve potrebne fazonske komade, držače i materijal za učvršćenje te postavljanje neposutog impregniranog krovnog kartona ispod svih limenih opšava (odnosno HI ispod lima koja neće kemijski reagirati u dodiru sa limom i štetiti mu - prema uputi proizvođača)  kao i izvedba reške na zidu na spoju zida i lima. </t>
  </si>
  <si>
    <t xml:space="preserve">Sve mjere kontrolirati na gradilištu. </t>
  </si>
  <si>
    <t>Otpadni materijal odvesti na gradsku deponiju.</t>
  </si>
  <si>
    <r>
      <t>Napomena:</t>
    </r>
    <r>
      <rPr>
        <sz val="10"/>
        <color indexed="8"/>
        <rFont val="Arial"/>
        <family val="2"/>
        <charset val="238"/>
      </rPr>
      <t xml:space="preserve"> </t>
    </r>
  </si>
  <si>
    <t>Opšavi se postavljaju vanjskim rubom prepuštenim 3 cm od obrađenog pročelja sa okapom od 3 cm. Na unutarnjem rubu opšav je podignut uz pročelje 5 cm i podvučen pod žbuku 3 cm, a na mjestima gdje se ne može podvuči pod žbuku se podigne 3-5cm i kita trajnoelastičnim akrilnim kitom. Boju odrediti u dogovoru s nadležnim Konzervatorskim uredom.</t>
  </si>
  <si>
    <t>Dobava materijala, izrada i montaža limenih opšava.
Izvesti cinkotit limom debljine 0.75 mm.</t>
  </si>
  <si>
    <t>Obračun po m2 kose površine krova i m1 linijskih elemenata.</t>
  </si>
  <si>
    <t xml:space="preserve"> - pokrov cinkotit lim</t>
  </si>
  <si>
    <t>Dobava materijala, izrada i montaža polukružnog, visećeg žlijeba radijusa 20 cm, razvijene širine do 55 cm. Izvesti od cinkotit lima debljine 0,60 mm. Žlijeb objesiti na kuke za pad izradjene također iz cinkotit lima  35 x 3 mm, učvršćene kao i postojeće.</t>
  </si>
  <si>
    <t>Obračun po m1 kompletno izvedenog žlijeba.</t>
  </si>
  <si>
    <t>Dobava materijala, izrada i montaža limenog opšava streha ispod  žlijeba.</t>
  </si>
  <si>
    <t>Cijenom je obuhvaćen kompletan rad, materijal zajedno sa svim fazonskim komadima za priključak na vertikalnu odvodnu cijev. Izvesti prema projektu i u dogovoru s projektantom i nadležnim Konzervatorskim uredom.</t>
  </si>
  <si>
    <t>Različiti popravci soboslikarskih radova koji nisu obuhvaćeni troškovnikom, a mogu se pojaviti na objektu, iskazuju se kao režijski sati.</t>
  </si>
  <si>
    <t>KV radnik</t>
  </si>
  <si>
    <t>NAPOMENA: Sve mjere kontrolirati u naravi.</t>
  </si>
  <si>
    <t>Sve radove izvesi u suradnji sa projektantom odnosno predstavnikom nadležnog Konzervatorskog odjela.</t>
  </si>
  <si>
    <t>U stavku uključena potrebna kitanja i brušenja, skela  i zaštita površina prilikom izvođenja radova.</t>
  </si>
  <si>
    <t xml:space="preserve">Ličenje u tri sloja, temeljna boja plus dva sloja završne boje. </t>
  </si>
  <si>
    <t>Radove izvesti poliuretanskom bojom.</t>
  </si>
  <si>
    <t>Nabava, dobava svog potrebnog materijala i izrada unutarnjih drvenih klupčica</t>
  </si>
  <si>
    <t xml:space="preserve">UNUTARNJE drvene klupčice </t>
  </si>
  <si>
    <t xml:space="preserve">Izrađene od tvrdog drveta zaštićenog akrilnom zaštitom. Klupčice širine 30 cm, debljine 3 cm. U cijenu uključen sav materijal, rad, zaštita te čišćenje. Obračun po m1 ugrađene klupčice.  </t>
  </si>
  <si>
    <t>U vremenu dok su oluci skinuti treba riješiti privremenu odvodnju oborinskih voda što je uračunato u cijenu.</t>
  </si>
  <si>
    <t xml:space="preserve">U jediničnu cijenu uračunati sve potrebne fazonske komade, držače i materijal za učvršćenje te postavljanje neposutog impregniranog krovnog kartona (odnosno ljepenka ispod lima koja neće kemijski reagirati u dodiru sa limom i štetiti mu - prema uputi proizvođača) na žbukane vijence ispod lima kao i izvedba reške na zidu na spoju zida i lima. </t>
  </si>
  <si>
    <t>Opšavi se postavljaju vanjskim rubom prepuštenim 3 cm od obrađenog pročelja sa okapom od 3 cm. Na unutarnjem rubu opšav je podignut uz pročelje 5 cm i podvučen pod žbuku 3 cm, a na prozoru se podigne na doprozornik i kita trajnoelastičnim akrilnim kitom.</t>
  </si>
  <si>
    <t>Sve se izvodi u suradnji i odobrenje predstavnika nadležnog Konzervatorskog odjela, koji određuju i boju limarije.</t>
  </si>
  <si>
    <t>Dovratnik i krila završno obrađeni ličenjem u boji kao postojeća.</t>
  </si>
  <si>
    <t xml:space="preserve">Uključeno odstranjivanje stare boje i hrđe sa svih postojećih bravarskih elemenata, sa ili bez demontaže. </t>
  </si>
  <si>
    <t xml:space="preserve">Popravak postojećeg autentičnog okova, odstranjivanje hrđe, naslaga stare boje te ponovno ličenje u dva sloja + temeljni sloj i / ili zamjena po potrebi po uzorku postojećih. </t>
  </si>
  <si>
    <t>b1/ izrada kalupa za novi element</t>
  </si>
  <si>
    <t xml:space="preserve">a/ obnova </t>
  </si>
  <si>
    <t>SNIMANJE PROFILACIJA I IZRADA LIMENIH ŠABLONA</t>
  </si>
  <si>
    <t xml:space="preserve">Nakon podizanja skele, žbuku na pročelju treba detaljno pregledati u suradnji sa nadzornim inženjerom i predstavnikom Konzervatoskog odjela i upisati u građevinski dnevnik. Potrebno je izvršiti ispitivanja struktura na pročelju unutarnjem i vanjskom sondama i naručiti izradu izvještaja u sklopu konzervatorskih radova .  </t>
  </si>
  <si>
    <t>Svi elementi profilacija (vijenci, profilacije oko prozora) na pročelju izrađeni su od kamena ili žbuke. Snimanje profilacije uključuje uzimanje točnih dimenzija i rasporeda kamena unutar pojedinog vijenca ili okvira oko prozora te način spajanja reški. Obračun po kompletu.</t>
  </si>
  <si>
    <t>Jedinična cijena uljučuje komplet šablona za grubu i finu žbuku. Obračun po kompletu.</t>
  </si>
  <si>
    <t>Količine dobivene proučavanjem i prebrojavanjem izgleda profilacija.
Stavka se odosi i na kameno (betonsko?) podnožje koje također treba obraditi i u dogovoru s Konzervatorskim odjelom odrediti daljnje postupanje.</t>
  </si>
  <si>
    <t xml:space="preserve">Pročeljna plastika i kameni portali se ne demontiraju već se obrađuju u sklopu restauratorskih radova. </t>
  </si>
  <si>
    <t>Završnu žbuku zagladiti i pripremiti za bojanje. Snimanje i izrada limenih šablona je obračunata u prijašnjim radovima.</t>
  </si>
  <si>
    <t>a/ obnova 30%</t>
  </si>
  <si>
    <t>b/ izrada novog elementa 70%</t>
  </si>
  <si>
    <t>U cijenu uključen kompletan rad, materijal i pribor, te sav potreban okov.</t>
  </si>
  <si>
    <t>Stavka uključuje sve dijelove vrata, krila i dovratnike. Dovratnici se uređuju na licu mjesta, bez demontaže.</t>
  </si>
  <si>
    <t>Svako krilo ima jednake uklade, osno simetrične - prema shemi.</t>
  </si>
  <si>
    <t>Shema vanjske stolarije oznake 2</t>
  </si>
  <si>
    <t>Stavka uključuje sve potrebne radnje, uključivo prijevoz i ponovnu montažu nakon obnove.</t>
  </si>
  <si>
    <t>Stavka uključuje odvoz na mjesto koje odredi investitor i skladištenje te sve potrebne radnje, uključivo prijevoz.</t>
  </si>
  <si>
    <t xml:space="preserve">Izrada i dostava kompletne projektne dokumentacije projekta izvedenog stanja uključivo sa svim detaljima. Dokumentacija se predaje u 3 printana primjerka i na CD-u. </t>
  </si>
  <si>
    <r>
      <t xml:space="preserve">SUVLASNICI STAMBENE ZGRADE ILICA 103 
I PREDSTAVNICA SUVLASNIKA
</t>
    </r>
    <r>
      <rPr>
        <b/>
        <sz val="10"/>
        <rFont val="Arial"/>
        <family val="2"/>
        <charset val="238"/>
      </rPr>
      <t>LUCA PRIMORAC</t>
    </r>
    <r>
      <rPr>
        <sz val="10"/>
        <rFont val="Arial"/>
        <family val="2"/>
        <charset val="238"/>
      </rPr>
      <t>, Ilica 103, 10 000 Zagreb
OIB: 41500968355</t>
    </r>
  </si>
  <si>
    <t>Ilica 103, 10 000 Zagreb</t>
  </si>
  <si>
    <t>k.č. 3730, k.o. Črnomerec</t>
  </si>
  <si>
    <t>STAMBENO POSLOVNA ZGRADA</t>
  </si>
  <si>
    <t>ZOP: 1258/25</t>
  </si>
  <si>
    <t>ZAGREB, srpanj 2025.</t>
  </si>
  <si>
    <r>
      <t xml:space="preserve">TROŠKOVNIK GRAĐEVINSKO OBRTNIČKIH RADOVA 
</t>
    </r>
    <r>
      <rPr>
        <sz val="14"/>
        <rFont val="Arial"/>
        <family val="2"/>
        <charset val="238"/>
      </rPr>
      <t>- projekt obnove pročelja stambeno poslovne zgrade Ilica 103</t>
    </r>
    <r>
      <rPr>
        <b/>
        <sz val="14"/>
        <rFont val="Arial"/>
        <family val="2"/>
        <charset val="238"/>
      </rPr>
      <t xml:space="preserve">
 </t>
    </r>
  </si>
  <si>
    <t>OBNOVA ULIČNOG I ZAPADNOG BOČNOG PROČELJA, ZAMJENA VANJSKE STOLARIJE I BRAVARIJE, IZOLACIJA I ZAMJENA SLOJEVA RAVNOG KROVA</t>
  </si>
  <si>
    <t>Izrada i postava ploče gradilišta prema PRAVILNIKU 
O SADRŽAJU I IZGLEDU PLOČE KOJOM SE OZNAČAVA GRADILIŠTE (NN 42/2014)</t>
  </si>
  <si>
    <t>SKELA I PRIPREMNI RADOVI</t>
  </si>
  <si>
    <t>SKELA I PRIPREMNI RADOVI UKUPNO :</t>
  </si>
  <si>
    <t xml:space="preserve">Svakodnevno je potrebno na gradilištu: uklanjanje građevinskih elemenata,  čišćenje, sortiranje, prijenose, prijevoze, deponiranje u prostoru ili izvan pothodnika, skladištenje i transportiranje na mjesto koje odredi nadzorni inženjer investitora. </t>
  </si>
  <si>
    <t>Demontažu izvršiti pažljivo sa minimalnim oštećenjima postojećeih elemenata podhodnika i stepenica.</t>
  </si>
  <si>
    <t>Sav demontirani i porušeni materijal odvesti na  deponij, a troškove obuhvatiti jediničnom cijenom jer se nikakvi troškovi odvoza neće posebno priznavati - utovar, prijevoz, istovar na  deponiji na mjesta predviđena za iste, uključujući sve takse i troškove, kao i zbrinjavanje otpada.</t>
  </si>
  <si>
    <t xml:space="preserve">Obveza Izvođača je izrada Projekta organizacije gradilišta - ograda gradilišta, određivanje prostora za smještaj i okretanje građevinskih vozila, prostor za skladištenje tvari štetnih za okoliš (pogonska goriva, PVC materijale, materijale podložne koroziji itd.), odrediti privremena odlagališta materijala i otpada na prostoru gdje ne postoji rizik od onečišćenja podzemnih i površinskih voda; organizirati sanitarni čvor (kemijski wc) za radnike te njihov sadržaj prazniti i zbrinjavati putem ovlaštenog trgovačkog društva. </t>
  </si>
  <si>
    <t xml:space="preserve">Izvođač snosi troškove organizacije gradilišta, svih potrebnih radnji za provođenje istog, ishođenje rješenja i sve troškove za zauzeće javne površine zbog organizacije gradilišta, sve potrebne privremene priključke komunalnih instalacija za potrebe gradilišta, dobavu potrebne opreme i privremenih objekata na gradilištu,  kao i odvoz istog po završetku. </t>
  </si>
  <si>
    <t>Pod - radni hodnik skele izvesti će se od mosnica debljine 4.8 cm i širine 25 cm. Neposredno iznad poda treba izvesti punu daščanu ogradu visine 20 cm u svrhu zaštite od padanja materijala na prolaznike. Visina ograde sa vanjske strane skele iznosi 120 cm.</t>
  </si>
  <si>
    <t>Sidrenjem u objekt skela se mora osigurati od prevrtanja. Skela se oslanja i učvršćuje vijcima M12 preko metalnih podložnih papuča i fosni u čvrstu i stabilnu podlogu.</t>
  </si>
  <si>
    <t>Skelu je potrebno uzemljiti i osigurati od udara groma.</t>
  </si>
  <si>
    <t>Skelu treba izvesti sa svim potrebnim ukrućenjima uz propisnu signalizaciju obavještajnim pločama sa svjetiljkama narančaste boje od sumraka do svanuća, a prema odobrenju nadležnih organa i nadzornog inženjera.</t>
  </si>
  <si>
    <t>Prije izvedbe skele izvođač je dužan izraditi projekt skele što je u cijeni stavke.</t>
  </si>
  <si>
    <t>Obračun se vrši po m2 vertikalne projekcije:</t>
  </si>
  <si>
    <t>Doprema, montaža, demontaža i otprema  tunelske skele za prolaz pješaka.</t>
  </si>
  <si>
    <t>Skela izrađena od bešavnih cijevi i potrebnih spojnih elemenata, sa svim potrebnim ukrućenjima i sidrenjima.</t>
  </si>
  <si>
    <t>Pokrov tunela izraditi od mosnica položenih jedna do druge, a preko njih postavljena ljepenka s preklopima min. 10 cm ili PVC foliju.</t>
  </si>
  <si>
    <t>U jediničnu cijenu uračunata je:</t>
  </si>
  <si>
    <t>Izrada kose zaštite od dasaka na sudar na vanjskoj strani krova pješačkog prolaza pod kutem od 60 stupnjeva i minimalne visine 60 cm, potrebna ograda kao i nova dobava i postava jednog sloja PVC folije debljine 0,20 mm, koja se polaže preko mosnica u svrhu zaštite prolaznika od propadanja materijala.</t>
  </si>
  <si>
    <t>Obračun se vrši po m2 horizontalne projekcije platforme iznad pješačkog prolaza.</t>
  </si>
  <si>
    <t>U jediničnu cijenu uključen je i zaštitni juteni ili plastični zastor kojim se mora obuhvatiti u cijelosti širina i visina radova na pročelju kako bi se spriječilo padanje žbuke i materijala na javnu prometnu površinu i kako bi se radovi na uređenju zaštitili od izravnih utjecaja sunčevih zraka.</t>
  </si>
  <si>
    <t>Čišćenje terena oko objekta nakon završetka svih radova na objektu, kao i poslije svake faze rada na objektu. Stavka obuhvaća utovar otpadnog materijala u prijevozno sredstvo i odvoz na deponij koji odredi investitor (do 20 km).</t>
  </si>
  <si>
    <t>Obračun po m2 očišćene površine oko objekta.</t>
  </si>
  <si>
    <t xml:space="preserve">   </t>
  </si>
  <si>
    <t>Obračun po m1 uklonjenih elemenata.</t>
  </si>
  <si>
    <t>Izvedba pripremnih radova prije rušenja i sanacije (plan rušenja, kontrola i određivanje točnih geodetskih visina, kontrola vertikalnosti pročelja, provjera mjera i veličina postojeće konstrukcije),  potrebni zahvati na krovištu, izraditi plan aktivnosti, te osigurati sve uvjete za siguran rad.</t>
  </si>
  <si>
    <t>Zaštita otvora prozora na pročelju objekta pri izvođenju fasaderskih radova PVC folijom debljine 0,20 mm pričvršćena okvirima od letvica na okvire prozora.</t>
  </si>
  <si>
    <t>Obračun po m1 razvijene širine.</t>
  </si>
  <si>
    <t>U jediničnu cijenu uključen odvoz na gradski deponij.</t>
  </si>
  <si>
    <t>Demontaža krovnih vertikala od pocinčanog lima sa obujmicama i plastičnih odvodnih cijevi. Demontaža uključuje sve spojne elemente sa žlijebovima.</t>
  </si>
  <si>
    <t xml:space="preserve"> - oluk</t>
  </si>
  <si>
    <t>Demontaža postojećih limenih opšava zgrade na ravnom krovu, uličnom i bočnom pročelju zgrade, opšava ventilacija i sudara sa ravnim krovom, opšava dilatacije i sl.. Opšav iz pocinčanog lima, razvijene širine cca 20-120 cm</t>
  </si>
  <si>
    <t>Demontaža postojećih opšava različitih širina:</t>
  </si>
  <si>
    <t xml:space="preserve"> - opšav vijenca prizemlja - klupčice prozora erkera , r.š. 30 cm</t>
  </si>
  <si>
    <t>Demontaža opšava ruba krova iznad žlijeba, razvijene širine 50 cm. Opšav iz pocinčanog lima.</t>
  </si>
  <si>
    <t xml:space="preserve"> - opšav krovne strehe s ulične strane (gornji rub krova)  r.š. cca 80 cm</t>
  </si>
  <si>
    <t>Demontaža opšava sa okapom ruba strehe krova, razvijene širine cca 40 cm. Opšav iz pocinčanog lima (demontaža dekorativnih elemenata obračunata je posebno u restauratorskim radovima).</t>
  </si>
  <si>
    <t xml:space="preserve"> - opšav vijenca drugog kata - baza balkona, r.š. 25-55 cm</t>
  </si>
  <si>
    <t>Obračun po kom.</t>
  </si>
  <si>
    <t>Demontaža opšava ruba krova sa bočne strane (i spoj krova susjedne zgrade na zapadnom pročelju)  razvijene širine cca 30 cm. Opšav iz pocinčanog lima.</t>
  </si>
  <si>
    <t>Demontaža okapa balkona 2. kata (iznad dva erkera na uličnom pročelju), razvijene širine cca 15 cm. Okapi iz pocinčanog lima.</t>
  </si>
  <si>
    <t>Demontaža svih slojeva ravnoga krova do nosive konstrukcije,  završna obloga krova od valjanog šljunka.</t>
  </si>
  <si>
    <t xml:space="preserve">Demontaža i iznošenje svih nenosivih elemenata krovišta (čišćenje vegetacije, otpale žbuke, opeke, oštećeni nenosivi elementi poput dasaka, šute, i svih drugih elemenata na površini). </t>
  </si>
  <si>
    <t xml:space="preserve"> - izolacija</t>
  </si>
  <si>
    <t xml:space="preserve"> - limene trake r.š. cca 15 cm</t>
  </si>
  <si>
    <t>Demontaža postojećih vanjskih limenih klupčica sa svih prozora uličnog pročelja, razvijene širine max 35 cm. Klupčice iz pocinčanog lima.</t>
  </si>
  <si>
    <t>Skela uračunata u cijenu, kompletan rad i materijal do potpune gotovosti - ponovno puštanje u pogon sa kontrolom ispravnosti rada, odnosno utovar i odvoz otpadnog materijala na deponiju, razvrstavanje i odlaganje, uključujući sve takse i troškove zbrinjavanja otpada - u dogovoru sa korisnikom.</t>
  </si>
  <si>
    <t>Demontaža nosača s antenama na ravnom krovu. Pojedini nosač sa većim brojem antena. Skladištenje  na mjesto koje odredi investitor odnosno nadzor, te ponovna montaža  nakon završetka radova.</t>
  </si>
  <si>
    <t xml:space="preserve">Demontaža i privremeno deponiranje pločica sa kućnim brojem, nosača za zastave, natpisa ili reklama. Sve navedeno pohraniti na gradilištu ili kod vlasnika-zakupca, te ponovno montirati nakon završetka radova. Po potrebi zamjena dotrajalih dijelova.
</t>
  </si>
  <si>
    <t>Demontaža postojećeg visećeg žlijeba iz pocinčanog lima uključivo i kuke. Žlijeb razvijene širine cca 60 cm.</t>
  </si>
  <si>
    <t>MOGUĆI RAD</t>
  </si>
  <si>
    <t>Sve radove izvesti u suradnji sa projektantom, odnosno predstavnikom nadležnog Konzervatorskog odjela.</t>
  </si>
  <si>
    <t>Prozori drveni ili PVC, a što je uračunato u cijenu.</t>
  </si>
  <si>
    <t xml:space="preserve">Demontaža i skidanje vanjskih višedijelnih drvenih ili metalnih, jednostrukih ili dvostrukih ostakljenih stijena koje se sastoje od više prozora, vrata i/ili fiksno ostakljenih polja iz zida uključivo i pripadajuće dovratnike/okvire, kao i zaštitne rešetke. </t>
  </si>
  <si>
    <t>Shema vanjske stolarije oznake 1</t>
  </si>
  <si>
    <t xml:space="preserve">Demontaža masivnih drvenih ulaznih vrata u vežu (ulično pročelje). Vrata su drvena, trokrilna; imaju fiksno trodijelno nadsvjetlo, cca dim. 260x400 cm, u nosivom zidu od opeke i betona. Sastoje se od tri zaokretna krila, srednje krilo vezano je za susjedno bočno krilo i otvara se zajedno s njim (zaokretno prema unutra). Vratna krila masivna drvena s ukladama, srednje krilo dijelom ostakljeno Nadsvjetlo ima tri fiksno ostakljena polja s ukladama. </t>
  </si>
  <si>
    <t>Višedijelna stijena maksimalne dimenzije  5 -10 m2:</t>
  </si>
  <si>
    <t>Prozor maksimalne dimenzije   0 - 2 m2:</t>
  </si>
  <si>
    <t>Prozor maksimalne dimenzije   2 - 5 m2:</t>
  </si>
  <si>
    <t>Višedijelna stijena maksimalne dimenzije  0 - 5 m2:</t>
  </si>
  <si>
    <t>Stijene drvene, metalne ili PVC, a što je uračunato u cijenu.</t>
  </si>
  <si>
    <t xml:space="preserve">Demontaža i vađenje prozora, dvostrukih ili jednostrukih, fiksnih ili sa mogućnosti otvaranja iz zida uključivo i pripadajući doprozornik, unutarnja i vanjska klupčica (drvena, kamena ili limena) te metalna rešetka na prozoru ako postoji. </t>
  </si>
  <si>
    <t xml:space="preserve">Pažljiva demontaža i vađenje balkonskih ograda i klupčica za cvijeće od kovanog željeza. </t>
  </si>
  <si>
    <t>Stavka uključuje odvoz na mjesto koje odredi investitor i skladištenje do mogućeg vraćanja na istu poziciju nakon uređenja odnosno odvoz otpadnog materijala ako se prostupi izvedbi novog elementa (replike).</t>
  </si>
  <si>
    <t>Balkonska ograda max. razvijene duljine 4,50m :</t>
  </si>
  <si>
    <t>Klupčica za cvijeće max. duljine 2,50m :</t>
  </si>
  <si>
    <t>dekorativni elementi (cvijet) :</t>
  </si>
  <si>
    <t>dekorativni elementi (lavlje glave) :</t>
  </si>
  <si>
    <t xml:space="preserve">opšav čela strehe razvijene širine cca 80 cm: </t>
  </si>
  <si>
    <t xml:space="preserve"> podgled strehe širine cca 50 cm: </t>
  </si>
  <si>
    <t>Stavka uključuje odvoz na mjesto koje odredi investitor i skladištenje do mogućeg vraćanja na istu poziciju nakon uređenja odnosno odvoz otpadnog materijala ako je potrebna izvedba novog elementa (replike).</t>
  </si>
  <si>
    <t>Obijanje postojeće žbuke sa uličnog pročelja.</t>
  </si>
  <si>
    <t>Obračun ortogonalne projekcije sa odbitkom otvora plohe, profilacije bez ikakvih dodataka.</t>
  </si>
  <si>
    <t>Odvoz otpadnog materijala na gradski deponij nakon skidanja žbuke.</t>
  </si>
  <si>
    <t xml:space="preserve">Pažljivo ručno obijanje /naročito oko profilacija i dekoracija/ cjelokupne produžne žbuke debljine 3-6 cm sa zidanih zidova pročelja nakon konzervatorskih istraživanja do zdravih dijelova, fino mehaničko čišćenje zida od ostatka morta i čišćenje spojnica opeke do dubine 1-2cm, uključivo otprašivanje, oštrom četkom uz močenje vodom. Na određenim mjestima ostaviti repere. </t>
  </si>
  <si>
    <t xml:space="preserve"> - svi tipovi vijenaca</t>
  </si>
  <si>
    <t xml:space="preserve">Razni radovi pripomoći  kod rušenja i pripreme građenja. Radovi se evidentiraju u građevinskom dnevniku uz odobrenje nadzornog inžinjera. </t>
  </si>
  <si>
    <t>Kompletna žbuka uličnog pročelja, uključivo i  žbuka erkera, krovnog vijenca, podgleda i rubova balkona.</t>
  </si>
  <si>
    <t xml:space="preserve"> - žbuka I. kata sa dubljim vučenim profilacijama, uključivo profilacije oko prozora </t>
  </si>
  <si>
    <t xml:space="preserve"> - žbuka podgleda balkona, niša i špaleta otvora (do 20 cm)</t>
  </si>
  <si>
    <t xml:space="preserve"> - žbuka prizemlja  uključivo i sokl - glatko pročelje</t>
  </si>
  <si>
    <t>Skidanje postojeće oštećene glazure balkona. Pretpostavljena debljina glazure 5 cm.</t>
  </si>
  <si>
    <t xml:space="preserve">Demontaža kompletne gromobranske instalacije. Pažljivo uklanjanje gromobranskih traka s fasade i krova. </t>
  </si>
  <si>
    <t xml:space="preserve"> - žbuka katova - II. - IV. kata - sa plitkim vučenim profilacijama, uključivo profilacije oko prozora i plitkih niša II. I III. kata</t>
  </si>
  <si>
    <t>Obračun po m2 površine krova.</t>
  </si>
  <si>
    <t xml:space="preserve">KONZERVATORSKA ISTRAŽIVANJA </t>
  </si>
  <si>
    <t>STOLARIJA I BRAVARIJA - ULIČNO PROČELJE</t>
  </si>
  <si>
    <t xml:space="preserve">Prije otucanja trošne žbuke treba detaljno snimiti profilacije na građevini, korigirati profilacije i izraditi limene šablone. Šablone treba dati na uvid i odobrenje predsavniku Zavoda za zaštitu spomenika kulture i prirode koji potvrđuje njihovu ispravnost upisom u građevinski dnevnik. Šablone upotrebljavati uz obaveznu postavu vodilice /jedna šablona za jednu profilaciju bez obzira na broj pomoćnih šablona/. </t>
  </si>
  <si>
    <t>Količine dobivene proučavanjem i prebrojavanjem izgleda profilacija.</t>
  </si>
  <si>
    <t>Zidarska ugradnja raznih instalacionih ormarića u zidu iz opeke i/ili betona, bez obzira na veličinu. Ugraditi građevinskim ljepilom  i sidrima učvršćenim na ormariće. Kompletan rad  i materijal. Obračun po komadu.</t>
  </si>
  <si>
    <t>A.1</t>
  </si>
  <si>
    <t>A.2</t>
  </si>
  <si>
    <t>A.4</t>
  </si>
  <si>
    <t>A.4a</t>
  </si>
  <si>
    <t>A.5</t>
  </si>
  <si>
    <t>A.6</t>
  </si>
  <si>
    <t>A.7</t>
  </si>
  <si>
    <t>A.8</t>
  </si>
  <si>
    <t>A.9</t>
  </si>
  <si>
    <t>A.10</t>
  </si>
  <si>
    <t>A.11</t>
  </si>
  <si>
    <t>A.12</t>
  </si>
  <si>
    <t>A.13</t>
  </si>
  <si>
    <t>A.14</t>
  </si>
  <si>
    <t>A.15</t>
  </si>
  <si>
    <t>A.16</t>
  </si>
  <si>
    <r>
      <t xml:space="preserve">Usijecanje usijeka 3/3cm u zidanom zidu. Nabava, dobava i postava zaštitnih fleksibilnih plastičnih cijevi </t>
    </r>
    <r>
      <rPr>
        <sz val="10"/>
        <rFont val="Arial"/>
        <family val="2"/>
        <charset val="238"/>
      </rPr>
      <t>Ø</t>
    </r>
    <r>
      <rPr>
        <sz val="10"/>
        <rFont val="Arial"/>
        <family val="2"/>
        <charset val="238"/>
      </rPr>
      <t>20 mm za provlačenje kabela za antene. Dobava i uvlačenje kabela.Izrada proboja kroz zidani zid d=60 cm.</t>
    </r>
  </si>
  <si>
    <t xml:space="preserve"> - šlicevi</t>
  </si>
  <si>
    <t>Prskanje dijelova uličnog pročelja sa kojeg je skinuta žbuka produžnim mortom uz prethodno navlaživanje vodom. Napomena: u cijenu uključiti nabacivanje većim uleknućima kako bi se zidovi doveli u okomitost.Veća uleknuća-do 5 cm-izvesti uz prethodni upis nadzornog inžinjera u građevinski dnevnik.</t>
  </si>
  <si>
    <t>Dijelove pročelja gdje je žbuka deblja treba rabicirati ,a žbuku nanositi u više slojeva. Na mjestima gdje treba izvesti još i nadžbukavanje istaka u žbuci ili izvlačiti vijence i sl. Podložnu žbuku završno izbrazdati.</t>
  </si>
  <si>
    <t xml:space="preserve">Koristiti potrebnu oplatu i letvice kod žbukanja plitkih užljebina i istaka. Obračun po m2 vertikalne projekcije pročelja / prozori nisu odbijani/. </t>
  </si>
  <si>
    <t>Za kvalitetu žbuke izvoditelj je dužan pribaviti stručni nalaz i mišljenje ovlaštene ustanove za ispitivanje kvalitete žbuke što je obuhvaćeno u jediničnu cijenu ove stavke. Strukturu i završnu obradu žbuke odrediti će predstavnik GZZSKP.</t>
  </si>
  <si>
    <t>Na očišćenu, isprašenu i opranu površinu zida od opeke izvodi se nanos rijetkog cementnog morta 1:2.  U cijenu uključiti nabacivanje većim uleknućima kako bi se zidovi doveli u okomitost. Veća uleknuća-do 5 cm-izvesti uz prethodni upis nadzornog inžinjera u građevinski dnevnik. Na tako pripremljenu podlogu nanosi se osnovni sloj žbuke debljine 30-60 mm sa izradom potrebnih profilacija, sve reške fino obrađene. Veličina agregata do 2 mm.</t>
  </si>
  <si>
    <t xml:space="preserve">Debljina žbuke prema ostavljenim reperima. Žbuku nanositi u dva sloja. U drugom sloju izvesti horizontalne užljebine dubine 5 cm. Koristiti  šablonu, sve prema naputku GZZSKP i izvješću konzervatorskih radova. </t>
  </si>
  <si>
    <t>Obračun po m2 vertikalne projekcije pročelja /prozori nisu odbijani-površina do 3m2/.</t>
  </si>
  <si>
    <t>Izrada grube i fine žbuke na složenim profilacijama na podložnoj žbuci - grubom i finom produžnom cementnom žbukom  /omjera 1:2:6/  prema ostavljenim reperima.</t>
  </si>
  <si>
    <t>Obračun po m1 razvijene širine bez ikakvih drugih dodataka. Jedinična cijena uključuje komplet šablona za grubu i finu žbuku tj. KPL 1</t>
  </si>
  <si>
    <t>Izvedba cementne glazure u nagibu sa gornje strane profilacija u žbuci a prije montaže limenih opšava istaka ispod klupčica, vijenaca i profilacija na pročelju.</t>
  </si>
  <si>
    <t>Ovi radovi uključuju demontažu, odvoz u atelje, izradu replike pojedinih elemenata obložnog kamena, doprema obnovljene plastike na gradilište, vješanje i sidrenje nehrđajućim materijalom.</t>
  </si>
  <si>
    <t>Dobava i izvedba hidroizolacije na kritičnim mjestima spojeva različitih obloga i sudarima ploha na krovu, visokofleksibilnim hidoizolacijskim slojem (hidroizolacijska traka s uloškom od staklene tkanine).</t>
  </si>
  <si>
    <t xml:space="preserve">profilacija polusfere - bočnih ukrasa na ulazu r.š.  110 cm /5 ivica/ </t>
  </si>
  <si>
    <t>A.3</t>
  </si>
  <si>
    <t xml:space="preserve">profilacija iznad sokla prizemlja  r.š. 10 cm /4 ivice/ </t>
  </si>
  <si>
    <t>profilacija prizemlja u visini glavnog ulaza u vežu r.š. 5 cm /3 ivice/</t>
  </si>
  <si>
    <t>vijenac - klupčica ispod  prozora 1. kata - uključivo i profilacije podgleda r.š. 50 - 65 cm /11 ivica/</t>
  </si>
  <si>
    <t>vijenac - klupčica ispod prozora erkera 1. kata - uključivo i profilacije podgleda r.š. 50 - 65 cm /13 ivica/</t>
  </si>
  <si>
    <t>A.3a</t>
  </si>
  <si>
    <t>profilacija spoja erkera  sa pročeljem prizemlja - uključivo i profilacije podgleda r.š. 20 cm / 6 ivica/</t>
  </si>
  <si>
    <t>profilacija spoja erkera  sa pročeljem prizemlja - uključivo i profilacije podgleda r.š. 20 cm /4 ivice/</t>
  </si>
  <si>
    <t>A.5a</t>
  </si>
  <si>
    <t>A.6a</t>
  </si>
  <si>
    <t>A.7a</t>
  </si>
  <si>
    <t>vijenac - podnožje ograde u visini poda balkona erkera 2. kata - uključivo i profilacije podgleda r.š. cca  60 cm /9 ivica/</t>
  </si>
  <si>
    <t>vijenac - klupčica u visini poda 2. kata - uključivo i profilacije podgleda r.š. 50  cm /7 ivica/</t>
  </si>
  <si>
    <t>vučene profilacije fasade 1. kata r.š. cca 60 cm /5 ivica/</t>
  </si>
  <si>
    <t>vučene profilacije fasade erkera 1. kata r.š. cca 60 cm /5 ivica/</t>
  </si>
  <si>
    <t>plitke vučene profilacije fasade 2. i 3. kata r.š. cca 40 cm /5 ivica/</t>
  </si>
  <si>
    <t>vučene profilacije fasade 1. kata r.š. cca 60 cm /7 ivica/</t>
  </si>
  <si>
    <t>vučene profilacije fasade erkera 1. kata r.š. cca 60 cm /9 ivica/</t>
  </si>
  <si>
    <t>profilacije špalete prozora erkera 1. kata r.š. cca 15 cm /4 ivice/</t>
  </si>
  <si>
    <t>profilacije špalete prozora 1. kata r.š. cca 15 cm /4 ivica/</t>
  </si>
  <si>
    <t>profilacije plitke niše oko prozora 2. i 3. kata r.š. cca 35 cm /3 ivice/</t>
  </si>
  <si>
    <t>profilacije iznad plitke niše /prozora 3. kata/ r.š. cca 35 cm /4 ivice/</t>
  </si>
  <si>
    <t>profilacije plitke niše oko balkonskih vrata 2. kata i prozora 3. kata r.š. cca 70 cm /4 ivice/</t>
  </si>
  <si>
    <t>profilacije šembrane balkonskih vrata 2. kata i prozora 3. kata r.š. cca 65 cm /8 ivica/</t>
  </si>
  <si>
    <t>pravokutna profilacija niše za ornament u parapetu prozora 3. kata r.š. cca 35 cm /5 ivica/</t>
  </si>
  <si>
    <t>vijenac u visini stropne ploče 3. kata  r.š. cca 50 cm /7 ivica/</t>
  </si>
  <si>
    <t>krovni vijenac - donji dio  r.š. cca 55 cm /5 ivica/</t>
  </si>
  <si>
    <t>krovni vijenac - gornji dio s ornamentom r.š. cca 55 cm /8 ivica/</t>
  </si>
  <si>
    <t xml:space="preserve">    </t>
  </si>
  <si>
    <t>Slojevi se sastoje iz: završnog sloja bitumenske ljepenke, posute sa sitnim šljunkom deblljine sloja cca 15 cm, i daščane oplate (daske debljine cca 4-5 cm).</t>
  </si>
  <si>
    <t>Ukupna debljina slojeva 20-30 cm sve do nosive konstrukcije (drvene grede).</t>
  </si>
  <si>
    <t>OSTALI RADOVI</t>
  </si>
  <si>
    <t>27.</t>
  </si>
  <si>
    <t>28.</t>
  </si>
  <si>
    <t xml:space="preserve">Demontaža nosača električnih kablova za tramvaj (čelična sajla je pričvršćena na ulično pročelje u zoni prozora 1. kata) . Pažljivo uklanjanje uz sve potrebne predradnje i izmješanje na drugo prikladno mjesto do završetka radova na obnovi pročelja. </t>
  </si>
  <si>
    <t>Demontaža i razgradnja pojedinih elemenata nosive konstrukcije krovišta (trulih drvenih greda).</t>
  </si>
  <si>
    <t>U cijenu uključiti sve potrebne prethodne radnje, skele i podupiranja do sigurne izvedbe, utovar i odvoz otpadnog materijala na deponiju, razvrstavanje i odlaganje, uključujući sve takse i troškove zbrinjavanja otpada ili odlaganje na mjesto koje odredi investitor.</t>
  </si>
  <si>
    <t>Pažljiva demontaža i iznošenje uz obaveznu prisutnost nadzornog inženjera.</t>
  </si>
  <si>
    <t>OSB ploče debljina: 1.8 cm, širina: 50 cm</t>
  </si>
  <si>
    <t xml:space="preserve">Dobava materijala, te postavljanje drvene rubne grede (za vijenac s dvorišne strane). Grede, četinar I klase, dimenzija 200x120mm. Greda se pričvršćuje na podlogu vijcima kroz prethodno postavljenu mineralnu vunu. Kompletan rad i materijal u cijeni, te zaštita drva od truljenja i crvotočina u dva sloja fungicidnim premazom i vodootporna impregnacija. </t>
  </si>
  <si>
    <t>Doprema i ugradba vodonepropusnih OSB ploča na čelo istaka strehe (vijenac s ulične strane). Ugrađuju se OSB ploče 18 mm, u širini cca 50 cm. Ploče se ugrađuju i vijcima pričvrščuju na drvene grede 220x260 mm.  Kompletan rad i materijal u cijeni. Obračun po m1 ugrađene ploče, u širini 50 cm.</t>
  </si>
  <si>
    <t>Obračun po m1.</t>
  </si>
  <si>
    <t>Obračun po m3 utrošene drvene građe.</t>
  </si>
  <si>
    <t>Zamjena dotrajalih trulih drvenih greda (rogova - nosive konstrukcije krovišta) istim kao što su  postojeće.</t>
  </si>
  <si>
    <t>Dimenzije cca 700x22x26 cm.</t>
  </si>
  <si>
    <t>U cijenu je uključen premaz sve drvene građe zaštitnim fungicidnim premazom, sav potreban okov spojeva i usidrenja, te sav rad na izradi i prijenosima.</t>
  </si>
  <si>
    <t>Dobava betona i betoniranje za razne radove koji se mogu pojaviti uslijed rekonstrukcije.</t>
  </si>
  <si>
    <t>Ručno žbukanje ravnih površina pročelja, od drugog do trećeg kata, sa manjim plitkim utorima (vučenim profilima), grubom i finom produžnom žbukom /1:3:9/ zaglađene završne obrade. Na očišćenu, isprašenu i opranu površinu zida od opeke izvodi se nanos rijetkog cementnog morta 1:2.  U cijenu uključiti nabacivanje većim uleknućima kako bi se zidovi doveli u okomitost. Veća uleknuća-do 5 cm-izvesti uz prethodni upis nadzornog inžinjera u građevinski dnevnik. Na tako pripremljenu podlogu nanosi se osnovni sloj žbuke debljine 30-60 mm sa izradom potrebnih profilacija, sve reške fino obrađene. Veličina agregata do 2 mm.</t>
  </si>
  <si>
    <r>
      <t>Ručno žbukanje ravnih površina pročelja prizemlja uključivo i sokla, podgleda erkera, niša i špaleta otvora (do 20 cm),</t>
    </r>
    <r>
      <rPr>
        <b/>
        <sz val="10"/>
        <rFont val="Arial"/>
        <family val="2"/>
        <charset val="238"/>
      </rPr>
      <t xml:space="preserve"> </t>
    </r>
    <r>
      <rPr>
        <sz val="10"/>
        <rFont val="Arial"/>
        <family val="2"/>
        <charset val="238"/>
      </rPr>
      <t>grubom i finom produžnom žbukom /1:3:9/ zaglađene završne obrade. Na očišćenu, isprašenu i opranu površinu zida od opeke izvodi se nanos rijetkog cementnog morta 1:2.  U cijenu uključiti nabacivanje većim uleknućima kako bi se zidovi doveli u okomitost. Veća uleknuća-do 5 cm-izvesti uz prethodni upis nadzornog inžinjera u građevinski dnevnik. Na tako pripremljenu podlogu nanosi se osnovni sloj žbuke debljine 30-60 mm sa izradom potrebnih profilacija, sve reške fino obrađene. Veličina agregata do 2 mm.</t>
    </r>
  </si>
  <si>
    <t>Ručno žbukanje  1. kata  grubom i finom produžnom žbukom /1:3:9/ zaglađene završne obrade sa većim naglašenim utorima (vučenim profilima).</t>
  </si>
  <si>
    <t>OSB ploče debljina: 1.8 cm</t>
  </si>
  <si>
    <t>Doprema i ugradba podgleda od vodonepropusnih OSB ploča s unutarnje strane krovne konstrukcije. Ugrađuju se OSB ploče 18 mm. Ploče se ugrađuju i vijcima pričvrščuju na drvene grede 220x260 mm.  Kompletan rad i materijal u cijeni. Obračun po m2 .</t>
  </si>
  <si>
    <t>Obračun po m2 tlocrtne površine podgleda.</t>
  </si>
  <si>
    <t>Dobava i izrada oplate krovišta od OSB ploča debljine 24 mm. Polažu se preko drvene podkonstrukcije na ravnom krovu. Pribijaju se čavlima na krovnu konstrukciju. U cijenu je uključena sva drvena građa premazana zaštitnim fungicidnim premazom sav potreban okov spojeva i usidrenja, te kompletan rad na izradi i prijenosima. U stavku uračunati i sva pričvršćenja, ukrute, rad i materijal kako bi se na podlogu mogla staviti hidroizolacija i limeni opšav.</t>
  </si>
  <si>
    <r>
      <t>Dobava materijala, te letvanje krovišta za pokrivanje limenim pokrovom.</t>
    </r>
    <r>
      <rPr>
        <sz val="10"/>
        <rFont val="Arial"/>
        <family val="2"/>
      </rPr>
      <t xml:space="preserve"> Letve, četinar I klase, dimenzija 50x50mm, na razmaku od cca  30cm, a na svakih cca  80cm “kontra” letva dimenzije 50x50mm za formiranje zračnog sloja. Kompletan rad i materijal, te zaštita drva od truljenja i crvotočina u dva sloja fungicidnim premazom. Obračun po m2 poletvanog krovišta mjereno po kosoj površini krova.</t>
    </r>
  </si>
  <si>
    <t xml:space="preserve">Dobava i postava hidroizolacije iz sintetičke membrane na bazi termoplastičnog poliolefina, FPO, armirana poliesterskim pletivom, bijele boje (RAL 9016), UV stabilna, debljine d= 1,5 mm, prema EN 13967 ili jednakovrijednoj.                                                                                                                       </t>
  </si>
  <si>
    <t xml:space="preserve">Karakteristike:                                                              - efektivna debljina: min.1.5 mm (-5%/+10%) (HRN EN 1849-2 ili jednakorijedan _______________)                                                      - masa po jedinici površine: min. 1.65 kg/m² (-5%/+10%) (HRN EN 1849-2 ili jednakovrijedan _______________)                                                                                                                 - posmična otpornost spojeva: ≥500 N/50 mm (HRN EN 12317-2 ili jednakovrijedan __________________)                                                   - otpornost na prolaz vodene pare: min. μ=150.000 (HRN EN 1931 ili jednakovrijedan _________________)                                                                                       - izduženje pri slomu: ≥ 13% (HRN EN 12311-2 ili jednakovrijedan ___________________)                                                    - otpornost na udarce, tvrda podloga: min. 600mm (HRN EN 12691 ili jednakovrijedan ___________________)                                                                                                               - pregibljivost pri sniskim temperaturama:                      ≥ -30°C (HRN EN 495-5 ili jednakovrijedan __________________)   </t>
  </si>
  <si>
    <t xml:space="preserve">Membrana se ugrađuje na poziciju krova. Membrane se slobodno polažu te fiksiraju u podlogu prema uputama proizvođača membrane, kako bi izdržale dinamičko djelovanje vjetra. Spojevi se obrađuju vrućim zrakom sa širinom vara od min. 3 cm, preklop 12 cm, u skladu s propisanom tehnologijom od strane proizvođača membrane. Na spojeve pod-zid i završetak membrane izvesti sa kaširanim limom u sustavu membrane (debljine min. 1,7 mm), uključena brtvljenje sa namjenskim poliuretanskim brtvilom. </t>
  </si>
  <si>
    <t xml:space="preserve"> - horizontalni dijelovi krova</t>
  </si>
  <si>
    <t xml:space="preserve">tvrda kamena vuna 20 cm </t>
  </si>
  <si>
    <r>
      <t>Hidroizolacija KROVA</t>
    </r>
    <r>
      <rPr>
        <b/>
        <sz val="10"/>
        <rFont val="Arial"/>
        <family val="2"/>
        <charset val="238"/>
      </rPr>
      <t>.</t>
    </r>
  </si>
  <si>
    <t>Dobava i polaganje paropropusne vodonepropusne krovne folije na oplatu od OSB ploča- kompatibilna sa cinkotit limom. Folije ne smije kemijski reagirati u dodiru sa limom i štetiti mu - prema uputi proizvođača. Preklopi minimalno 10 cm.  U cijenu uključen kompletan rad i materijal i svi tipski fazonski elementi proizvođača hidroizolacije. Obračun po m2 izvedene HI.</t>
  </si>
  <si>
    <t xml:space="preserve"> - vertikalni dijelovi uz zid, dimnjake i ventilacije</t>
  </si>
  <si>
    <t>Isto kao st. 2., samo postavljanje ispod svih limenih opšava na krovu i sličnih mjesta predvidjenih projektom. Preklopi minimalno 10 cm.  U cijenu uključen kompletan rad i materijal i svi tipski fazonski elementi proizvođača hidroizolacije. Obračun po m2 izvedene HI.</t>
  </si>
  <si>
    <r>
      <t xml:space="preserve">Dobava i polaganje termoizolacije iz ploča od tvrde kamene vune, hidrofobirane (MW prema HRN EN 13162 - gustoće min 150 kg/m3), debljine 20 cm -  kao toplinske izolacije </t>
    </r>
    <r>
      <rPr>
        <sz val="10"/>
        <rFont val="Arial"/>
        <family val="2"/>
        <charset val="238"/>
      </rPr>
      <t>ravnog krova.</t>
    </r>
    <r>
      <rPr>
        <sz val="10"/>
        <rFont val="Arial"/>
        <family val="2"/>
        <charset val="238"/>
      </rPr>
      <t xml:space="preserve"> Ploče se postavljaju na parnu branu koja se obračunava posebno. Izvesti sve prema uputi proizvođača.</t>
    </r>
  </si>
  <si>
    <t>ravni krov (pokrov - cinkotit lim)</t>
  </si>
  <si>
    <t>Dobava i montaža krovnog pokrova iz cinkotit lima debljine 0,60 mm, srednje širine 500 mm. Lim zaštićen prema uputama proizvođača. Pokrov u izvedbi s dvostrukim stojećim ili ležećim prijevojem. Pričvršćenje traka pomoću nehrđajućih fiksnih i kliznih učvršćivača u skladu s važećom normom. Obračun je prema izmjeri u naravi, bez dodataka za rezove, sitni materijal i oplatu. U području rubova i spojeva s vertikalnim elementima paziti na izvedbu s omogućenim dilatacijskim radom.</t>
  </si>
  <si>
    <t xml:space="preserve">Nagib krova 6°. </t>
  </si>
  <si>
    <t>Pažljiva demontaža i vađenje metalnih dekoriranih/profiliranih opšava podgleda i čela istaka strehe s umetnutim metalnim dekorativnim elementima.</t>
  </si>
  <si>
    <t xml:space="preserve">Razgradnja, demontaža i odvoz drvene nazidnice krova. Greda dimenzija cca 200x220mm. Greda pričvršćena na nosivu konstrukciju vijcima kroz prethodno postavljenu izolaciju. </t>
  </si>
  <si>
    <t>Demontaža vertikalnih slojeva hidroizolacije na svim dijelovima krova - bitumenske ljepenke d = cca 1 cm. Izolacija s podnožja dimnjaka, ventilacijskih okana te zidova koji izlaze iznad ravnog krova, zajedno sa limenim trakama za pričvršćenje.</t>
  </si>
  <si>
    <t xml:space="preserve"> - opšava ruba krova iznad žlijeba, r.š.  75 cm</t>
  </si>
  <si>
    <t xml:space="preserve">  -opšav ruba krova sa bočne strane  r.š. cca 60 cm</t>
  </si>
  <si>
    <t xml:space="preserve"> - opšav sa okapom ruba strehe krova, razvijene širine cca 40 cm</t>
  </si>
  <si>
    <t xml:space="preserve">Dobava materijala, izrada i montaža vertikale oborinske odvodnje krovne vode odu okruglih cijevi , izrađenih od cinkotit lima, debljine 0,75 mm sa svim fazonskim komadima, obujmicama i priključkom na željeznu - škotsku cijev  ili ispust na okolni teren. Cijenom je obuhvaćen kompletan rad, materijal i radna skela. Obračun po m1 montirane vertikale. </t>
  </si>
  <si>
    <t>Dobava materijala i ugradba cinkotit lima debljine 0,60 mm za razne opšave na ravnom krovu, uličnom i bočnom pročelju zgrade, opšava ventilacija i sudara sa ravnim krovom, opšava dilatacije i sl.. Opšavi iz cinkotit lima, razvijene cca 20-120 cm.</t>
  </si>
  <si>
    <t xml:space="preserve">Dobava materijala i ugradba okapa balkona 2. kata (iznad dva erkera na uličnom pročelju) od cinkotit lima debljine 0,60 mm, razvijene širine cca 15 cm. </t>
  </si>
  <si>
    <t>Izvesti cinkotit limom debljine 0,75 mm razvijene širine do 120 cm s podložnom ljepenkom, prema detaljnom nacrtu i u dogovoru s predstavnikom GZZZSKP. Obračun po m1 kompletno izvedenog opšava. Lim u boji po dogovoru s  nadležnim Konzervatorskim uredom..</t>
  </si>
  <si>
    <t xml:space="preserve">Odstranjivanje stare boje i hrđe sa svih postojećih bravarskih elemenata, sa ili bez demontaže  - balkonske ograde, klupčice za cvijeće, rešetke ulaznih vrata i svih drugih elemenata iz crne bravarije. </t>
  </si>
  <si>
    <t>Bojanje žbukanog pročelja, vijenaca silikatnom bojom u više tonova i u više faza:</t>
  </si>
  <si>
    <t xml:space="preserve"> - treći premaz: 2xnanošenje boje koja treba biti silikatna , paropropusna, hidrofobna i prutuprašna.</t>
  </si>
  <si>
    <t>Obračunata je vertikalna projekcija pročelja i uzeto u obzir razvedenost i reljefnost sa koeficijentom od 40%.</t>
  </si>
  <si>
    <t>RESTAURATORSKI RADOVI UKUPNO:</t>
  </si>
  <si>
    <t>Čišćenje, obnova i eventualna izrada novih elemenata pročeljne plastike.</t>
  </si>
  <si>
    <t xml:space="preserve">b/ izrada novog elementa </t>
  </si>
  <si>
    <r>
      <rPr>
        <b/>
        <sz val="10"/>
        <rFont val="Arial"/>
        <family val="2"/>
        <charset val="238"/>
      </rPr>
      <t xml:space="preserve">1.1 </t>
    </r>
    <r>
      <rPr>
        <sz val="10"/>
        <rFont val="Arial"/>
        <family val="2"/>
      </rPr>
      <t>Ukrasni linijski element na vijencu prizemlja (širina cca 5 cm, dužine vijenca)</t>
    </r>
  </si>
  <si>
    <r>
      <rPr>
        <b/>
        <sz val="10"/>
        <rFont val="Arial"/>
        <family val="2"/>
        <charset val="238"/>
      </rPr>
      <t>1.1a</t>
    </r>
    <r>
      <rPr>
        <sz val="10"/>
        <rFont val="Arial"/>
        <family val="2"/>
      </rPr>
      <t xml:space="preserve"> Isto kao 1.1., samo ukrasni linijski element na erkerima (nastavak prethodnog)</t>
    </r>
  </si>
  <si>
    <r>
      <rPr>
        <b/>
        <sz val="10"/>
        <rFont val="Arial"/>
        <family val="2"/>
        <charset val="238"/>
      </rPr>
      <t xml:space="preserve">1.2 </t>
    </r>
    <r>
      <rPr>
        <sz val="10"/>
        <rFont val="Arial"/>
        <family val="2"/>
      </rPr>
      <t>Ukrasni linijski element na vijencu 3. kata  (širina cca 10 cm, dužine cijelog vijenca)</t>
    </r>
  </si>
  <si>
    <r>
      <rPr>
        <b/>
        <sz val="10"/>
        <rFont val="Arial"/>
        <family val="2"/>
        <charset val="238"/>
      </rPr>
      <t xml:space="preserve">1.3 </t>
    </r>
    <r>
      <rPr>
        <sz val="10"/>
        <rFont val="Arial"/>
        <family val="2"/>
      </rPr>
      <t xml:space="preserve">Ukrasni linijski element na krovnom vijencu (širina cca 15 cm, dužine cijelog vijenca) koji se sastoji od tri tipa dekoracija (reljefna bordura) </t>
    </r>
  </si>
  <si>
    <r>
      <rPr>
        <b/>
        <sz val="10"/>
        <rFont val="Arial"/>
        <family val="2"/>
        <charset val="238"/>
      </rPr>
      <t xml:space="preserve">1.4 </t>
    </r>
    <r>
      <rPr>
        <sz val="10"/>
        <rFont val="Arial"/>
        <family val="2"/>
        <charset val="238"/>
      </rPr>
      <t xml:space="preserve"> Ukrasni duboki reljef ispod klupčice dvokrilnih prozora 2. kata, na vanjskom parapetu. Osno simetrična geometrijska dekoracija s motivom meandra, dimenzije 120/50 cm /ukupno 4 komada/</t>
    </r>
  </si>
  <si>
    <r>
      <rPr>
        <b/>
        <sz val="10"/>
        <rFont val="Arial"/>
        <family val="2"/>
        <charset val="238"/>
      </rPr>
      <t xml:space="preserve">1.5 </t>
    </r>
    <r>
      <rPr>
        <sz val="10"/>
        <rFont val="Arial"/>
        <family val="2"/>
        <charset val="238"/>
      </rPr>
      <t xml:space="preserve"> Pravokutna bordura na vanjskom parapetu dvokrilnih prozora 3. kata, dimenzije 120/70 cm /ukupno 4 komada/</t>
    </r>
    <r>
      <rPr>
        <sz val="10"/>
        <rFont val="Arial"/>
        <family val="2"/>
        <charset val="238"/>
      </rPr>
      <t xml:space="preserve"> - POTREBNA REKONSTRUKCIJA PREMA ARHIVSKOJ DOKUMENTACIJI (nema očuvanih elemenata)</t>
    </r>
  </si>
  <si>
    <t>b/ izrada novog elementa</t>
  </si>
  <si>
    <r>
      <rPr>
        <b/>
        <sz val="10"/>
        <rFont val="Arial"/>
        <family val="2"/>
        <charset val="238"/>
      </rPr>
      <t xml:space="preserve">1.7 </t>
    </r>
    <r>
      <rPr>
        <sz val="10"/>
        <rFont val="Arial"/>
        <family val="2"/>
        <charset val="238"/>
      </rPr>
      <t xml:space="preserve"> Reljefna dekoracija na kosini niše u zoni nadsvjetla trokrilnih prozora 3. kata (fitomorfni oblici u uskom i visokom pravokutnom okviru), dimenzije 15/150 cm /ukupno 4 komada/</t>
    </r>
  </si>
  <si>
    <r>
      <rPr>
        <b/>
        <sz val="10"/>
        <rFont val="Arial"/>
        <family val="2"/>
        <charset val="238"/>
      </rPr>
      <t xml:space="preserve">1.8 </t>
    </r>
    <r>
      <rPr>
        <sz val="10"/>
        <rFont val="Arial"/>
        <family val="2"/>
        <charset val="238"/>
      </rPr>
      <t xml:space="preserve"> Ukrasni eliptični element (cvijet) iznad reljefne dekoracije na kosini niše  trokrilnih prozora 3. kata, dimenzije 15/25 cm /ukupno 4 komada/</t>
    </r>
  </si>
  <si>
    <r>
      <rPr>
        <b/>
        <sz val="10"/>
        <rFont val="Arial"/>
        <family val="2"/>
        <charset val="238"/>
      </rPr>
      <t xml:space="preserve">1.6 </t>
    </r>
    <r>
      <rPr>
        <sz val="10"/>
        <rFont val="Arial"/>
        <family val="2"/>
        <charset val="238"/>
      </rPr>
      <t xml:space="preserve"> Ukrasni visoki reljef ispod klupčice za cvijeće, na vanjskom parapetu trokrilnih prozora 3. kata. Osno simetrična dekoracija (lanac, meandar), dimenzije cca 150/60 cm /ukupno 2 komada/</t>
    </r>
  </si>
  <si>
    <r>
      <rPr>
        <b/>
        <sz val="10"/>
        <rFont val="Arial"/>
        <family val="2"/>
        <charset val="238"/>
      </rPr>
      <t>1.9</t>
    </r>
    <r>
      <rPr>
        <sz val="10"/>
        <rFont val="Arial"/>
        <family val="2"/>
        <charset val="238"/>
      </rPr>
      <t xml:space="preserve"> Ukrasni element na podgledu niše iznad trokrilnih prozora 3. kata, dimenzije 10/12 cm /ukupno 36 komada/</t>
    </r>
  </si>
  <si>
    <r>
      <rPr>
        <b/>
        <sz val="10"/>
        <rFont val="Arial"/>
        <family val="2"/>
        <charset val="238"/>
      </rPr>
      <t xml:space="preserve">1.10 </t>
    </r>
    <r>
      <rPr>
        <sz val="10"/>
        <rFont val="Arial"/>
        <family val="2"/>
        <charset val="238"/>
      </rPr>
      <t>Ukrasni sitni reljef u zoni prozora 4. kata, (fitomorfni oblici u pravokutnom okviru, dva kružna polja), dimenzije 130/55 cm /ukupno 2 komada/</t>
    </r>
  </si>
  <si>
    <r>
      <rPr>
        <b/>
        <sz val="10"/>
        <rFont val="Arial"/>
        <family val="2"/>
        <charset val="238"/>
      </rPr>
      <t xml:space="preserve">1.11 </t>
    </r>
    <r>
      <rPr>
        <sz val="10"/>
        <rFont val="Arial"/>
        <family val="2"/>
        <charset val="238"/>
      </rPr>
      <t>Ukrasni sitni reljef u zoni prozora 4. kata, (fitomorfni oblici u pravokutnom okviru, četiri kružna polja), dimenzije 260/55 cm /ukupno 4 komada/</t>
    </r>
  </si>
  <si>
    <r>
      <rPr>
        <b/>
        <sz val="10"/>
        <rFont val="Arial"/>
        <family val="2"/>
        <charset val="238"/>
      </rPr>
      <t xml:space="preserve">1.12 </t>
    </r>
    <r>
      <rPr>
        <sz val="10"/>
        <rFont val="Arial"/>
        <family val="2"/>
        <charset val="238"/>
      </rPr>
      <t>Ukrasni sitni reljef u zoni prozora 4. kata, (fitomorfni oblici u pravokutnom okviru, tri kružna polja), dimenzije 260/55 cm /ukupno 1 komad/</t>
    </r>
  </si>
  <si>
    <t>Isto kao stavka 3. samo metalni elementi.</t>
  </si>
  <si>
    <t xml:space="preserve">Sanacija dekorativnih elemenata obaviti će se čišćenjem i sanacijom na građevini ili restauracijom u radionici. Uključeno je mehaničko i kemijsko čišćenje metala, tretiranje inhibitorom korozije, ispravljanje nagnječenja i udubljenja, spajanje, poliranje i patiniranje, te vraćanje i fiksiranje na postojeće pozicije i dr. potrebni radovi. </t>
  </si>
  <si>
    <r>
      <rPr>
        <b/>
        <sz val="10"/>
        <rFont val="Arial"/>
        <family val="2"/>
        <charset val="238"/>
      </rPr>
      <t xml:space="preserve">1.13 </t>
    </r>
    <r>
      <rPr>
        <sz val="10"/>
        <rFont val="Arial"/>
        <family val="2"/>
        <charset val="238"/>
      </rPr>
      <t>Ukrasni trapezni element u nastavku profilacija iznad dvokrilnih prozora 3. kata, dimenzije 45/75 cm /ukupno 4 komada/</t>
    </r>
  </si>
  <si>
    <r>
      <rPr>
        <b/>
        <sz val="10"/>
        <rFont val="Arial"/>
        <family val="2"/>
        <charset val="238"/>
      </rPr>
      <t xml:space="preserve">1.14 </t>
    </r>
    <r>
      <rPr>
        <sz val="10"/>
        <rFont val="Arial"/>
        <family val="2"/>
        <charset val="238"/>
      </rPr>
      <t>Ukrasne skulpture lavljih glava na limenom opšavu krova, dimenzije 35/26 cm /ukupno 8 komada/</t>
    </r>
  </si>
  <si>
    <r>
      <rPr>
        <b/>
        <sz val="10"/>
        <rFont val="Arial"/>
        <family val="2"/>
        <charset val="238"/>
      </rPr>
      <t xml:space="preserve">1.16 </t>
    </r>
    <r>
      <rPr>
        <sz val="10"/>
        <rFont val="Arial"/>
        <family val="2"/>
        <charset val="238"/>
      </rPr>
      <t>Ukrasni pravokutni elementi na limenom opšavu podgleda krovne strehe, dimenzije cca 85/30 cm /ukupno 16 komada/</t>
    </r>
  </si>
  <si>
    <r>
      <rPr>
        <b/>
        <sz val="10"/>
        <rFont val="Arial"/>
        <family val="2"/>
        <charset val="238"/>
      </rPr>
      <t xml:space="preserve">1.15 </t>
    </r>
    <r>
      <rPr>
        <sz val="10"/>
        <rFont val="Arial"/>
        <family val="2"/>
        <charset val="238"/>
      </rPr>
      <t>Ukrasni kvadratni elementi na limenom opšavu podgleda krovne strehe, dimenzije cca 30/30 cm /ukupno 16 komada/</t>
    </r>
  </si>
  <si>
    <r>
      <rPr>
        <b/>
        <sz val="10"/>
        <rFont val="Arial"/>
        <family val="2"/>
        <charset val="238"/>
      </rPr>
      <t xml:space="preserve">1.17 </t>
    </r>
    <r>
      <rPr>
        <sz val="10"/>
        <rFont val="Arial"/>
        <family val="2"/>
        <charset val="238"/>
      </rPr>
      <t>Fitomorfne dekoracije na uglovima balkonskih ograda, ukupne</t>
    </r>
    <r>
      <rPr>
        <sz val="10"/>
        <rFont val="Arial"/>
        <family val="2"/>
        <charset val="238"/>
      </rPr>
      <t xml:space="preserve"> dimenzije cca 95/15 cm /ukupno 4 komada/</t>
    </r>
  </si>
  <si>
    <r>
      <rPr>
        <b/>
        <sz val="10"/>
        <rFont val="Arial"/>
        <family val="2"/>
        <charset val="238"/>
      </rPr>
      <t xml:space="preserve">1.18 </t>
    </r>
    <r>
      <rPr>
        <sz val="10"/>
        <rFont val="Arial"/>
        <family val="2"/>
        <charset val="238"/>
      </rPr>
      <t>Ukrasni elementi (elipsa) na klupčicama za cvijeće prozora 3. kata, ukupne</t>
    </r>
    <r>
      <rPr>
        <sz val="10"/>
        <rFont val="Arial"/>
        <family val="2"/>
        <charset val="238"/>
      </rPr>
      <t xml:space="preserve"> dimenzije cca 30/15 cm /ukupno 6 komada/</t>
    </r>
  </si>
  <si>
    <t>Mogući rad - ovisi o istražnim radovima</t>
  </si>
  <si>
    <t>Na mjestima većih oštećenja na pripremljenu podlogu očišćenih površina zida od opeke nanosi se sloj cementne kamene žbuke spravljene od kamene sitneži i brašna, strukture, boje i sastava u svemu kao postojeća.</t>
  </si>
  <si>
    <t>Ostalu površinu potrebno očistiti. Odstraniti postojeću boju.  Grubo i fino čišćenje čeličnim četkama i otprašivanje - suho pjeskarenje kamene žbuke. Sa plohe potrebno u cijelosti skinuti sve nečistoće i dr. Podloga mora biti u potpunosti očišćena i pripremljena za nanošenje zaštitnih premaza.</t>
  </si>
  <si>
    <t>Struktura žbuke, detalji izvedbe i obrada definiraju se projektom obnove, istražnim radovima i odredbama projektanta i predstavnika GZZSK.</t>
  </si>
  <si>
    <t>Zaštita očišćenog zida prizemlja iz kamene žbuke.</t>
  </si>
  <si>
    <t>Nanos emulzije - impregnacije u svrhu povećanja prionjivosti i hidrofobnih svojstava.</t>
  </si>
  <si>
    <t>Nanos na cijeloj poršini špricanjem u više slojeva.</t>
  </si>
  <si>
    <t xml:space="preserve">Nakon navedene impregnacije zaštititi kameu žbuku završnim premazom - hidrofobni premaz na bazi voska. Nanos u više slojeva prema uputi proizvođača. </t>
  </si>
  <si>
    <t>Sve u suradnji sa projektantom i predstavnikom GZZSK.</t>
  </si>
  <si>
    <t>Uređenje kamene žbuke podnožja - sokla zgrade, kao i dvije ukrasne sfere sa strane ulaznih vratiju, u svemu kao postojeće.</t>
  </si>
  <si>
    <t>KONZERVATORSKA ISTRAŽIVANJA</t>
  </si>
  <si>
    <t>Konzervatorska istraživanja žbuke i boje pročelja, radi utvrđivanja izgleda pročelja u raznim povijesnim razdobljima, te radi utvrđivanja stanja obrada i konstrukcija.</t>
  </si>
  <si>
    <t>Prema odredbama GZZSK otvoriti sonde na ravnim površinama etaža, prizemlja, u zoni podnožja - sokla, portala, erkera, na vijencima, klupčicama, pilastrima i kiparskim elementima, te stolariji i bravariji.</t>
  </si>
  <si>
    <t>Stavka uključuje izradu nacrta istraživanja s ucrtanim i opisanim nalazima - elaborat.</t>
  </si>
  <si>
    <t>Premaz  treba biti paropropusan, bez boje i sjaja te ne smije mijenjati boju pročelja.</t>
  </si>
  <si>
    <t>Premaz mora imati karakteristike da na njega grafiti ne prijanjaju, da je potpuno suh nakon 24h, da ima osobine samočišćenja te da dopušta često čišćenje.</t>
  </si>
  <si>
    <t>Nanošenje u dva sloja, drugi sloj nanosi se nakon sušenja prvoga. Sve prema uputi proizvođača.</t>
  </si>
  <si>
    <t>Dobava i nanošenje transparentnog antigrafitnog premaza do podgleda erkera 1. kata, na visini cca 420 cm.</t>
  </si>
  <si>
    <t>Kompletan rad i materijal u cijeni. Obračun po m2.</t>
  </si>
  <si>
    <t xml:space="preserve"> - bojanje pročelja:</t>
  </si>
  <si>
    <t xml:space="preserve"> - akrilni kit oko prozora:</t>
  </si>
  <si>
    <t xml:space="preserve">Izrada, dobava i ugradnja vanjske ostakljene stijene iz aluminijskih profila sa potrebnim brojem komora potrebne debljine da se zadovolji koeficijent prolaza topline cijele stavke, s prekinutim toplinskim mostom. </t>
  </si>
  <si>
    <t>VANJSKA ALUMINIJSKA BRAVARIJA</t>
  </si>
  <si>
    <t>Shema vanjske bravarije oznake 1</t>
  </si>
  <si>
    <t>Građevinska dimenzija stijene je 205x330cm.</t>
  </si>
  <si>
    <t>Stijena se sastoji od jednog fiksno ostakljenog krila fiksno ostakljenog nadsvjetla. Podnožje je puni aluminijski panel visine 40 cm, donje polje je fiksno ostakljeno, ukupne visine 190 cm, a nadsvjetlo visine 100 cm. Visina vanjskog parapeta je 20 cm. Stijena ima trostruko brtvljenje u zoni spoja štoka i krila.</t>
  </si>
  <si>
    <t>Ostakljenje dvostrukim IZO staklom potrebne slojnosti i debljine da bi se ispunio koeficijent prolaza topline cijele stavke - U - manji ili jednak 1,6 W/M2k.</t>
  </si>
  <si>
    <t>Zaštita plastifikacijom u boji prema dogovoru s projektantom i predstavnikom GZZZSKP.</t>
  </si>
  <si>
    <t>U cijenu je uključena izrada i dobava svih potrebnih okova i spojnih elemenata za njenu ugradnju. RAL način ugradnje stijene - unutarnje i vanjske trake. Uključen kompletno potreban okov, opšavi i uređaji za otvaranje, uključivo i spoj na susjedne plohe, okvir za ugradbu, sva sidra i sidreni detalji.</t>
  </si>
  <si>
    <t>Građevinska dimenzija stijene je 300x330cm.</t>
  </si>
  <si>
    <t xml:space="preserve">Stijena se sastoji od jednokrilnih zaokretnih ostakljenih vrata sv. dim. 90x220 cm (L), jednog fiksno ostakljenog polja i dva fiksno ostakljena nadsvjetla. </t>
  </si>
  <si>
    <t>Podnožje vrata i fiksnog polja je puni aluminijski panel visine 40 cm, fiksno ostakljeno polje visine 190 cm, a nadsvjetla visine 100 cm.  Visina vanjskog parapeta je 20 cm. Stijena ima trostruko brtvljenje u zoni spoja štoka i krila.</t>
  </si>
  <si>
    <t xml:space="preserve">Ostakljenje dvostrukim IZO staklom potrebne slojnosti i debljine da bi se ispunio koeficijent prolaza topline cijele stavke - U - manji ili jednak 1,6 W/M2k.
Boju je potrebno uskladiti sa ostalom bravarijom na pročelju građevine. </t>
  </si>
  <si>
    <t>Shema vanjske bravarije oznake 2</t>
  </si>
  <si>
    <t xml:space="preserve">Stijena se sastoji od jednokrilnih zaokretnih ostakljenih vrata sv. dim. 90x220 cm (D), jednog fiksno ostakljenog polja i dva fiksno ostakljena nadsvjetla. </t>
  </si>
  <si>
    <t>Shema vanjske bravarije oznake 3</t>
  </si>
  <si>
    <t>U cijenu uračunati kitanje oko prozora. Sve slojeve nanositi prema uputi proizvođača i konzervatorskom nadzoru.</t>
  </si>
  <si>
    <t>Tonovi prema obabiru predstavnika GZZZSKP.</t>
  </si>
  <si>
    <t>Odabir boje u suradnji sa projektantom, restauratorima i predstavnikom GZZZSKP.</t>
  </si>
  <si>
    <t>Uređenje vanjske bravarije</t>
  </si>
  <si>
    <t>Sastoje se od tri zaokretna krila, srednje krilo vezano je za susjedno bočno krilo i otvara se zajedno s njim (zaokretno prema unutra). U srednjem polju srednjeg krila umetnuta je dekorativna metalna rešetka.</t>
  </si>
  <si>
    <t xml:space="preserve">Nadsvjetlo ima tri fiksno ostakljena polja s ukladama. Ostakljeno jednostrukim staklom debljine 6 mm, odnosno kao postojeće. </t>
  </si>
  <si>
    <t>Mijenjaju se kompletna ulazna vrata, koja moraju izgledati kao autentična postojeća.</t>
  </si>
  <si>
    <t>Sve prema odobrenju GZZZSKP.</t>
  </si>
  <si>
    <t xml:space="preserve">Ukoliko je potrebno izvršiti pripasivanje u postojećem otvoru, podizanje dovratnika i krila. U stavku uključen i sav potreban okov, uređenje postojećeg, odnosno zamjena postojećeg autentičnim ukoliko je to potrebno.  Svi zamjenjeni dijelovi vrata moraju izgledati  u svemu kao postojeći, odnosno autentični  /materijali, dimenzije, obrade, profili.... itd/.
</t>
  </si>
  <si>
    <t>Izrada, dobava i ugradnja trokrilnih, masivnih drvenih ulaznih vrata s nadsvjetlom. 
Vrata se ugrađuju u građevinski otvoru dim. 260x400 cm, u nosivom zidu od opeke i betona (debljine cca 80 cm).</t>
  </si>
  <si>
    <t>Dvostruki dvokrilni drveni prozor s nadsvjetlom.</t>
  </si>
  <si>
    <t>Izrada, dobava i ugradnja dvokrilnog dvostrukog drvenog prozora s nadsvjetlom. Ugrađuje se u građevinski otvor 135x235 cm u nosivom zidu od opeke i betona.</t>
  </si>
  <si>
    <t xml:space="preserve">Unutarnji dvokrilni prozor s nadsvjetlom, i vanjski dvokrilni prozor s nadsvjetlom. </t>
  </si>
  <si>
    <t>Vanjska dva krila otvaraju se zaokretno prema unutra, te imaju nadsvjetlo koje se otvara otklopno prema unutra. Unutarnja krila se zaokretno otvaraju prema unutra, te imaju nadsvjetlo koje se također otvara zaokretno prema unutra.</t>
  </si>
  <si>
    <t>Unutarnja krila ostakljena dvostrukim IZO staklom (ispuna inertnim plinom). Vanjska stakla polureflektivna, unutarnja niskoekitivna (low E). Koeficijent prolaza topline cijele stavke - U - manji ili jednak 1,6 W/M2k.</t>
  </si>
  <si>
    <t xml:space="preserve">Vanjska krila ostakljena jednostrukim staklom debljine 6 mm, odnosno kao postojeće. </t>
  </si>
  <si>
    <t xml:space="preserve">Popravak ili zamjena postojećeg autentičnog okova, odstranjivanje hrđe, naslaga stare boje te ponovno ličenje u dva sloja + temeljni sloj i / ili zamjena po potrebi po uzorku postojećih. </t>
  </si>
  <si>
    <t>Vanjska krila izvesti sa "dilatacijama" za prozračivanje kako bi se izbjeglo rošenje sa unutarnje strane vanjskog krila prozora.</t>
  </si>
  <si>
    <t xml:space="preserve">U stavku uključen i sav potreban okov. Svi dijelovi novoga prozora moraju izgledati kao autentični postojeći /dimenzije, obrade, profili, itd/. </t>
  </si>
  <si>
    <t xml:space="preserve">Doprozornik i krila završno obrađeni ličenjem u boji kao postojeća.
</t>
  </si>
  <si>
    <r>
      <t xml:space="preserve">U cijenu stavke uključiti i unutarnju poteznu </t>
    </r>
    <r>
      <rPr>
        <b/>
        <sz val="10"/>
        <rFont val="Arial"/>
        <family val="2"/>
        <charset val="238"/>
      </rPr>
      <t>platnenu flos roletu</t>
    </r>
    <r>
      <rPr>
        <sz val="10"/>
        <rFont val="Arial"/>
        <family val="2"/>
        <charset val="238"/>
      </rPr>
      <t xml:space="preserve"> postavljenu između krila, negoriva sa aluminijskim lancem.</t>
    </r>
  </si>
  <si>
    <r>
      <t xml:space="preserve">Mijenja se kompletan prozor, koji mora izgledati kao autentični postojeći.
</t>
    </r>
    <r>
      <rPr>
        <b/>
        <sz val="10"/>
        <rFont val="Arial"/>
        <family val="2"/>
        <charset val="238"/>
      </rPr>
      <t>Sve prema odobrenju GZZZSKP.</t>
    </r>
  </si>
  <si>
    <t>Dvostruki jednokrilni drveni prozor s nadsvjetlom.</t>
  </si>
  <si>
    <t>Shema vanjske stolarije oznake 3</t>
  </si>
  <si>
    <t xml:space="preserve">Građevinska dimenzije prozora cca 85x230 cm. </t>
  </si>
  <si>
    <t>Izrada, dobava i ugradnja jednokrilnog dvostrukog drvenog prozora s nadsvjetlom.</t>
  </si>
  <si>
    <t>Unutarnji jednokrilni prozor s nadsvjetlom, i vanjski jednokrilni prozor s nadsvjetlom. Vanjsko krilo otvara se zaokretno prema unutra, te ima nadsvjetlo koje se otvara otklopno prema unutra. Unutarnje krilo se zaokretno otvara prema unutra, te ima nadsvjetlo koje se otvara otklopno prema unutra.</t>
  </si>
  <si>
    <t>Dvostruka višedijelna ostakljena stijena (balkonska vrata).</t>
  </si>
  <si>
    <t>Izrada, dobava i ugradnja drvene dvostruke višedijelne ostakljene stijene koja se sastoji od dva dvostruka jednokrilna prozora s nadsvjetlom i jednih dvostrukih balkonskih vrata s nadsvjetlom.</t>
  </si>
  <si>
    <t>Građevinska dimenzija otvora 165/185x300 cm.</t>
  </si>
  <si>
    <r>
      <t xml:space="preserve">Mijenja se kompletna stavka, koja mora izgledati kao autentična postojeća.
</t>
    </r>
    <r>
      <rPr>
        <b/>
        <sz val="10"/>
        <rFont val="Arial"/>
        <family val="2"/>
        <charset val="238"/>
      </rPr>
      <t>Sve prema odobrenju GZZZSKP.</t>
    </r>
  </si>
  <si>
    <t xml:space="preserve">Unutarnji jednokrilni prozor s nadsvjetlom, i vanjski jednokrilni prozor s nadsvjetlom. Vanjsko i unutarnje krilo prozora otvara se zaokretno prema unutra, te imaju nadsvjetla koja se također otvaraju zaokretno prema unutra. </t>
  </si>
  <si>
    <t>Vanjska i unutarnja balkonska vrata otvaraju se zaokretno prema unutra, te imaju nadsvjetla koje se također otvaraju zaokretno prema unutra. Vratna krila u gornjem dijelu ostakljena, u donjem puna drvena s ukladama. Sv. širina unutarnjih vrata 75 cm, vanjskih 65 cm.</t>
  </si>
  <si>
    <t>Dvostruki trokrilni drveni prozor s nadsvjetlom.</t>
  </si>
  <si>
    <t>Izrada, dobava i ugradnja drvenog dvostrukog trokrilnog drvenog prozora s nadsvjetlom.</t>
  </si>
  <si>
    <t xml:space="preserve">Građevinska dimenzija otvora cca 165/185x230 cm. </t>
  </si>
  <si>
    <t>Shema vanjske stolarije oznake 4</t>
  </si>
  <si>
    <t>Shema vanjske stolarije oznake 5</t>
  </si>
  <si>
    <t xml:space="preserve">Unutarnji trokrilni prozor s nadsvjetlom, i vanjski trokrilni prozor s nadsvjetlom. Vanjska krila otvaraju se zaokretno prema unutra, te imaju nadsvjetla koja se također otvaraju zaokretno prema unutra. Unutarnja krila otvaraju se zaokretno prema unutra, te imaju nadsvjetla koja se također otvaraju zaokretno prema unutra. </t>
  </si>
  <si>
    <t>Dvokrilni drveni prozor (tavan).</t>
  </si>
  <si>
    <t>Izrada, dobava i ugradnja drvenog dvokrilnog prozora (prozori spremišta na tavanu).</t>
  </si>
  <si>
    <t xml:space="preserve">Građevinska dimenzije otvora 100x60 cm. </t>
  </si>
  <si>
    <t>Krila prozora otvaraju se zaokretno prema unutra.</t>
  </si>
  <si>
    <t>Ostakljenje jednostrukim staklom debljine 6 mm, odnosno kao postojeće.</t>
  </si>
  <si>
    <t>Ulazna vrata (glavni ulaz - veža)</t>
  </si>
  <si>
    <t>Sanela Beganović, dipl.ing.arh.</t>
  </si>
  <si>
    <t>projektant: Sanela Beganović, dipl.ing.arh.</t>
  </si>
  <si>
    <t>NUDI I IZVODI FIRMA:</t>
  </si>
  <si>
    <t>ŽBUKA d.o.o.</t>
  </si>
  <si>
    <t>KOGRAD d.o.o.</t>
  </si>
  <si>
    <t>CINZEK d.o.o.</t>
  </si>
  <si>
    <t>RESTAURATOR d.o.o.</t>
  </si>
  <si>
    <t>FERRUM</t>
  </si>
  <si>
    <t>INEL-MONTAŽA d.o.o.</t>
  </si>
  <si>
    <t>HIDRO-PROJEKT d.o.o.</t>
  </si>
  <si>
    <t>DOOR-AL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</si>
</sst>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quot;kn&quot;\ * #,##0.00_-;\-&quot;kn&quot;\ * #,##0.00_-;_-&quot;kn&quot;\ * &quot;-&quot;??_-;_-@_-"/>
    <numFmt numFmtId="165" formatCode="0.00_)"/>
    <numFmt numFmtId="166" formatCode="* #,##0.00\ ;\-* #,##0.00\ ;* \-#\ ;@\ "/>
    <numFmt numFmtId="167" formatCode="[$-C07]General"/>
    <numFmt numFmtId="168" formatCode="#,##0.00\ _k_n"/>
    <numFmt numFmtId="169" formatCode="#,##0.00\ _k_n;[Red]#,##0.00\ _k_n"/>
    <numFmt numFmtId="170" formatCode="0.0"/>
    <numFmt numFmtId="171" formatCode="#,##0.00;[Red]#,##0.00"/>
    <numFmt numFmtId="172" formatCode="#&quot;.&quot;"/>
    <numFmt numFmtId="173" formatCode="_-* #,##0.00\ [$€-1]_-;\-* #,##0.00\ [$€-1]_-;_-* &quot;-&quot;??\ [$€-1]_-;_-@_-"/>
    <numFmt numFmtId="174" formatCode="#,##0.00\ \€"/>
    <numFmt numFmtId="175" formatCode="#,##0.00\ [$€-41A]"/>
  </numFmts>
  <fonts count="77">
    <font>
      <sz val="10"/>
      <name val="Arial"/>
      <family val="2"/>
      <charset val="238"/>
    </font>
    <font>
      <sz val="11"/>
      <color theme="1"/>
      <name val="Calibri"/>
      <family val="2"/>
      <charset val="238"/>
      <scheme val="minor"/>
    </font>
    <font>
      <sz val="11"/>
      <color indexed="8"/>
      <name val="Calibri"/>
      <family val="2"/>
      <charset val="238"/>
    </font>
    <font>
      <sz val="10"/>
      <name val="Arial CE"/>
      <family val="2"/>
      <charset val="238"/>
    </font>
    <font>
      <b/>
      <sz val="10"/>
      <name val="Arial"/>
      <family val="2"/>
      <charset val="238"/>
    </font>
    <font>
      <sz val="8"/>
      <name val="Arial"/>
      <family val="2"/>
      <charset val="238"/>
    </font>
    <font>
      <i/>
      <sz val="10"/>
      <name val="Arial"/>
      <family val="2"/>
      <charset val="238"/>
    </font>
    <font>
      <b/>
      <u/>
      <sz val="10"/>
      <name val="Arial"/>
      <family val="2"/>
      <charset val="238"/>
    </font>
    <font>
      <b/>
      <sz val="14"/>
      <name val="Arial"/>
      <family val="2"/>
      <charset val="238"/>
    </font>
    <font>
      <b/>
      <i/>
      <u/>
      <sz val="10"/>
      <name val="Arial"/>
      <family val="2"/>
      <charset val="238"/>
    </font>
    <font>
      <b/>
      <sz val="8"/>
      <name val="Arial"/>
      <family val="2"/>
      <charset val="238"/>
    </font>
    <font>
      <b/>
      <i/>
      <sz val="8"/>
      <name val="Arial"/>
      <family val="2"/>
      <charset val="238"/>
    </font>
    <font>
      <b/>
      <sz val="12"/>
      <name val="Arial"/>
      <family val="2"/>
      <charset val="238"/>
    </font>
    <font>
      <b/>
      <sz val="9"/>
      <name val="Arial"/>
      <family val="2"/>
      <charset val="238"/>
    </font>
    <font>
      <sz val="9"/>
      <name val="Arial"/>
      <family val="2"/>
      <charset val="238"/>
    </font>
    <font>
      <sz val="11"/>
      <name val="Arial"/>
      <family val="2"/>
      <charset val="238"/>
    </font>
    <font>
      <u/>
      <sz val="10"/>
      <name val="Arial"/>
      <family val="2"/>
      <charset val="238"/>
    </font>
    <font>
      <u/>
      <sz val="10"/>
      <color indexed="12"/>
      <name val="Arial"/>
      <family val="2"/>
      <charset val="238"/>
    </font>
    <font>
      <sz val="12"/>
      <name val="Courier"/>
      <family val="1"/>
      <charset val="238"/>
    </font>
    <font>
      <sz val="11"/>
      <color indexed="8"/>
      <name val="Calibri"/>
      <family val="2"/>
      <charset val="238"/>
    </font>
    <font>
      <sz val="12"/>
      <name val="Times New Roman"/>
      <family val="1"/>
      <charset val="238"/>
    </font>
    <font>
      <sz val="12"/>
      <color indexed="8"/>
      <name val="Calibri"/>
      <family val="2"/>
      <charset val="238"/>
    </font>
    <font>
      <sz val="10"/>
      <name val="CRO_Bookman-Normal"/>
      <family val="2"/>
      <charset val="238"/>
    </font>
    <font>
      <sz val="10"/>
      <name val="Helv"/>
      <family val="2"/>
      <charset val="238"/>
    </font>
    <font>
      <b/>
      <sz val="11"/>
      <color indexed="63"/>
      <name val="Calibri"/>
      <family val="2"/>
      <charset val="238"/>
    </font>
    <font>
      <sz val="10"/>
      <color indexed="8"/>
      <name val="MS Sans Serif"/>
      <family val="2"/>
      <charset val="238"/>
    </font>
    <font>
      <sz val="10"/>
      <name val="Arial"/>
      <family val="2"/>
      <charset val="238"/>
    </font>
    <font>
      <b/>
      <sz val="10"/>
      <name val="Arial"/>
      <family val="2"/>
    </font>
    <font>
      <sz val="10"/>
      <name val="Arial"/>
      <family val="2"/>
    </font>
    <font>
      <sz val="10"/>
      <name val="Arial"/>
      <family val="2"/>
    </font>
    <font>
      <b/>
      <sz val="10"/>
      <name val="Arial Narrow"/>
      <family val="2"/>
      <charset val="238"/>
    </font>
    <font>
      <sz val="10"/>
      <name val="Arial Narrow"/>
      <family val="2"/>
      <charset val="238"/>
    </font>
    <font>
      <sz val="10"/>
      <name val="Arial Narrow"/>
      <family val="2"/>
    </font>
    <font>
      <sz val="10"/>
      <color indexed="9"/>
      <name val="Arial"/>
      <family val="2"/>
      <charset val="238"/>
    </font>
    <font>
      <sz val="9"/>
      <name val="Tahoma"/>
      <family val="2"/>
      <charset val="238"/>
    </font>
    <font>
      <sz val="12"/>
      <name val="Arial"/>
      <family val="2"/>
      <charset val="238"/>
    </font>
    <font>
      <sz val="9"/>
      <name val="Arial CE"/>
      <family val="2"/>
      <charset val="238"/>
    </font>
    <font>
      <b/>
      <sz val="9"/>
      <name val="Arial CE"/>
      <family val="2"/>
      <charset val="238"/>
    </font>
    <font>
      <sz val="11"/>
      <color theme="1"/>
      <name val="Calibri"/>
      <family val="2"/>
      <charset val="238"/>
      <scheme val="minor"/>
    </font>
    <font>
      <sz val="11"/>
      <color rgb="FF000000"/>
      <name val="Calibri"/>
      <family val="2"/>
      <charset val="238"/>
    </font>
    <font>
      <sz val="10"/>
      <color theme="1"/>
      <name val="Arial"/>
      <family val="2"/>
      <charset val="238"/>
    </font>
    <font>
      <sz val="11"/>
      <name val="Calibri"/>
      <family val="2"/>
      <charset val="238"/>
      <scheme val="minor"/>
    </font>
    <font>
      <b/>
      <sz val="11"/>
      <name val="Calibri"/>
      <family val="2"/>
      <charset val="238"/>
      <scheme val="minor"/>
    </font>
    <font>
      <sz val="10"/>
      <color rgb="FF0070C0"/>
      <name val="Arial"/>
      <family val="2"/>
      <charset val="238"/>
    </font>
    <font>
      <sz val="9"/>
      <color rgb="FFFF0000"/>
      <name val="Arial"/>
      <family val="2"/>
      <charset val="238"/>
    </font>
    <font>
      <b/>
      <sz val="9"/>
      <color rgb="FFFF0000"/>
      <name val="Arial"/>
      <family val="2"/>
      <charset val="238"/>
    </font>
    <font>
      <b/>
      <sz val="10"/>
      <color theme="7" tint="0.39997558519241921"/>
      <name val="Arial"/>
      <family val="2"/>
      <charset val="238"/>
    </font>
    <font>
      <b/>
      <sz val="10"/>
      <color theme="7" tint="0.59999389629810485"/>
      <name val="Arial"/>
      <family val="2"/>
      <charset val="238"/>
    </font>
    <font>
      <sz val="11"/>
      <color indexed="8"/>
      <name val="Helvetica Neue"/>
    </font>
    <font>
      <sz val="10"/>
      <color rgb="FFFF0000"/>
      <name val="Arial"/>
      <family val="2"/>
      <charset val="238"/>
    </font>
    <font>
      <b/>
      <i/>
      <sz val="10"/>
      <name val="Arial"/>
      <family val="2"/>
      <charset val="238"/>
    </font>
    <font>
      <sz val="10"/>
      <color indexed="10"/>
      <name val="Arial"/>
      <family val="2"/>
      <charset val="238"/>
    </font>
    <font>
      <sz val="10"/>
      <color indexed="8"/>
      <name val="Arial"/>
      <family val="2"/>
      <charset val="238"/>
    </font>
    <font>
      <sz val="10"/>
      <color rgb="FFFF0000"/>
      <name val="Arial"/>
      <family val="2"/>
    </font>
    <font>
      <b/>
      <sz val="10"/>
      <color rgb="FFFF0000"/>
      <name val="Arial"/>
      <family val="2"/>
      <charset val="238"/>
    </font>
    <font>
      <sz val="10"/>
      <color theme="8" tint="-0.249977111117893"/>
      <name val="Arial"/>
      <family val="2"/>
      <charset val="238"/>
    </font>
    <font>
      <sz val="9"/>
      <name val="Swis721 BT"/>
      <family val="2"/>
    </font>
    <font>
      <sz val="10"/>
      <color indexed="8"/>
      <name val="Swis721 BT"/>
      <family val="2"/>
    </font>
    <font>
      <sz val="10"/>
      <color rgb="FF00B050"/>
      <name val="Arial"/>
      <family val="2"/>
      <charset val="238"/>
    </font>
    <font>
      <sz val="10"/>
      <color indexed="10"/>
      <name val="Swis721 BT"/>
      <family val="2"/>
    </font>
    <font>
      <sz val="14"/>
      <name val="Arial"/>
      <family val="2"/>
      <charset val="238"/>
    </font>
    <font>
      <sz val="7"/>
      <name val="Arial"/>
      <family val="2"/>
      <charset val="238"/>
    </font>
    <font>
      <sz val="10"/>
      <name val="Swis721 BT"/>
      <family val="2"/>
      <charset val="238"/>
    </font>
    <font>
      <sz val="10"/>
      <name val="Swis721 BT"/>
      <family val="2"/>
    </font>
    <font>
      <b/>
      <sz val="10"/>
      <color theme="7" tint="0.39997558519241921"/>
      <name val="Swis721 BT"/>
      <family val="2"/>
      <charset val="238"/>
    </font>
    <font>
      <b/>
      <sz val="10"/>
      <color indexed="8"/>
      <name val="Swis721 BT"/>
      <family val="2"/>
      <charset val="238"/>
    </font>
    <font>
      <b/>
      <sz val="10"/>
      <name val="Swis721 BT"/>
      <family val="2"/>
      <charset val="238"/>
    </font>
    <font>
      <sz val="10"/>
      <color theme="4" tint="0.79998168889431442"/>
      <name val="Swis721 BT"/>
      <family val="2"/>
    </font>
    <font>
      <sz val="10"/>
      <color theme="7" tint="0.79998168889431442"/>
      <name val="Arial"/>
      <family val="2"/>
      <charset val="238"/>
    </font>
    <font>
      <b/>
      <sz val="10"/>
      <color rgb="FFFFCDCD"/>
      <name val="Arial"/>
      <family val="2"/>
      <charset val="238"/>
    </font>
    <font>
      <sz val="10"/>
      <color rgb="FFFFCDCD"/>
      <name val="Arial"/>
      <family val="2"/>
      <charset val="238"/>
    </font>
    <font>
      <sz val="10"/>
      <color rgb="FFFFCDCD"/>
      <name val="Arial"/>
      <family val="2"/>
    </font>
    <font>
      <b/>
      <i/>
      <sz val="10"/>
      <color rgb="FF00B0F0"/>
      <name val="Arial"/>
      <family val="2"/>
      <charset val="238"/>
    </font>
    <font>
      <sz val="10"/>
      <color rgb="FF00B0F0"/>
      <name val="Arial"/>
      <family val="2"/>
      <charset val="238"/>
    </font>
    <font>
      <b/>
      <sz val="10"/>
      <color rgb="FFFF0000"/>
      <name val="Arial"/>
      <family val="2"/>
    </font>
    <font>
      <i/>
      <u/>
      <sz val="10"/>
      <name val="Arial"/>
      <family val="2"/>
      <charset val="238"/>
    </font>
    <font>
      <u/>
      <sz val="10"/>
      <name val="Arial"/>
      <family val="2"/>
    </font>
  </fonts>
  <fills count="10">
    <fill>
      <patternFill patternType="none"/>
    </fill>
    <fill>
      <patternFill patternType="gray125"/>
    </fill>
    <fill>
      <patternFill patternType="solid">
        <fgColor indexed="31"/>
        <bgColor indexed="64"/>
      </patternFill>
    </fill>
    <fill>
      <patternFill patternType="solid">
        <fgColor indexed="22"/>
        <bgColor indexed="64"/>
      </patternFill>
    </fill>
    <fill>
      <patternFill patternType="solid">
        <fgColor indexed="44"/>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39997558519241921"/>
        <bgColor indexed="64"/>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style="dashed">
        <color indexed="64"/>
      </left>
      <right style="dashed">
        <color indexed="64"/>
      </right>
      <top style="dashed">
        <color indexed="64"/>
      </top>
      <bottom style="dashed">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s>
  <cellStyleXfs count="798">
    <xf numFmtId="0" fontId="0" fillId="0" borderId="0"/>
    <xf numFmtId="0" fontId="19" fillId="2" borderId="0" applyNumberFormat="0" applyBorder="0" applyAlignment="0" applyProtection="0"/>
    <xf numFmtId="43" fontId="26" fillId="0" borderId="0" applyFont="0" applyFill="0" applyBorder="0" applyAlignment="0" applyProtection="0"/>
    <xf numFmtId="166" fontId="19" fillId="0" borderId="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34" fillId="0" borderId="0" applyBorder="0" applyProtection="0">
      <alignment horizontal="left" wrapText="1" indent="1"/>
    </xf>
    <xf numFmtId="0" fontId="3" fillId="0" borderId="0"/>
    <xf numFmtId="167" fontId="39" fillId="0" borderId="0"/>
    <xf numFmtId="0" fontId="17" fillId="0" borderId="0" applyNumberFormat="0" applyFill="0" applyBorder="0" applyAlignment="0" applyProtection="0">
      <alignment vertical="top"/>
      <protection locked="0"/>
    </xf>
    <xf numFmtId="0" fontId="3" fillId="0" borderId="0"/>
    <xf numFmtId="0" fontId="26" fillId="0" borderId="0"/>
    <xf numFmtId="0" fontId="26" fillId="0" borderId="0"/>
    <xf numFmtId="0" fontId="26" fillId="0" borderId="0"/>
    <xf numFmtId="0" fontId="26" fillId="0" borderId="0"/>
    <xf numFmtId="0" fontId="3" fillId="0" borderId="0"/>
    <xf numFmtId="0" fontId="26" fillId="0" borderId="0"/>
    <xf numFmtId="0" fontId="26" fillId="0" borderId="0"/>
    <xf numFmtId="0" fontId="26" fillId="0" borderId="0"/>
    <xf numFmtId="0" fontId="26" fillId="0" borderId="0"/>
    <xf numFmtId="0" fontId="26" fillId="0" borderId="0"/>
    <xf numFmtId="0" fontId="26" fillId="0" borderId="0"/>
    <xf numFmtId="0" fontId="2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65" fontId="1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9" fillId="0" borderId="0"/>
    <xf numFmtId="0" fontId="3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8" fillId="0" borderId="0"/>
    <xf numFmtId="0" fontId="20"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8" fillId="0" borderId="0"/>
    <xf numFmtId="0" fontId="26" fillId="0" borderId="0"/>
    <xf numFmtId="0" fontId="26" fillId="0" borderId="0"/>
    <xf numFmtId="0" fontId="26" fillId="0" borderId="0"/>
    <xf numFmtId="0" fontId="3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5" fillId="0" borderId="0"/>
    <xf numFmtId="0" fontId="22" fillId="0" borderId="0"/>
    <xf numFmtId="0" fontId="3"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9"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 fillId="0" borderId="0"/>
    <xf numFmtId="0" fontId="3" fillId="0" borderId="0"/>
    <xf numFmtId="0" fontId="3" fillId="0" borderId="0"/>
    <xf numFmtId="0" fontId="3" fillId="0" borderId="0"/>
    <xf numFmtId="0" fontId="26" fillId="0" borderId="0"/>
    <xf numFmtId="0" fontId="3" fillId="0" borderId="0"/>
    <xf numFmtId="0" fontId="3" fillId="0" borderId="0"/>
    <xf numFmtId="0" fontId="3" fillId="0" borderId="0"/>
    <xf numFmtId="0" fontId="3" fillId="0" borderId="0"/>
    <xf numFmtId="0" fontId="3" fillId="0" borderId="0"/>
    <xf numFmtId="0" fontId="26" fillId="0" borderId="0"/>
    <xf numFmtId="0" fontId="26" fillId="0" borderId="0"/>
    <xf numFmtId="0" fontId="26" fillId="0" borderId="0"/>
    <xf numFmtId="0" fontId="26" fillId="0" borderId="0"/>
    <xf numFmtId="0" fontId="3" fillId="0" borderId="0"/>
    <xf numFmtId="0" fontId="26" fillId="0" borderId="0"/>
    <xf numFmtId="0" fontId="3" fillId="0" borderId="0"/>
    <xf numFmtId="0" fontId="26" fillId="0" borderId="0"/>
    <xf numFmtId="0" fontId="26" fillId="0" borderId="0"/>
    <xf numFmtId="0" fontId="3" fillId="0" borderId="0"/>
    <xf numFmtId="0" fontId="26" fillId="0" borderId="0"/>
    <xf numFmtId="0" fontId="26" fillId="0" borderId="0"/>
    <xf numFmtId="0" fontId="26" fillId="0" borderId="0"/>
    <xf numFmtId="0" fontId="26" fillId="0" borderId="0"/>
    <xf numFmtId="0" fontId="3" fillId="0" borderId="0"/>
    <xf numFmtId="0" fontId="40" fillId="0" borderId="0"/>
    <xf numFmtId="0" fontId="38" fillId="0" borderId="0"/>
    <xf numFmtId="0" fontId="38" fillId="0" borderId="0"/>
    <xf numFmtId="0" fontId="26" fillId="0" borderId="0"/>
    <xf numFmtId="0" fontId="26" fillId="0" borderId="0"/>
    <xf numFmtId="0" fontId="15" fillId="0" borderId="0"/>
    <xf numFmtId="0" fontId="38" fillId="0" borderId="0"/>
    <xf numFmtId="0" fontId="38" fillId="0" borderId="0"/>
    <xf numFmtId="0" fontId="3" fillId="0" borderId="0"/>
    <xf numFmtId="0" fontId="26" fillId="0" borderId="0" applyNumberFormat="0" applyFont="0" applyFill="0" applyBorder="0" applyAlignment="0" applyProtection="0">
      <alignment vertical="top"/>
    </xf>
    <xf numFmtId="0" fontId="26" fillId="0" borderId="0"/>
    <xf numFmtId="0" fontId="26" fillId="0" borderId="0"/>
    <xf numFmtId="0" fontId="24" fillId="3" borderId="1" applyNumberFormat="0" applyAlignment="0" applyProtection="0"/>
    <xf numFmtId="0" fontId="26" fillId="0" borderId="0"/>
    <xf numFmtId="0" fontId="25" fillId="0" borderId="0"/>
    <xf numFmtId="0" fontId="23" fillId="0" borderId="0"/>
    <xf numFmtId="0" fontId="23" fillId="0" borderId="0"/>
    <xf numFmtId="0" fontId="26" fillId="0" borderId="0"/>
    <xf numFmtId="0" fontId="23" fillId="0" borderId="0"/>
    <xf numFmtId="0" fontId="23" fillId="0" borderId="0"/>
    <xf numFmtId="0" fontId="2" fillId="0" borderId="0"/>
    <xf numFmtId="0" fontId="26" fillId="0" borderId="0"/>
    <xf numFmtId="0" fontId="48" fillId="0" borderId="0" applyNumberFormat="0" applyFill="0" applyBorder="0" applyProtection="0">
      <alignment vertical="top"/>
    </xf>
    <xf numFmtId="0" fontId="2" fillId="2" borderId="0" applyNumberFormat="0" applyBorder="0" applyAlignment="0" applyProtection="0"/>
    <xf numFmtId="43" fontId="26" fillId="0" borderId="0" applyFont="0" applyFill="0" applyBorder="0" applyAlignment="0" applyProtection="0"/>
    <xf numFmtId="166" fontId="2" fillId="0" borderId="0" applyFill="0" applyBorder="0" applyAlignment="0" applyProtection="0"/>
    <xf numFmtId="0" fontId="28"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04">
    <xf numFmtId="0" fontId="0" fillId="0" borderId="0" xfId="0"/>
    <xf numFmtId="0" fontId="0" fillId="0" borderId="0" xfId="0" applyAlignment="1">
      <alignment horizontal="left" vertical="center" wrapText="1"/>
    </xf>
    <xf numFmtId="0" fontId="41" fillId="0" borderId="0" xfId="0" applyFont="1"/>
    <xf numFmtId="0" fontId="0" fillId="0" borderId="0" xfId="0" applyAlignment="1">
      <alignment vertical="top" wrapText="1"/>
    </xf>
    <xf numFmtId="0" fontId="0" fillId="0" borderId="0" xfId="0" applyAlignment="1">
      <alignment horizontal="left" vertical="top" wrapText="1"/>
    </xf>
    <xf numFmtId="0" fontId="4" fillId="0" borderId="0" xfId="0" applyFont="1" applyAlignment="1">
      <alignment horizontal="left" vertical="top" wrapText="1"/>
    </xf>
    <xf numFmtId="0" fontId="4" fillId="0" borderId="0" xfId="0" applyFont="1" applyAlignment="1">
      <alignment vertical="top"/>
    </xf>
    <xf numFmtId="0" fontId="0" fillId="0" borderId="0" xfId="0" applyAlignment="1">
      <alignment vertical="top"/>
    </xf>
    <xf numFmtId="0" fontId="0" fillId="0" borderId="0" xfId="0" applyAlignment="1">
      <alignment horizontal="justify" vertical="top"/>
    </xf>
    <xf numFmtId="4" fontId="0" fillId="0" borderId="0" xfId="0" applyNumberFormat="1" applyAlignment="1">
      <alignment wrapText="1"/>
    </xf>
    <xf numFmtId="0" fontId="4" fillId="0" borderId="0" xfId="0" applyFont="1" applyAlignment="1">
      <alignment horizontal="center" vertical="top" wrapText="1"/>
    </xf>
    <xf numFmtId="4" fontId="0" fillId="0" borderId="0" xfId="0" applyNumberFormat="1" applyAlignment="1">
      <alignment horizontal="right" wrapText="1"/>
    </xf>
    <xf numFmtId="2" fontId="0" fillId="0" borderId="0" xfId="0" applyNumberFormat="1" applyAlignment="1">
      <alignment horizontal="right" wrapText="1"/>
    </xf>
    <xf numFmtId="169" fontId="0" fillId="0" borderId="0" xfId="0" applyNumberFormat="1" applyAlignment="1">
      <alignment horizontal="right" wrapText="1"/>
    </xf>
    <xf numFmtId="0" fontId="7" fillId="0" borderId="0" xfId="0" applyFont="1" applyAlignment="1">
      <alignment horizontal="left" vertical="top" wrapText="1"/>
    </xf>
    <xf numFmtId="1" fontId="4" fillId="0" borderId="0" xfId="0" applyNumberFormat="1" applyFont="1" applyAlignment="1">
      <alignment horizontal="center" vertical="top"/>
    </xf>
    <xf numFmtId="0" fontId="0" fillId="0" borderId="0" xfId="0" applyAlignment="1">
      <alignment horizontal="justify" vertical="top" wrapText="1"/>
    </xf>
    <xf numFmtId="0" fontId="0" fillId="0" borderId="0" xfId="0" applyAlignment="1">
      <alignment horizontal="left" vertical="top"/>
    </xf>
    <xf numFmtId="4" fontId="4" fillId="0" borderId="0" xfId="0" applyNumberFormat="1" applyFont="1" applyAlignment="1">
      <alignment horizontal="right"/>
    </xf>
    <xf numFmtId="170" fontId="4" fillId="0" borderId="0" xfId="0" applyNumberFormat="1" applyFont="1" applyAlignment="1">
      <alignment horizontal="right" vertical="center"/>
    </xf>
    <xf numFmtId="0" fontId="4" fillId="0" borderId="0" xfId="0" applyFont="1" applyAlignment="1">
      <alignment horizontal="center" vertical="top"/>
    </xf>
    <xf numFmtId="0" fontId="9" fillId="0" borderId="0" xfId="0" applyFont="1" applyAlignment="1">
      <alignment horizontal="center" vertical="top" wrapText="1"/>
    </xf>
    <xf numFmtId="0" fontId="10" fillId="0" borderId="0" xfId="0" applyFont="1" applyAlignment="1">
      <alignment horizontal="center" vertical="top"/>
    </xf>
    <xf numFmtId="0" fontId="5" fillId="0" borderId="0" xfId="0" applyFont="1" applyAlignment="1">
      <alignment horizontal="left" vertical="top" wrapText="1"/>
    </xf>
    <xf numFmtId="2" fontId="10" fillId="0" borderId="0" xfId="0" applyNumberFormat="1" applyFont="1" applyAlignment="1">
      <alignment horizontal="left" vertical="center"/>
    </xf>
    <xf numFmtId="0" fontId="5" fillId="0" borderId="0" xfId="0" applyFont="1" applyAlignment="1">
      <alignment horizontal="left" vertical="top"/>
    </xf>
    <xf numFmtId="0" fontId="11" fillId="0" borderId="0" xfId="0" applyFont="1" applyAlignment="1">
      <alignment horizontal="center" vertical="top"/>
    </xf>
    <xf numFmtId="4" fontId="5" fillId="0" borderId="0" xfId="0" applyNumberFormat="1" applyFont="1" applyAlignment="1">
      <alignment horizontal="right"/>
    </xf>
    <xf numFmtId="4" fontId="4" fillId="0" borderId="0" xfId="0" applyNumberFormat="1" applyFont="1" applyAlignment="1">
      <alignment horizontal="right" wrapText="1"/>
    </xf>
    <xf numFmtId="0" fontId="12" fillId="0" borderId="0" xfId="0" applyFont="1" applyAlignment="1">
      <alignment horizontal="left" vertical="top"/>
    </xf>
    <xf numFmtId="0" fontId="13" fillId="0" borderId="0" xfId="0" applyFont="1" applyAlignment="1">
      <alignment horizontal="left" vertical="top" wrapText="1"/>
    </xf>
    <xf numFmtId="0" fontId="14" fillId="0" borderId="0" xfId="0" applyFont="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left" vertical="top" wrapText="1"/>
    </xf>
    <xf numFmtId="0" fontId="42" fillId="0" borderId="0" xfId="0" applyFont="1" applyAlignment="1">
      <alignment horizontal="center" vertical="top"/>
    </xf>
    <xf numFmtId="4" fontId="41" fillId="0" borderId="0" xfId="0" applyNumberFormat="1" applyFont="1" applyAlignment="1">
      <alignment horizontal="right"/>
    </xf>
    <xf numFmtId="4" fontId="41" fillId="0" borderId="0" xfId="0" applyNumberFormat="1" applyFont="1"/>
    <xf numFmtId="0" fontId="4" fillId="3" borderId="4" xfId="0" applyFont="1" applyFill="1" applyBorder="1" applyAlignment="1">
      <alignment horizontal="left" vertical="top" wrapText="1"/>
    </xf>
    <xf numFmtId="0" fontId="4" fillId="3" borderId="2" xfId="0" applyFont="1" applyFill="1" applyBorder="1" applyAlignment="1">
      <alignment horizontal="center" vertical="top" wrapText="1"/>
    </xf>
    <xf numFmtId="4" fontId="4" fillId="3" borderId="6" xfId="0" applyNumberFormat="1" applyFont="1" applyFill="1" applyBorder="1" applyAlignment="1">
      <alignment horizontal="right" wrapText="1"/>
    </xf>
    <xf numFmtId="0" fontId="4" fillId="3" borderId="2" xfId="0" applyFont="1" applyFill="1" applyBorder="1" applyAlignment="1">
      <alignment horizontal="center" vertical="top"/>
    </xf>
    <xf numFmtId="0" fontId="4" fillId="3" borderId="3" xfId="0" applyFont="1" applyFill="1" applyBorder="1" applyAlignment="1">
      <alignment horizontal="justify" vertical="top" wrapText="1"/>
    </xf>
    <xf numFmtId="4" fontId="0" fillId="0" borderId="0" xfId="0" applyNumberFormat="1" applyAlignment="1">
      <alignment horizontal="right"/>
    </xf>
    <xf numFmtId="4" fontId="0" fillId="0" borderId="0" xfId="0" applyNumberFormat="1"/>
    <xf numFmtId="0" fontId="4" fillId="0" borderId="0" xfId="0" applyFont="1" applyAlignment="1">
      <alignment horizontal="justify" vertical="top" wrapText="1"/>
    </xf>
    <xf numFmtId="0" fontId="0" fillId="0" borderId="0" xfId="0" applyAlignment="1">
      <alignment horizontal="right"/>
    </xf>
    <xf numFmtId="0" fontId="0" fillId="0" borderId="0" xfId="0" quotePrefix="1" applyAlignment="1">
      <alignment vertical="top" wrapText="1"/>
    </xf>
    <xf numFmtId="0" fontId="27" fillId="0" borderId="0" xfId="0" applyFont="1"/>
    <xf numFmtId="0" fontId="27" fillId="0" borderId="0" xfId="0" applyFont="1" applyAlignment="1">
      <alignment horizontal="center" vertical="top" wrapText="1"/>
    </xf>
    <xf numFmtId="0" fontId="28" fillId="0" borderId="0" xfId="0" applyFont="1" applyAlignment="1">
      <alignment vertical="top" wrapText="1"/>
    </xf>
    <xf numFmtId="0" fontId="28" fillId="0" borderId="0" xfId="0" applyFont="1" applyAlignment="1">
      <alignment horizontal="left" vertical="top" wrapText="1"/>
    </xf>
    <xf numFmtId="0" fontId="4" fillId="0" borderId="0" xfId="0" applyFont="1" applyAlignment="1">
      <alignment horizontal="center"/>
    </xf>
    <xf numFmtId="4" fontId="26" fillId="0" borderId="0" xfId="0" applyNumberFormat="1" applyFont="1" applyAlignment="1">
      <alignment horizontal="right"/>
    </xf>
    <xf numFmtId="0" fontId="26" fillId="0" borderId="0" xfId="0" applyFont="1" applyAlignment="1">
      <alignment horizontal="justify" vertical="top" wrapText="1"/>
    </xf>
    <xf numFmtId="0" fontId="26" fillId="0" borderId="0" xfId="0" applyFont="1" applyAlignment="1">
      <alignment horizontal="left" vertical="top" wrapText="1"/>
    </xf>
    <xf numFmtId="0" fontId="26" fillId="0" borderId="0" xfId="0" applyFont="1" applyAlignment="1">
      <alignment vertical="top" wrapText="1"/>
    </xf>
    <xf numFmtId="4" fontId="26" fillId="0" borderId="0" xfId="0" applyNumberFormat="1" applyFont="1" applyAlignment="1">
      <alignment horizontal="right" wrapText="1"/>
    </xf>
    <xf numFmtId="0" fontId="26" fillId="0" borderId="0" xfId="0" applyFont="1"/>
    <xf numFmtId="0" fontId="26" fillId="0" borderId="0" xfId="0" applyFont="1" applyAlignment="1">
      <alignment vertical="top"/>
    </xf>
    <xf numFmtId="0" fontId="4" fillId="0" borderId="0" xfId="0" applyFont="1"/>
    <xf numFmtId="0" fontId="28" fillId="0" borderId="0" xfId="0" applyFont="1" applyAlignment="1">
      <alignment horizontal="justify" vertical="top" wrapText="1"/>
    </xf>
    <xf numFmtId="0" fontId="0" fillId="0" borderId="0" xfId="0" applyAlignment="1">
      <alignment horizontal="center"/>
    </xf>
    <xf numFmtId="0" fontId="0" fillId="0" borderId="0" xfId="0" applyAlignment="1">
      <alignment horizontal="center" wrapText="1"/>
    </xf>
    <xf numFmtId="0" fontId="26" fillId="0" borderId="0" xfId="0" applyFont="1" applyAlignment="1">
      <alignment horizontal="left" wrapText="1"/>
    </xf>
    <xf numFmtId="0" fontId="4" fillId="0" borderId="8" xfId="0" applyFont="1" applyBorder="1" applyAlignment="1">
      <alignment horizontal="left" vertical="top" wrapText="1"/>
    </xf>
    <xf numFmtId="0" fontId="26" fillId="0" borderId="0" xfId="0" applyFont="1" applyAlignment="1">
      <alignment horizontal="center" vertical="top" wrapText="1"/>
    </xf>
    <xf numFmtId="0" fontId="5" fillId="0" borderId="0" xfId="0" applyFont="1" applyAlignment="1">
      <alignment horizontal="center"/>
    </xf>
    <xf numFmtId="0" fontId="4" fillId="0" borderId="0" xfId="0" applyFont="1" applyAlignment="1">
      <alignment horizontal="center" wrapText="1"/>
    </xf>
    <xf numFmtId="0" fontId="41" fillId="0" borderId="0" xfId="0" applyFont="1" applyAlignment="1">
      <alignment horizontal="center"/>
    </xf>
    <xf numFmtId="0" fontId="26" fillId="0" borderId="0" xfId="0" applyFont="1" applyAlignment="1" applyProtection="1">
      <alignment horizontal="left" vertical="top" wrapText="1"/>
      <protection locked="0"/>
    </xf>
    <xf numFmtId="0" fontId="4" fillId="0" borderId="0" xfId="0" applyFont="1" applyAlignment="1">
      <alignment horizontal="right" wrapText="1"/>
    </xf>
    <xf numFmtId="0" fontId="4" fillId="0" borderId="0" xfId="0" applyFont="1" applyAlignment="1">
      <alignment vertical="top" wrapText="1"/>
    </xf>
    <xf numFmtId="0" fontId="4" fillId="0" borderId="9" xfId="0" applyFont="1" applyBorder="1" applyAlignment="1">
      <alignment horizontal="center" vertical="top" wrapText="1"/>
    </xf>
    <xf numFmtId="2" fontId="0" fillId="0" borderId="0" xfId="0" applyNumberFormat="1" applyAlignment="1">
      <alignment wrapText="1"/>
    </xf>
    <xf numFmtId="4" fontId="13" fillId="0" borderId="0" xfId="0" applyNumberFormat="1" applyFont="1" applyAlignment="1">
      <alignment horizontal="right" wrapText="1"/>
    </xf>
    <xf numFmtId="2" fontId="14" fillId="0" borderId="0" xfId="0" applyNumberFormat="1" applyFont="1" applyAlignment="1">
      <alignment wrapText="1"/>
    </xf>
    <xf numFmtId="4" fontId="14" fillId="0" borderId="0" xfId="0" applyNumberFormat="1" applyFont="1" applyAlignment="1">
      <alignment horizontal="right" wrapText="1"/>
    </xf>
    <xf numFmtId="4" fontId="14" fillId="0" borderId="0" xfId="0" applyNumberFormat="1" applyFont="1" applyAlignment="1" applyProtection="1">
      <alignment horizontal="right" wrapText="1"/>
      <protection locked="0"/>
    </xf>
    <xf numFmtId="2" fontId="14" fillId="0" borderId="0" xfId="0" applyNumberFormat="1" applyFont="1" applyAlignment="1" applyProtection="1">
      <alignment wrapText="1"/>
      <protection locked="0"/>
    </xf>
    <xf numFmtId="0" fontId="13" fillId="0" borderId="0" xfId="0" applyFont="1" applyAlignment="1">
      <alignment horizontal="center" vertical="top" wrapText="1"/>
    </xf>
    <xf numFmtId="172" fontId="13" fillId="0" borderId="0" xfId="0" applyNumberFormat="1" applyFont="1" applyAlignment="1">
      <alignment horizontal="center" vertical="top" wrapText="1"/>
    </xf>
    <xf numFmtId="2" fontId="14" fillId="0" borderId="0" xfId="0" applyNumberFormat="1" applyFont="1" applyAlignment="1">
      <alignment horizontal="right" wrapText="1"/>
    </xf>
    <xf numFmtId="2" fontId="14" fillId="0" borderId="0" xfId="0" applyNumberFormat="1" applyFont="1" applyAlignment="1">
      <alignment vertical="top" wrapText="1"/>
    </xf>
    <xf numFmtId="0" fontId="14" fillId="0" borderId="0" xfId="0" applyFont="1" applyAlignment="1">
      <alignment vertical="top" wrapText="1"/>
    </xf>
    <xf numFmtId="0" fontId="27" fillId="0" borderId="0" xfId="0" applyFont="1" applyAlignment="1">
      <alignment vertical="justify"/>
    </xf>
    <xf numFmtId="4" fontId="30" fillId="0" borderId="0" xfId="0" applyNumberFormat="1" applyFont="1" applyAlignment="1">
      <alignment horizontal="right" vertical="justify"/>
    </xf>
    <xf numFmtId="0" fontId="30" fillId="0" borderId="0" xfId="0" applyFont="1" applyAlignment="1">
      <alignment vertical="justify"/>
    </xf>
    <xf numFmtId="0" fontId="28" fillId="0" borderId="0" xfId="0" applyFont="1" applyAlignment="1">
      <alignment horizontal="justify" vertical="justify"/>
    </xf>
    <xf numFmtId="4" fontId="31" fillId="0" borderId="0" xfId="0" applyNumberFormat="1" applyFont="1" applyAlignment="1">
      <alignment horizontal="right"/>
    </xf>
    <xf numFmtId="0" fontId="31" fillId="0" borderId="0" xfId="0" applyFont="1"/>
    <xf numFmtId="0" fontId="32" fillId="0" borderId="0" xfId="0" applyFont="1" applyAlignment="1">
      <alignment horizontal="right" vertical="top"/>
    </xf>
    <xf numFmtId="0" fontId="32" fillId="0" borderId="0" xfId="0" applyFont="1" applyAlignment="1">
      <alignment vertical="top"/>
    </xf>
    <xf numFmtId="0" fontId="31" fillId="0" borderId="0" xfId="0" applyFont="1" applyAlignment="1">
      <alignment horizontal="right" vertical="top"/>
    </xf>
    <xf numFmtId="0" fontId="31" fillId="0" borderId="0" xfId="0" applyFont="1" applyAlignment="1">
      <alignment vertical="top"/>
    </xf>
    <xf numFmtId="4" fontId="31" fillId="0" borderId="0" xfId="0" applyNumberFormat="1" applyFont="1" applyAlignment="1">
      <alignment horizontal="right" vertical="top"/>
    </xf>
    <xf numFmtId="0" fontId="27" fillId="0" borderId="0" xfId="0" applyFont="1" applyAlignment="1">
      <alignment horizontal="justify" vertical="top" wrapText="1"/>
    </xf>
    <xf numFmtId="49" fontId="28" fillId="0" borderId="0" xfId="0" applyNumberFormat="1" applyFont="1" applyAlignment="1">
      <alignment vertical="top" wrapText="1"/>
    </xf>
    <xf numFmtId="49" fontId="31" fillId="0" borderId="0" xfId="0" applyNumberFormat="1" applyFont="1" applyAlignment="1">
      <alignment horizontal="right" vertical="top"/>
    </xf>
    <xf numFmtId="49" fontId="31" fillId="0" borderId="0" xfId="0" applyNumberFormat="1" applyFont="1" applyAlignment="1">
      <alignment vertical="top"/>
    </xf>
    <xf numFmtId="0" fontId="31" fillId="0" borderId="0" xfId="0" applyFont="1" applyAlignment="1">
      <alignment horizontal="justify" vertical="top"/>
    </xf>
    <xf numFmtId="0" fontId="27" fillId="0" borderId="0" xfId="0" applyFont="1" applyAlignment="1">
      <alignment horizontal="center" vertical="top"/>
    </xf>
    <xf numFmtId="4" fontId="30" fillId="0" borderId="0" xfId="0" applyNumberFormat="1" applyFont="1" applyAlignment="1">
      <alignment horizontal="right" vertical="top"/>
    </xf>
    <xf numFmtId="0" fontId="30" fillId="0" borderId="0" xfId="0" applyFont="1" applyAlignment="1">
      <alignment horizontal="center" vertical="top"/>
    </xf>
    <xf numFmtId="0" fontId="28" fillId="0" borderId="0" xfId="0" applyFont="1" applyAlignment="1">
      <alignment horizontal="justify" vertical="top"/>
    </xf>
    <xf numFmtId="0" fontId="31" fillId="0" borderId="0" xfId="0" applyFont="1" applyAlignment="1">
      <alignment horizontal="right" vertical="top" wrapText="1"/>
    </xf>
    <xf numFmtId="0" fontId="31" fillId="0" borderId="0" xfId="0" applyFont="1" applyAlignment="1">
      <alignment vertical="top" wrapText="1"/>
    </xf>
    <xf numFmtId="4" fontId="31" fillId="0" borderId="0" xfId="0" applyNumberFormat="1" applyFont="1" applyAlignment="1">
      <alignment horizontal="right" vertical="top" wrapText="1"/>
    </xf>
    <xf numFmtId="0" fontId="31" fillId="0" borderId="0" xfId="0" applyFont="1" applyAlignment="1">
      <alignment horizontal="justify" vertical="top" wrapText="1"/>
    </xf>
    <xf numFmtId="0" fontId="28" fillId="0" borderId="0" xfId="0" quotePrefix="1" applyFont="1" applyAlignment="1">
      <alignment vertical="top" wrapText="1"/>
    </xf>
    <xf numFmtId="0" fontId="28" fillId="0" borderId="0" xfId="0" quotePrefix="1" applyFont="1" applyAlignment="1">
      <alignment horizontal="justify" vertical="top" wrapText="1"/>
    </xf>
    <xf numFmtId="0" fontId="0" fillId="0" borderId="0" xfId="0" applyAlignment="1">
      <alignment horizontal="right" vertical="top" wrapText="1"/>
    </xf>
    <xf numFmtId="0" fontId="44" fillId="0" borderId="0" xfId="0" applyFont="1"/>
    <xf numFmtId="0" fontId="45" fillId="0" borderId="0" xfId="0" applyFont="1" applyAlignment="1">
      <alignment horizontal="center" vertical="top" wrapText="1"/>
    </xf>
    <xf numFmtId="0" fontId="13" fillId="0" borderId="0" xfId="0" applyFont="1" applyAlignment="1">
      <alignment horizontal="justify" vertical="justify" wrapText="1"/>
    </xf>
    <xf numFmtId="0" fontId="44" fillId="0" borderId="0" xfId="0" applyFont="1" applyAlignment="1">
      <alignment horizontal="center" wrapText="1"/>
    </xf>
    <xf numFmtId="4" fontId="44" fillId="0" borderId="0" xfId="0" applyNumberFormat="1" applyFont="1" applyAlignment="1">
      <alignment horizontal="right" wrapText="1"/>
    </xf>
    <xf numFmtId="0" fontId="44" fillId="0" borderId="0" xfId="0" applyFont="1" applyAlignment="1">
      <alignment vertical="top" wrapText="1"/>
    </xf>
    <xf numFmtId="49" fontId="0" fillId="0" borderId="0" xfId="0" applyNumberFormat="1" applyAlignment="1">
      <alignment horizontal="left" vertical="top"/>
    </xf>
    <xf numFmtId="4" fontId="33" fillId="0" borderId="0" xfId="0" applyNumberFormat="1" applyFont="1"/>
    <xf numFmtId="2" fontId="0" fillId="0" borderId="0" xfId="0" applyNumberFormat="1" applyAlignment="1">
      <alignment vertical="top" wrapText="1"/>
    </xf>
    <xf numFmtId="4" fontId="4" fillId="0" borderId="0" xfId="0" applyNumberFormat="1" applyFont="1" applyAlignment="1">
      <alignment wrapText="1"/>
    </xf>
    <xf numFmtId="4" fontId="0" fillId="0" borderId="0" xfId="0" applyNumberFormat="1" applyAlignment="1">
      <alignment vertical="top" wrapText="1"/>
    </xf>
    <xf numFmtId="4" fontId="4" fillId="0" borderId="0" xfId="0" applyNumberFormat="1" applyFont="1"/>
    <xf numFmtId="4" fontId="14" fillId="0" borderId="0" xfId="0" applyNumberFormat="1" applyFont="1" applyAlignment="1">
      <alignment wrapText="1"/>
    </xf>
    <xf numFmtId="4" fontId="14" fillId="0" borderId="0" xfId="0" applyNumberFormat="1" applyFont="1" applyAlignment="1" applyProtection="1">
      <alignment wrapText="1"/>
      <protection locked="0"/>
    </xf>
    <xf numFmtId="4" fontId="14" fillId="0" borderId="0" xfId="0" applyNumberFormat="1" applyFont="1" applyAlignment="1">
      <alignment vertical="top" wrapText="1"/>
    </xf>
    <xf numFmtId="4" fontId="30" fillId="0" borderId="0" xfId="0" applyNumberFormat="1" applyFont="1" applyAlignment="1">
      <alignment vertical="justify"/>
    </xf>
    <xf numFmtId="4" fontId="32" fillId="0" borderId="0" xfId="0" applyNumberFormat="1" applyFont="1" applyAlignment="1">
      <alignment vertical="top"/>
    </xf>
    <xf numFmtId="4" fontId="31" fillId="0" borderId="0" xfId="0" applyNumberFormat="1" applyFont="1" applyAlignment="1">
      <alignment vertical="top"/>
    </xf>
    <xf numFmtId="4" fontId="30" fillId="0" borderId="0" xfId="0" applyNumberFormat="1" applyFont="1" applyAlignment="1">
      <alignment vertical="top"/>
    </xf>
    <xf numFmtId="4" fontId="31" fillId="0" borderId="0" xfId="0" applyNumberFormat="1" applyFont="1" applyAlignment="1">
      <alignment vertical="top" wrapText="1"/>
    </xf>
    <xf numFmtId="4" fontId="4" fillId="0" borderId="0" xfId="0" applyNumberFormat="1" applyFont="1" applyAlignment="1">
      <alignment vertical="center"/>
    </xf>
    <xf numFmtId="4" fontId="10" fillId="0" borderId="0" xfId="0" applyNumberFormat="1" applyFont="1" applyAlignment="1">
      <alignment vertical="center"/>
    </xf>
    <xf numFmtId="4" fontId="5" fillId="0" borderId="0" xfId="0" applyNumberFormat="1" applyFont="1" applyAlignment="1">
      <alignment vertical="center"/>
    </xf>
    <xf numFmtId="4" fontId="10" fillId="0" borderId="0" xfId="0" applyNumberFormat="1" applyFont="1" applyAlignment="1">
      <alignment vertical="center" wrapText="1"/>
    </xf>
    <xf numFmtId="4" fontId="31" fillId="0" borderId="0" xfId="0" applyNumberFormat="1" applyFont="1"/>
    <xf numFmtId="4" fontId="44" fillId="0" borderId="0" xfId="0" applyNumberFormat="1" applyFont="1" applyAlignment="1">
      <alignment wrapText="1"/>
    </xf>
    <xf numFmtId="0" fontId="44" fillId="0" borderId="0" xfId="0" applyFont="1" applyAlignment="1">
      <alignment horizontal="right" vertical="top" wrapText="1"/>
    </xf>
    <xf numFmtId="1" fontId="0" fillId="0" borderId="0" xfId="0" applyNumberFormat="1" applyAlignment="1">
      <alignment horizontal="right"/>
    </xf>
    <xf numFmtId="2" fontId="4" fillId="0" borderId="0" xfId="0" applyNumberFormat="1" applyFont="1"/>
    <xf numFmtId="4" fontId="10" fillId="0" borderId="0" xfId="0" applyNumberFormat="1" applyFont="1"/>
    <xf numFmtId="2" fontId="10" fillId="0" borderId="0" xfId="0" applyNumberFormat="1" applyFont="1" applyAlignment="1">
      <alignment vertical="center"/>
    </xf>
    <xf numFmtId="4" fontId="5" fillId="0" borderId="0" xfId="0" applyNumberFormat="1" applyFont="1"/>
    <xf numFmtId="2" fontId="5" fillId="0" borderId="0" xfId="0" applyNumberFormat="1" applyFont="1" applyAlignment="1">
      <alignment vertical="center"/>
    </xf>
    <xf numFmtId="2" fontId="10" fillId="0" borderId="0" xfId="0" applyNumberFormat="1" applyFont="1" applyAlignment="1">
      <alignment vertical="center" wrapText="1"/>
    </xf>
    <xf numFmtId="0" fontId="5" fillId="0" borderId="0" xfId="0" applyFont="1" applyAlignment="1">
      <alignment horizontal="center" wrapText="1"/>
    </xf>
    <xf numFmtId="0" fontId="13" fillId="0" borderId="0" xfId="0" applyFont="1" applyAlignment="1">
      <alignment horizontal="center" wrapText="1"/>
    </xf>
    <xf numFmtId="0" fontId="14" fillId="0" borderId="0" xfId="0" applyFont="1" applyAlignment="1">
      <alignment horizontal="center" wrapText="1"/>
    </xf>
    <xf numFmtId="0" fontId="14" fillId="0" borderId="0" xfId="0" applyFont="1" applyAlignment="1" applyProtection="1">
      <alignment horizontal="center" wrapText="1"/>
      <protection locked="0"/>
    </xf>
    <xf numFmtId="0" fontId="30" fillId="0" borderId="0" xfId="0" applyFont="1" applyAlignment="1">
      <alignment horizontal="center"/>
    </xf>
    <xf numFmtId="0" fontId="31" fillId="0" borderId="0" xfId="0" applyFont="1" applyAlignment="1">
      <alignment horizontal="center"/>
    </xf>
    <xf numFmtId="0" fontId="32" fillId="0" borderId="0" xfId="0" applyFont="1" applyAlignment="1">
      <alignment horizontal="center"/>
    </xf>
    <xf numFmtId="49" fontId="31" fillId="0" borderId="0" xfId="0" applyNumberFormat="1" applyFont="1" applyAlignment="1">
      <alignment horizontal="center"/>
    </xf>
    <xf numFmtId="0" fontId="31" fillId="0" borderId="0" xfId="0" applyFont="1" applyAlignment="1">
      <alignment horizontal="center" wrapText="1"/>
    </xf>
    <xf numFmtId="2" fontId="0" fillId="0" borderId="0" xfId="0" applyNumberFormat="1" applyAlignment="1">
      <alignment horizontal="right" vertical="center" wrapText="1"/>
    </xf>
    <xf numFmtId="0" fontId="12" fillId="0" borderId="0" xfId="0" applyFont="1" applyAlignment="1">
      <alignment horizontal="right" wrapText="1"/>
    </xf>
    <xf numFmtId="4" fontId="12" fillId="0" borderId="0" xfId="0" applyNumberFormat="1" applyFont="1" applyAlignment="1">
      <alignment horizontal="right" wrapText="1"/>
    </xf>
    <xf numFmtId="0" fontId="12" fillId="0" borderId="0" xfId="0" applyFont="1" applyAlignment="1">
      <alignment horizontal="center" vertical="top" wrapText="1"/>
    </xf>
    <xf numFmtId="0" fontId="12" fillId="0" borderId="0" xfId="0" applyFont="1" applyAlignment="1">
      <alignment horizontal="center" vertical="center" wrapText="1"/>
    </xf>
    <xf numFmtId="0" fontId="12" fillId="0" borderId="0" xfId="0" applyFont="1" applyAlignment="1">
      <alignment horizontal="left" vertical="top" wrapText="1"/>
    </xf>
    <xf numFmtId="2" fontId="35" fillId="0" borderId="0" xfId="0" applyNumberFormat="1" applyFont="1" applyAlignment="1">
      <alignment horizontal="right" vertical="center" wrapText="1"/>
    </xf>
    <xf numFmtId="0" fontId="35" fillId="0" borderId="0" xfId="0" applyFont="1" applyAlignment="1">
      <alignment horizontal="center" vertical="top" wrapText="1"/>
    </xf>
    <xf numFmtId="0" fontId="35" fillId="0" borderId="0" xfId="0" applyFont="1" applyAlignment="1">
      <alignment horizontal="left" vertical="top" wrapText="1"/>
    </xf>
    <xf numFmtId="0" fontId="35" fillId="0" borderId="0" xfId="0" applyFont="1" applyAlignment="1">
      <alignment horizontal="right" wrapText="1"/>
    </xf>
    <xf numFmtId="173" fontId="0" fillId="0" borderId="0" xfId="0" applyNumberFormat="1"/>
    <xf numFmtId="174" fontId="0" fillId="0" borderId="0" xfId="0" applyNumberFormat="1" applyAlignment="1">
      <alignment horizontal="right" wrapText="1"/>
    </xf>
    <xf numFmtId="4" fontId="4" fillId="3" borderId="6" xfId="0" applyNumberFormat="1" applyFont="1" applyFill="1" applyBorder="1" applyAlignment="1">
      <alignment horizontal="left" wrapText="1"/>
    </xf>
    <xf numFmtId="171" fontId="4" fillId="0" borderId="0" xfId="0" applyNumberFormat="1" applyFont="1" applyAlignment="1">
      <alignment horizontal="right"/>
    </xf>
    <xf numFmtId="0" fontId="4" fillId="3" borderId="3" xfId="0" applyFont="1" applyFill="1" applyBorder="1" applyAlignment="1">
      <alignment horizontal="left" vertical="top" wrapText="1"/>
    </xf>
    <xf numFmtId="0" fontId="4" fillId="3" borderId="6" xfId="0" applyFont="1" applyFill="1" applyBorder="1" applyAlignment="1">
      <alignment horizontal="left" vertical="top" wrapText="1"/>
    </xf>
    <xf numFmtId="169" fontId="26" fillId="0" borderId="0" xfId="0" applyNumberFormat="1" applyFont="1" applyAlignment="1">
      <alignment horizontal="right" wrapText="1"/>
    </xf>
    <xf numFmtId="0" fontId="4" fillId="3" borderId="7" xfId="0" applyFont="1" applyFill="1" applyBorder="1" applyAlignment="1">
      <alignment horizontal="left" vertical="top" wrapText="1"/>
    </xf>
    <xf numFmtId="0" fontId="4" fillId="3" borderId="7" xfId="0" applyFont="1" applyFill="1" applyBorder="1" applyAlignment="1">
      <alignment horizontal="center" vertical="top" wrapText="1"/>
    </xf>
    <xf numFmtId="0" fontId="4" fillId="3" borderId="2" xfId="0" applyFont="1" applyFill="1" applyBorder="1" applyAlignment="1">
      <alignment horizontal="left" vertical="top" wrapText="1"/>
    </xf>
    <xf numFmtId="0" fontId="4" fillId="3" borderId="16" xfId="0" applyFont="1" applyFill="1" applyBorder="1" applyAlignment="1">
      <alignment horizontal="center" vertical="top" wrapText="1"/>
    </xf>
    <xf numFmtId="0" fontId="4" fillId="3" borderId="17" xfId="0" applyFont="1" applyFill="1" applyBorder="1" applyAlignment="1">
      <alignment horizontal="left" vertical="top" wrapText="1"/>
    </xf>
    <xf numFmtId="0" fontId="4" fillId="0" borderId="15" xfId="0" applyFont="1" applyBorder="1" applyAlignment="1">
      <alignment horizontal="center" vertical="top" wrapText="1"/>
    </xf>
    <xf numFmtId="0" fontId="4" fillId="0" borderId="9" xfId="0" applyFont="1" applyBorder="1" applyAlignment="1">
      <alignment horizontal="left" vertical="top" wrapText="1"/>
    </xf>
    <xf numFmtId="0" fontId="4" fillId="0" borderId="13" xfId="0" applyFont="1" applyBorder="1" applyAlignment="1">
      <alignment horizontal="center" vertical="top" wrapText="1"/>
    </xf>
    <xf numFmtId="4" fontId="4" fillId="3" borderId="7" xfId="0" applyNumberFormat="1" applyFont="1" applyFill="1" applyBorder="1" applyAlignment="1">
      <alignment horizontal="left" wrapText="1"/>
    </xf>
    <xf numFmtId="4" fontId="4" fillId="0" borderId="0" xfId="0" applyNumberFormat="1" applyFont="1" applyAlignment="1">
      <alignment horizontal="left" wrapText="1"/>
    </xf>
    <xf numFmtId="0" fontId="4" fillId="3" borderId="10" xfId="0" applyFont="1" applyFill="1" applyBorder="1" applyAlignment="1">
      <alignment horizontal="left" vertical="top" wrapText="1"/>
    </xf>
    <xf numFmtId="0" fontId="26" fillId="0" borderId="0" xfId="0" applyFont="1" applyAlignment="1">
      <alignment horizontal="right" vertical="top" wrapText="1"/>
    </xf>
    <xf numFmtId="0" fontId="36" fillId="0" borderId="0" xfId="0" applyFont="1" applyAlignment="1">
      <alignment vertical="top"/>
    </xf>
    <xf numFmtId="0" fontId="40" fillId="0" borderId="0" xfId="0" applyFont="1" applyAlignment="1">
      <alignment horizontal="center" wrapText="1"/>
    </xf>
    <xf numFmtId="0" fontId="4" fillId="3" borderId="12" xfId="0" applyFont="1" applyFill="1" applyBorder="1" applyAlignment="1">
      <alignment horizontal="center" vertical="top" wrapText="1"/>
    </xf>
    <xf numFmtId="0" fontId="4" fillId="3" borderId="13" xfId="0" applyFont="1" applyFill="1" applyBorder="1" applyAlignment="1">
      <alignment horizontal="left" vertical="top" wrapText="1"/>
    </xf>
    <xf numFmtId="0" fontId="26" fillId="0" borderId="0" xfId="0" applyFont="1" applyAlignment="1">
      <alignment horizontal="right" wrapText="1"/>
    </xf>
    <xf numFmtId="0" fontId="4" fillId="0" borderId="0" xfId="15" applyFont="1" applyAlignment="1">
      <alignment horizontal="left" vertical="top" wrapText="1"/>
    </xf>
    <xf numFmtId="0" fontId="26" fillId="0" borderId="0" xfId="15" applyAlignment="1">
      <alignment horizontal="right" wrapText="1"/>
    </xf>
    <xf numFmtId="4" fontId="26" fillId="0" borderId="0" xfId="15" applyNumberFormat="1" applyAlignment="1">
      <alignment horizontal="right" wrapText="1"/>
    </xf>
    <xf numFmtId="0" fontId="26" fillId="4" borderId="0" xfId="0" applyFont="1" applyFill="1" applyAlignment="1">
      <alignment horizontal="left" vertical="top" wrapText="1"/>
    </xf>
    <xf numFmtId="0" fontId="4" fillId="0" borderId="0" xfId="0" applyFont="1" applyAlignment="1">
      <alignment horizontal="right"/>
    </xf>
    <xf numFmtId="49" fontId="6" fillId="0" borderId="0" xfId="0" applyNumberFormat="1" applyFont="1" applyAlignment="1">
      <alignment vertical="top" wrapText="1"/>
    </xf>
    <xf numFmtId="0" fontId="0" fillId="0" borderId="0" xfId="0" applyAlignment="1">
      <alignment horizontal="right" wrapText="1"/>
    </xf>
    <xf numFmtId="0" fontId="26" fillId="0" borderId="0" xfId="0" applyFont="1" applyAlignment="1">
      <alignment horizontal="right"/>
    </xf>
    <xf numFmtId="0" fontId="36" fillId="0" borderId="0" xfId="0" applyFont="1" applyAlignment="1">
      <alignment horizontal="right"/>
    </xf>
    <xf numFmtId="174" fontId="0" fillId="0" borderId="0" xfId="0" applyNumberFormat="1" applyAlignment="1">
      <alignment horizontal="right"/>
    </xf>
    <xf numFmtId="173" fontId="0" fillId="0" borderId="0" xfId="0" applyNumberFormat="1" applyAlignment="1">
      <alignment wrapText="1"/>
    </xf>
    <xf numFmtId="0" fontId="37" fillId="0" borderId="0" xfId="0" applyFont="1" applyAlignment="1">
      <alignment horizontal="center" vertical="top" wrapText="1"/>
    </xf>
    <xf numFmtId="0" fontId="4" fillId="3" borderId="4" xfId="0" applyFont="1" applyFill="1" applyBorder="1" applyAlignment="1">
      <alignment horizontal="right" wrapText="1"/>
    </xf>
    <xf numFmtId="0" fontId="4" fillId="3" borderId="6" xfId="0" applyFont="1" applyFill="1" applyBorder="1" applyAlignment="1">
      <alignment horizontal="right" wrapText="1"/>
    </xf>
    <xf numFmtId="0" fontId="28" fillId="0" borderId="0" xfId="0" applyFont="1" applyAlignment="1">
      <alignment horizontal="right" wrapText="1"/>
    </xf>
    <xf numFmtId="164" fontId="4" fillId="3" borderId="2" xfId="4" applyFont="1" applyFill="1" applyBorder="1" applyAlignment="1">
      <alignment horizontal="right" wrapText="1"/>
    </xf>
    <xf numFmtId="164" fontId="4" fillId="3" borderId="17" xfId="4" applyFont="1" applyFill="1" applyBorder="1" applyAlignment="1">
      <alignment horizontal="right" wrapText="1"/>
    </xf>
    <xf numFmtId="0" fontId="46" fillId="0" borderId="0" xfId="0" applyFont="1" applyAlignment="1">
      <alignment horizontal="right"/>
    </xf>
    <xf numFmtId="0" fontId="26" fillId="0" borderId="0" xfId="15" applyAlignment="1">
      <alignment horizontal="left" vertical="top" wrapText="1"/>
    </xf>
    <xf numFmtId="4" fontId="47" fillId="0" borderId="0" xfId="0" applyNumberFormat="1" applyFont="1" applyAlignment="1">
      <alignment horizontal="center"/>
    </xf>
    <xf numFmtId="174" fontId="40" fillId="0" borderId="0" xfId="0" applyNumberFormat="1" applyFont="1" applyAlignment="1">
      <alignment horizontal="right" wrapText="1"/>
    </xf>
    <xf numFmtId="173" fontId="40" fillId="0" borderId="0" xfId="0" applyNumberFormat="1" applyFont="1" applyAlignment="1">
      <alignment wrapText="1"/>
    </xf>
    <xf numFmtId="4" fontId="40" fillId="0" borderId="0" xfId="0" applyNumberFormat="1" applyFont="1" applyAlignment="1">
      <alignment wrapText="1"/>
    </xf>
    <xf numFmtId="173" fontId="0" fillId="0" borderId="0" xfId="0" applyNumberFormat="1" applyAlignment="1">
      <alignment horizontal="left" vertical="top" wrapText="1"/>
    </xf>
    <xf numFmtId="0" fontId="40" fillId="0" borderId="0" xfId="0" applyFont="1" applyAlignment="1">
      <alignment horizontal="left" vertical="top" wrapText="1"/>
    </xf>
    <xf numFmtId="174" fontId="40" fillId="0" borderId="0" xfId="0" applyNumberFormat="1" applyFont="1" applyAlignment="1">
      <alignment horizontal="left" wrapText="1"/>
    </xf>
    <xf numFmtId="49" fontId="4" fillId="0" borderId="0" xfId="0" applyNumberFormat="1" applyFont="1" applyAlignment="1">
      <alignment horizontal="center" vertical="top" wrapText="1"/>
    </xf>
    <xf numFmtId="174" fontId="0" fillId="0" borderId="0" xfId="0" applyNumberFormat="1" applyAlignment="1" applyProtection="1">
      <alignment horizontal="right" wrapText="1"/>
      <protection locked="0"/>
    </xf>
    <xf numFmtId="0" fontId="43" fillId="0" borderId="0" xfId="0" applyFont="1" applyAlignment="1">
      <alignment horizontal="left" vertical="top" wrapText="1"/>
    </xf>
    <xf numFmtId="0" fontId="0" fillId="0" borderId="0" xfId="15" applyFont="1" applyAlignment="1">
      <alignment horizontal="left" vertical="top" wrapText="1"/>
    </xf>
    <xf numFmtId="0" fontId="4" fillId="0" borderId="0" xfId="0" applyFont="1" applyAlignment="1">
      <alignment horizontal="left" vertical="top"/>
    </xf>
    <xf numFmtId="4" fontId="4" fillId="3" borderId="4" xfId="0" applyNumberFormat="1" applyFont="1" applyFill="1" applyBorder="1" applyAlignment="1">
      <alignment wrapText="1"/>
    </xf>
    <xf numFmtId="4" fontId="4" fillId="3" borderId="6" xfId="0" applyNumberFormat="1" applyFont="1" applyFill="1" applyBorder="1" applyAlignment="1">
      <alignment wrapText="1"/>
    </xf>
    <xf numFmtId="4" fontId="26" fillId="0" borderId="0" xfId="0" applyNumberFormat="1" applyFont="1"/>
    <xf numFmtId="4" fontId="26" fillId="0" borderId="0" xfId="0" applyNumberFormat="1" applyFont="1" applyAlignment="1">
      <alignment wrapText="1"/>
    </xf>
    <xf numFmtId="4" fontId="43" fillId="0" borderId="0" xfId="0" applyNumberFormat="1" applyFont="1" applyAlignment="1">
      <alignment vertical="top" wrapText="1"/>
    </xf>
    <xf numFmtId="4" fontId="43" fillId="0" borderId="0" xfId="0" applyNumberFormat="1" applyFont="1" applyAlignment="1">
      <alignment wrapText="1"/>
    </xf>
    <xf numFmtId="4" fontId="4" fillId="0" borderId="0" xfId="762" applyNumberFormat="1" applyFont="1"/>
    <xf numFmtId="4" fontId="4" fillId="3" borderId="0" xfId="0" applyNumberFormat="1" applyFont="1" applyFill="1" applyAlignment="1">
      <alignment wrapText="1"/>
    </xf>
    <xf numFmtId="4" fontId="49" fillId="0" borderId="0" xfId="0" applyNumberFormat="1" applyFont="1" applyAlignment="1">
      <alignment horizontal="right" wrapText="1"/>
    </xf>
    <xf numFmtId="4" fontId="28" fillId="0" borderId="0" xfId="0" applyNumberFormat="1" applyFont="1" applyAlignment="1">
      <alignment horizontal="right" wrapText="1"/>
    </xf>
    <xf numFmtId="4" fontId="53" fillId="0" borderId="0" xfId="0" applyNumberFormat="1" applyFont="1" applyAlignment="1">
      <alignment horizontal="right" wrapText="1"/>
    </xf>
    <xf numFmtId="40" fontId="26" fillId="0" borderId="0" xfId="0" applyNumberFormat="1" applyFont="1" applyAlignment="1">
      <alignment horizontal="right" wrapText="1"/>
    </xf>
    <xf numFmtId="40" fontId="49" fillId="0" borderId="0" xfId="0" applyNumberFormat="1" applyFont="1" applyAlignment="1">
      <alignment horizontal="right" wrapText="1"/>
    </xf>
    <xf numFmtId="4" fontId="36" fillId="0" borderId="0" xfId="0" applyNumberFormat="1" applyFont="1" applyAlignment="1">
      <alignment horizontal="left"/>
    </xf>
    <xf numFmtId="4" fontId="49" fillId="0" borderId="0" xfId="0" applyNumberFormat="1" applyFont="1" applyAlignment="1">
      <alignment horizontal="right"/>
    </xf>
    <xf numFmtId="4" fontId="28" fillId="0" borderId="0" xfId="0" applyNumberFormat="1" applyFont="1" applyAlignment="1">
      <alignment wrapText="1"/>
    </xf>
    <xf numFmtId="0" fontId="28" fillId="0" borderId="0" xfId="0" applyFont="1" applyAlignment="1">
      <alignment horizontal="right" vertical="top" wrapText="1"/>
    </xf>
    <xf numFmtId="2" fontId="0" fillId="0" borderId="0" xfId="0" applyNumberFormat="1" applyAlignment="1">
      <alignment horizontal="right"/>
    </xf>
    <xf numFmtId="0" fontId="0" fillId="0" borderId="0" xfId="0" applyAlignment="1">
      <alignment horizontal="left" wrapText="1"/>
    </xf>
    <xf numFmtId="2" fontId="49" fillId="0" borderId="0" xfId="0" applyNumberFormat="1" applyFont="1" applyAlignment="1">
      <alignment horizontal="right"/>
    </xf>
    <xf numFmtId="174" fontId="0" fillId="0" borderId="0" xfId="0" applyNumberFormat="1" applyAlignment="1">
      <alignment horizontal="left" wrapText="1"/>
    </xf>
    <xf numFmtId="174" fontId="0" fillId="3" borderId="4" xfId="0" applyNumberFormat="1" applyFill="1" applyBorder="1" applyAlignment="1">
      <alignment horizontal="right" wrapText="1"/>
    </xf>
    <xf numFmtId="4" fontId="0" fillId="3" borderId="6" xfId="0" applyNumberFormat="1" applyFill="1" applyBorder="1" applyAlignment="1">
      <alignment horizontal="right" wrapText="1"/>
    </xf>
    <xf numFmtId="169" fontId="0" fillId="0" borderId="0" xfId="0" applyNumberFormat="1" applyAlignment="1">
      <alignment horizontal="right"/>
    </xf>
    <xf numFmtId="49" fontId="0" fillId="0" borderId="0" xfId="0" applyNumberFormat="1" applyAlignment="1">
      <alignment vertical="top"/>
    </xf>
    <xf numFmtId="49" fontId="0" fillId="0" borderId="0" xfId="0" applyNumberFormat="1" applyAlignment="1">
      <alignment horizontal="right"/>
    </xf>
    <xf numFmtId="49" fontId="0" fillId="0" borderId="0" xfId="0" applyNumberFormat="1"/>
    <xf numFmtId="49" fontId="0" fillId="0" borderId="0" xfId="0" applyNumberFormat="1" applyAlignment="1">
      <alignment vertical="top" wrapText="1"/>
    </xf>
    <xf numFmtId="169" fontId="0" fillId="0" borderId="0" xfId="0" applyNumberFormat="1" applyAlignment="1">
      <alignment wrapText="1"/>
    </xf>
    <xf numFmtId="0" fontId="0" fillId="0" borderId="7" xfId="0" applyBorder="1" applyAlignment="1">
      <alignment horizontal="justify" vertical="top" wrapText="1"/>
    </xf>
    <xf numFmtId="40" fontId="0" fillId="0" borderId="0" xfId="0" applyNumberFormat="1" applyAlignment="1">
      <alignment wrapText="1"/>
    </xf>
    <xf numFmtId="0" fontId="0" fillId="0" borderId="0" xfId="0" applyAlignment="1">
      <alignment wrapText="1"/>
    </xf>
    <xf numFmtId="169" fontId="0" fillId="0" borderId="0" xfId="0" applyNumberFormat="1" applyAlignment="1">
      <alignment horizontal="center" wrapText="1"/>
    </xf>
    <xf numFmtId="0" fontId="0" fillId="3" borderId="6" xfId="0" applyFill="1" applyBorder="1" applyAlignment="1">
      <alignment horizontal="right" wrapText="1"/>
    </xf>
    <xf numFmtId="4" fontId="0" fillId="3" borderId="6" xfId="0" applyNumberFormat="1" applyFill="1" applyBorder="1" applyAlignment="1">
      <alignment wrapText="1"/>
    </xf>
    <xf numFmtId="0" fontId="0" fillId="3" borderId="2" xfId="0" applyFill="1" applyBorder="1" applyAlignment="1">
      <alignment horizontal="right" wrapText="1"/>
    </xf>
    <xf numFmtId="0" fontId="0" fillId="3" borderId="17" xfId="0" applyFill="1" applyBorder="1" applyAlignment="1">
      <alignment horizontal="right" wrapText="1"/>
    </xf>
    <xf numFmtId="4" fontId="0" fillId="3" borderId="0" xfId="0" applyNumberFormat="1" applyFill="1" applyAlignment="1">
      <alignment wrapText="1"/>
    </xf>
    <xf numFmtId="4" fontId="0" fillId="3" borderId="0" xfId="0" applyNumberFormat="1" applyFill="1" applyAlignment="1">
      <alignment horizontal="right" wrapText="1"/>
    </xf>
    <xf numFmtId="0" fontId="0" fillId="3" borderId="13" xfId="0" applyFill="1" applyBorder="1" applyAlignment="1">
      <alignment horizontal="right" wrapText="1"/>
    </xf>
    <xf numFmtId="4" fontId="0" fillId="3" borderId="8" xfId="0" applyNumberFormat="1" applyFill="1" applyBorder="1" applyAlignment="1">
      <alignment wrapText="1"/>
    </xf>
    <xf numFmtId="4" fontId="0" fillId="3" borderId="8" xfId="0" applyNumberFormat="1" applyFill="1" applyBorder="1" applyAlignment="1">
      <alignment horizontal="right" wrapText="1"/>
    </xf>
    <xf numFmtId="174" fontId="0" fillId="0" borderId="0" xfId="0" applyNumberFormat="1" applyAlignment="1" applyProtection="1">
      <alignment horizontal="left" wrapText="1"/>
      <protection locked="0"/>
    </xf>
    <xf numFmtId="174" fontId="0" fillId="0" borderId="0" xfId="0" applyNumberFormat="1" applyAlignment="1" applyProtection="1">
      <alignment horizontal="center" wrapText="1"/>
      <protection locked="0"/>
    </xf>
    <xf numFmtId="0" fontId="0" fillId="0" borderId="0" xfId="15" applyFont="1" applyAlignment="1">
      <alignment horizontal="right" wrapText="1"/>
    </xf>
    <xf numFmtId="4" fontId="0" fillId="0" borderId="0" xfId="15" applyNumberFormat="1" applyFont="1" applyAlignment="1">
      <alignment wrapText="1"/>
    </xf>
    <xf numFmtId="4" fontId="0" fillId="0" borderId="0" xfId="15" applyNumberFormat="1" applyFont="1" applyAlignment="1">
      <alignment horizontal="right" wrapText="1"/>
    </xf>
    <xf numFmtId="0" fontId="0" fillId="4" borderId="0" xfId="0" applyFill="1" applyAlignment="1">
      <alignment horizontal="left" vertical="top" wrapText="1"/>
    </xf>
    <xf numFmtId="40" fontId="0" fillId="0" borderId="0" xfId="0" applyNumberFormat="1" applyAlignment="1">
      <alignment horizontal="right" wrapText="1"/>
    </xf>
    <xf numFmtId="0" fontId="4" fillId="0" borderId="0" xfId="762" applyFont="1" applyAlignment="1">
      <alignment horizontal="left" vertical="center" wrapText="1"/>
    </xf>
    <xf numFmtId="0" fontId="4" fillId="0" borderId="0" xfId="762" applyFont="1" applyAlignment="1">
      <alignment horizontal="right"/>
    </xf>
    <xf numFmtId="4" fontId="4" fillId="0" borderId="0" xfId="762" applyNumberFormat="1" applyFont="1" applyAlignment="1">
      <alignment horizontal="center"/>
    </xf>
    <xf numFmtId="4" fontId="0" fillId="3" borderId="3" xfId="0" applyNumberFormat="1" applyFill="1" applyBorder="1" applyAlignment="1">
      <alignment horizontal="right" wrapText="1"/>
    </xf>
    <xf numFmtId="4" fontId="0" fillId="3" borderId="14" xfId="0" applyNumberFormat="1" applyFill="1" applyBorder="1" applyAlignment="1">
      <alignment horizontal="right" wrapText="1"/>
    </xf>
    <xf numFmtId="0" fontId="0" fillId="3" borderId="7" xfId="0" applyFill="1" applyBorder="1" applyAlignment="1">
      <alignment horizontal="right" wrapText="1"/>
    </xf>
    <xf numFmtId="4" fontId="0" fillId="3" borderId="7" xfId="0" applyNumberFormat="1" applyFill="1" applyBorder="1" applyAlignment="1">
      <alignment wrapText="1"/>
    </xf>
    <xf numFmtId="4" fontId="0" fillId="3" borderId="7" xfId="0" applyNumberFormat="1" applyFill="1" applyBorder="1" applyAlignment="1">
      <alignment horizontal="right" wrapText="1"/>
    </xf>
    <xf numFmtId="0" fontId="0" fillId="3" borderId="4" xfId="0" applyFill="1" applyBorder="1" applyAlignment="1">
      <alignment horizontal="right" vertical="top" wrapText="1"/>
    </xf>
    <xf numFmtId="4" fontId="0" fillId="3" borderId="4" xfId="0" applyNumberFormat="1" applyFill="1" applyBorder="1" applyAlignment="1">
      <alignment horizontal="right" wrapText="1"/>
    </xf>
    <xf numFmtId="174" fontId="0" fillId="0" borderId="0" xfId="0" applyNumberFormat="1"/>
    <xf numFmtId="0" fontId="50" fillId="0" borderId="5" xfId="0" applyFont="1" applyBorder="1" applyAlignment="1">
      <alignment horizontal="center" vertical="top" wrapText="1"/>
    </xf>
    <xf numFmtId="0" fontId="6" fillId="0" borderId="5" xfId="0" applyFont="1" applyBorder="1" applyAlignment="1">
      <alignment horizontal="center" vertical="top" wrapText="1"/>
    </xf>
    <xf numFmtId="0" fontId="6" fillId="0" borderId="5" xfId="0" applyFont="1" applyBorder="1" applyAlignment="1">
      <alignment horizontal="right" wrapText="1"/>
    </xf>
    <xf numFmtId="4" fontId="6" fillId="0" borderId="5" xfId="0" applyNumberFormat="1" applyFont="1" applyBorder="1" applyAlignment="1">
      <alignment vertical="top" wrapText="1"/>
    </xf>
    <xf numFmtId="174" fontId="6" fillId="0" borderId="5" xfId="0" applyNumberFormat="1" applyFont="1" applyBorder="1" applyAlignment="1">
      <alignment horizontal="center" wrapText="1"/>
    </xf>
    <xf numFmtId="175" fontId="6" fillId="0" borderId="5" xfId="0" applyNumberFormat="1" applyFont="1" applyBorder="1" applyAlignment="1">
      <alignment horizontal="center" vertical="top" wrapText="1"/>
    </xf>
    <xf numFmtId="0" fontId="6" fillId="0" borderId="0" xfId="0" applyFont="1" applyAlignment="1">
      <alignment vertical="top" wrapText="1"/>
    </xf>
    <xf numFmtId="0" fontId="50" fillId="0" borderId="0" xfId="0"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right" wrapText="1"/>
    </xf>
    <xf numFmtId="4" fontId="6" fillId="0" borderId="0" xfId="0" applyNumberFormat="1" applyFont="1" applyAlignment="1">
      <alignment wrapText="1"/>
    </xf>
    <xf numFmtId="174" fontId="6" fillId="0" borderId="0" xfId="0" applyNumberFormat="1" applyFont="1" applyAlignment="1">
      <alignment horizontal="right" wrapText="1"/>
    </xf>
    <xf numFmtId="175" fontId="6" fillId="0" borderId="0" xfId="0" applyNumberFormat="1" applyFont="1" applyAlignment="1">
      <alignment vertical="top" wrapText="1"/>
    </xf>
    <xf numFmtId="0" fontId="40" fillId="0" borderId="0" xfId="0" applyFont="1" applyAlignment="1">
      <alignment horizontal="left" wrapText="1"/>
    </xf>
    <xf numFmtId="0" fontId="55" fillId="0" borderId="0" xfId="0" applyFont="1" applyAlignment="1">
      <alignment horizontal="left" vertical="top" wrapText="1"/>
    </xf>
    <xf numFmtId="0" fontId="4" fillId="0" borderId="0" xfId="15" applyFont="1" applyAlignment="1">
      <alignment horizontal="center" vertical="top" wrapText="1"/>
    </xf>
    <xf numFmtId="0" fontId="26" fillId="0" borderId="0" xfId="15" applyAlignment="1">
      <alignment horizontal="right" vertical="top" wrapText="1"/>
    </xf>
    <xf numFmtId="2" fontId="26" fillId="0" borderId="0" xfId="0" applyNumberFormat="1" applyFont="1" applyAlignment="1">
      <alignment horizontal="right"/>
    </xf>
    <xf numFmtId="0" fontId="26" fillId="0" borderId="0" xfId="0" applyFont="1" applyAlignment="1">
      <alignment horizontal="right" vertical="top"/>
    </xf>
    <xf numFmtId="171" fontId="26" fillId="0" borderId="0" xfId="0" applyNumberFormat="1" applyFont="1" applyAlignment="1">
      <alignment horizontal="right"/>
    </xf>
    <xf numFmtId="0" fontId="13" fillId="0" borderId="0" xfId="0" applyFont="1" applyAlignment="1">
      <alignment horizontal="justify" vertical="top" wrapText="1"/>
    </xf>
    <xf numFmtId="0" fontId="14" fillId="0" borderId="0" xfId="0" applyFont="1" applyAlignment="1">
      <alignment horizontal="justify" vertical="top" wrapText="1"/>
    </xf>
    <xf numFmtId="4" fontId="40" fillId="0" borderId="0" xfId="0" applyNumberFormat="1" applyFont="1" applyAlignment="1">
      <alignment horizontal="right" wrapText="1"/>
    </xf>
    <xf numFmtId="0" fontId="0" fillId="0" borderId="0" xfId="15" applyFont="1" applyAlignment="1">
      <alignment horizontal="right" vertical="top" wrapText="1"/>
    </xf>
    <xf numFmtId="0" fontId="26" fillId="0" borderId="0" xfId="15" applyAlignment="1">
      <alignment horizontal="right"/>
    </xf>
    <xf numFmtId="4" fontId="26" fillId="0" borderId="0" xfId="15" applyNumberFormat="1" applyAlignment="1">
      <alignment horizontal="right"/>
    </xf>
    <xf numFmtId="0" fontId="26" fillId="0" borderId="0" xfId="15" applyAlignment="1">
      <alignment horizontal="justify" vertical="top" wrapText="1"/>
    </xf>
    <xf numFmtId="0" fontId="4" fillId="0" borderId="0" xfId="15" applyFont="1" applyAlignment="1">
      <alignment horizontal="center" vertical="top"/>
    </xf>
    <xf numFmtId="0" fontId="26" fillId="0" borderId="0" xfId="15" applyAlignment="1">
      <alignment horizontal="justify" vertical="justify" wrapText="1"/>
    </xf>
    <xf numFmtId="2" fontId="26" fillId="0" borderId="0" xfId="15" applyNumberFormat="1" applyAlignment="1">
      <alignment horizontal="right"/>
    </xf>
    <xf numFmtId="0" fontId="0" fillId="0" borderId="0" xfId="15" applyFont="1" applyAlignment="1">
      <alignment horizontal="right"/>
    </xf>
    <xf numFmtId="0" fontId="0" fillId="0" borderId="0" xfId="15" applyFont="1" applyAlignment="1">
      <alignment horizontal="left" wrapText="1"/>
    </xf>
    <xf numFmtId="0" fontId="0" fillId="0" borderId="0" xfId="15" applyFont="1" applyAlignment="1">
      <alignment horizontal="justify" vertical="justify" wrapText="1"/>
    </xf>
    <xf numFmtId="0" fontId="40" fillId="0" borderId="0" xfId="0" applyFont="1" applyAlignment="1">
      <alignment horizontal="right" wrapText="1"/>
    </xf>
    <xf numFmtId="0" fontId="43" fillId="0" borderId="0" xfId="0" applyFont="1" applyAlignment="1">
      <alignment horizontal="right" wrapText="1"/>
    </xf>
    <xf numFmtId="0" fontId="43" fillId="0" borderId="0" xfId="0" applyFont="1" applyAlignment="1">
      <alignment horizontal="right"/>
    </xf>
    <xf numFmtId="0" fontId="40" fillId="0" borderId="0" xfId="0" applyFont="1"/>
    <xf numFmtId="0" fontId="40" fillId="0" borderId="0" xfId="0" applyFont="1" applyAlignment="1">
      <alignment horizontal="justify" vertical="top" wrapText="1"/>
    </xf>
    <xf numFmtId="0" fontId="4" fillId="0" borderId="0" xfId="764" applyFont="1" applyAlignment="1">
      <alignment horizontal="center" vertical="top"/>
    </xf>
    <xf numFmtId="2" fontId="26" fillId="0" borderId="0" xfId="15" applyNumberFormat="1" applyAlignment="1">
      <alignment horizontal="right" wrapText="1"/>
    </xf>
    <xf numFmtId="171" fontId="26" fillId="0" borderId="0" xfId="15" applyNumberFormat="1" applyAlignment="1">
      <alignment horizontal="right"/>
    </xf>
    <xf numFmtId="0" fontId="26" fillId="0" borderId="0" xfId="15" applyAlignment="1">
      <alignment vertical="top"/>
    </xf>
    <xf numFmtId="0" fontId="26" fillId="0" borderId="0" xfId="15" applyAlignment="1">
      <alignment horizontal="right" vertical="top"/>
    </xf>
    <xf numFmtId="4" fontId="58" fillId="0" borderId="0" xfId="0" applyNumberFormat="1" applyFont="1" applyAlignment="1">
      <alignment horizontal="right"/>
    </xf>
    <xf numFmtId="0" fontId="36" fillId="0" borderId="0" xfId="0" applyFont="1" applyAlignment="1">
      <alignment horizontal="justify" vertical="top" wrapText="1"/>
    </xf>
    <xf numFmtId="0" fontId="4" fillId="0" borderId="0" xfId="15" applyFont="1" applyAlignment="1">
      <alignment horizontal="justify" vertical="top" wrapText="1"/>
    </xf>
    <xf numFmtId="0" fontId="53" fillId="0" borderId="0" xfId="0" applyFont="1" applyAlignment="1">
      <alignment horizontal="left" vertical="top" wrapText="1"/>
    </xf>
    <xf numFmtId="0" fontId="53" fillId="0" borderId="0" xfId="0" applyFont="1" applyAlignment="1">
      <alignment horizontal="right" wrapText="1"/>
    </xf>
    <xf numFmtId="2" fontId="28" fillId="0" borderId="0" xfId="0" applyNumberFormat="1" applyFont="1" applyAlignment="1">
      <alignment horizontal="right" wrapText="1"/>
    </xf>
    <xf numFmtId="40" fontId="26" fillId="0" borderId="0" xfId="0" applyNumberFormat="1" applyFont="1" applyAlignment="1">
      <alignment wrapText="1"/>
    </xf>
    <xf numFmtId="169" fontId="26" fillId="0" borderId="0" xfId="0" applyNumberFormat="1" applyFont="1" applyAlignment="1">
      <alignment horizontal="center" wrapText="1"/>
    </xf>
    <xf numFmtId="0" fontId="49" fillId="0" borderId="0" xfId="0" applyFont="1"/>
    <xf numFmtId="0" fontId="57" fillId="0" borderId="0" xfId="0" applyFont="1" applyAlignment="1">
      <alignment wrapText="1"/>
    </xf>
    <xf numFmtId="4" fontId="26" fillId="0" borderId="0" xfId="0" applyNumberFormat="1" applyFont="1" applyAlignment="1">
      <alignment horizontal="center"/>
    </xf>
    <xf numFmtId="0" fontId="10" fillId="0" borderId="0" xfId="0" applyFont="1" applyAlignment="1">
      <alignment horizontal="left" vertical="top" wrapText="1"/>
    </xf>
    <xf numFmtId="0" fontId="0" fillId="6" borderId="0" xfId="0" applyFill="1" applyAlignment="1">
      <alignment horizontal="left" vertical="top" wrapText="1"/>
    </xf>
    <xf numFmtId="175" fontId="0" fillId="0" borderId="0" xfId="0" applyNumberFormat="1" applyAlignment="1">
      <alignment vertical="top" wrapText="1"/>
    </xf>
    <xf numFmtId="175" fontId="0" fillId="3" borderId="11" xfId="0" applyNumberFormat="1" applyFill="1" applyBorder="1" applyAlignment="1">
      <alignment wrapText="1"/>
    </xf>
    <xf numFmtId="175" fontId="0" fillId="0" borderId="0" xfId="0" applyNumberFormat="1" applyAlignment="1">
      <alignment wrapText="1"/>
    </xf>
    <xf numFmtId="175" fontId="0" fillId="3" borderId="3" xfId="0" applyNumberFormat="1" applyFill="1" applyBorder="1" applyAlignment="1">
      <alignment horizontal="right" wrapText="1"/>
    </xf>
    <xf numFmtId="175" fontId="0" fillId="0" borderId="0" xfId="0" applyNumberFormat="1" applyAlignment="1">
      <alignment horizontal="right" wrapText="1"/>
    </xf>
    <xf numFmtId="49" fontId="0" fillId="0" borderId="0" xfId="0" applyNumberFormat="1" applyAlignment="1">
      <alignment horizontal="right" wrapText="1"/>
    </xf>
    <xf numFmtId="168" fontId="0" fillId="0" borderId="0" xfId="0" applyNumberFormat="1" applyAlignment="1">
      <alignment horizontal="right" wrapText="1"/>
    </xf>
    <xf numFmtId="175" fontId="0" fillId="0" borderId="0" xfId="0" applyNumberFormat="1" applyAlignment="1">
      <alignment vertical="top"/>
    </xf>
    <xf numFmtId="168" fontId="0" fillId="0" borderId="0" xfId="0" applyNumberFormat="1" applyAlignment="1">
      <alignment wrapText="1"/>
    </xf>
    <xf numFmtId="175" fontId="0" fillId="3" borderId="14" xfId="0" applyNumberFormat="1" applyFill="1" applyBorder="1" applyAlignment="1">
      <alignment horizontal="right" wrapText="1"/>
    </xf>
    <xf numFmtId="175" fontId="0" fillId="3" borderId="18" xfId="0" applyNumberFormat="1" applyFill="1" applyBorder="1" applyAlignment="1">
      <alignment horizontal="right" wrapText="1"/>
    </xf>
    <xf numFmtId="175" fontId="0" fillId="3" borderId="6" xfId="0" applyNumberFormat="1" applyFill="1" applyBorder="1" applyAlignment="1">
      <alignment horizontal="right" wrapText="1"/>
    </xf>
    <xf numFmtId="175" fontId="0" fillId="0" borderId="0" xfId="0" applyNumberFormat="1" applyAlignment="1">
      <alignment horizontal="left" wrapText="1"/>
    </xf>
    <xf numFmtId="168" fontId="26" fillId="0" borderId="0" xfId="15" applyNumberFormat="1" applyAlignment="1">
      <alignment horizontal="right" wrapText="1"/>
    </xf>
    <xf numFmtId="173" fontId="0" fillId="0" borderId="0" xfId="0" applyNumberFormat="1" applyAlignment="1" applyProtection="1">
      <alignment wrapText="1"/>
      <protection locked="0"/>
    </xf>
    <xf numFmtId="175" fontId="26" fillId="0" borderId="0" xfId="762" applyNumberFormat="1" applyAlignment="1">
      <alignment horizontal="center"/>
    </xf>
    <xf numFmtId="175" fontId="0" fillId="3" borderId="7" xfId="0" applyNumberFormat="1" applyFill="1" applyBorder="1" applyAlignment="1">
      <alignment horizontal="right" wrapText="1"/>
    </xf>
    <xf numFmtId="175" fontId="0" fillId="3" borderId="11" xfId="0" applyNumberFormat="1" applyFill="1" applyBorder="1" applyAlignment="1">
      <alignment horizontal="right" wrapText="1"/>
    </xf>
    <xf numFmtId="175" fontId="0" fillId="0" borderId="0" xfId="0" applyNumberFormat="1" applyAlignment="1">
      <alignment horizontal="right" vertical="center" wrapText="1"/>
    </xf>
    <xf numFmtId="175" fontId="0" fillId="0" borderId="0" xfId="0" applyNumberFormat="1"/>
    <xf numFmtId="0" fontId="5" fillId="0" borderId="0" xfId="0" applyFont="1" applyAlignment="1">
      <alignment vertical="top"/>
    </xf>
    <xf numFmtId="168" fontId="26" fillId="0" borderId="0" xfId="0" applyNumberFormat="1" applyFont="1" applyAlignment="1">
      <alignment horizontal="right" wrapText="1"/>
    </xf>
    <xf numFmtId="0" fontId="26" fillId="7" borderId="0" xfId="0" applyFont="1" applyFill="1" applyAlignment="1">
      <alignment horizontal="justify" vertical="top" wrapText="1"/>
    </xf>
    <xf numFmtId="0" fontId="26" fillId="0" borderId="0" xfId="0" applyFont="1" applyAlignment="1">
      <alignment horizontal="justify" vertical="center" wrapText="1"/>
    </xf>
    <xf numFmtId="169" fontId="26" fillId="0" borderId="0" xfId="0" applyNumberFormat="1" applyFont="1" applyAlignment="1">
      <alignment horizontal="right"/>
    </xf>
    <xf numFmtId="0" fontId="4" fillId="8" borderId="0" xfId="0" applyFont="1" applyFill="1" applyAlignment="1">
      <alignment horizontal="left" vertical="top" wrapText="1"/>
    </xf>
    <xf numFmtId="0" fontId="0" fillId="7" borderId="0" xfId="0" applyFill="1" applyAlignment="1">
      <alignment horizontal="justify" vertical="top" wrapText="1"/>
    </xf>
    <xf numFmtId="169" fontId="56" fillId="0" borderId="0" xfId="0" applyNumberFormat="1" applyFont="1" applyAlignment="1">
      <alignment horizontal="right" wrapText="1"/>
    </xf>
    <xf numFmtId="169" fontId="62" fillId="0" borderId="0" xfId="0" applyNumberFormat="1" applyFont="1" applyAlignment="1">
      <alignment horizontal="right" wrapText="1"/>
    </xf>
    <xf numFmtId="0" fontId="57" fillId="0" borderId="0" xfId="0" applyFont="1" applyAlignment="1">
      <alignment horizontal="right" vertical="top" wrapText="1"/>
    </xf>
    <xf numFmtId="0" fontId="63" fillId="0" borderId="0" xfId="0" applyFont="1" applyAlignment="1">
      <alignment horizontal="right" vertical="top" wrapText="1"/>
    </xf>
    <xf numFmtId="168" fontId="4" fillId="0" borderId="0" xfId="0" applyNumberFormat="1" applyFont="1" applyAlignment="1">
      <alignment horizontal="right" wrapText="1"/>
    </xf>
    <xf numFmtId="169" fontId="26" fillId="0" borderId="0" xfId="0" applyNumberFormat="1" applyFont="1" applyAlignment="1">
      <alignment wrapText="1"/>
    </xf>
    <xf numFmtId="0" fontId="63" fillId="0" borderId="0" xfId="0" applyFont="1" applyAlignment="1">
      <alignment wrapText="1"/>
    </xf>
    <xf numFmtId="168" fontId="26" fillId="0" borderId="0" xfId="0" applyNumberFormat="1" applyFont="1" applyAlignment="1">
      <alignment wrapText="1"/>
    </xf>
    <xf numFmtId="169" fontId="62" fillId="0" borderId="0" xfId="0" applyNumberFormat="1" applyFont="1" applyAlignment="1">
      <alignment wrapText="1"/>
    </xf>
    <xf numFmtId="0" fontId="63" fillId="0" borderId="0" xfId="0" applyFont="1" applyAlignment="1">
      <alignment vertical="top" wrapText="1"/>
    </xf>
    <xf numFmtId="4" fontId="49" fillId="0" borderId="0" xfId="0" applyNumberFormat="1" applyFont="1"/>
    <xf numFmtId="0" fontId="67" fillId="0" borderId="0" xfId="0" applyFont="1" applyAlignment="1">
      <alignment wrapText="1"/>
    </xf>
    <xf numFmtId="2" fontId="68" fillId="0" borderId="0" xfId="0" applyNumberFormat="1" applyFont="1" applyAlignment="1">
      <alignment wrapText="1"/>
    </xf>
    <xf numFmtId="4" fontId="26" fillId="0" borderId="0" xfId="4" applyNumberFormat="1" applyFont="1" applyFill="1" applyBorder="1" applyAlignment="1">
      <alignment horizontal="right"/>
    </xf>
    <xf numFmtId="0" fontId="26" fillId="0" borderId="0" xfId="0" applyFont="1" applyAlignment="1" applyProtection="1">
      <alignment horizontal="justify" vertical="top" wrapText="1"/>
      <protection locked="0"/>
    </xf>
    <xf numFmtId="0" fontId="26" fillId="0" borderId="0" xfId="0" applyFont="1" applyAlignment="1" applyProtection="1">
      <alignment horizontal="right" wrapText="1"/>
      <protection locked="0"/>
    </xf>
    <xf numFmtId="4" fontId="26" fillId="0" borderId="0" xfId="0" applyNumberFormat="1" applyFont="1" applyAlignment="1" applyProtection="1">
      <alignment horizontal="right" wrapText="1"/>
      <protection locked="0"/>
    </xf>
    <xf numFmtId="0" fontId="26" fillId="0" borderId="0" xfId="0" applyFont="1" applyAlignment="1" applyProtection="1">
      <alignment vertical="top" wrapText="1"/>
      <protection locked="0"/>
    </xf>
    <xf numFmtId="0" fontId="26" fillId="0" borderId="0" xfId="0" applyFont="1" applyAlignment="1">
      <alignment horizontal="justify" vertical="justify" wrapText="1"/>
    </xf>
    <xf numFmtId="0" fontId="65" fillId="0" borderId="0" xfId="0" applyFont="1" applyAlignment="1">
      <alignment horizontal="center" vertical="top" wrapText="1"/>
    </xf>
    <xf numFmtId="0" fontId="66" fillId="0" borderId="0" xfId="0" applyFont="1" applyAlignment="1">
      <alignment horizontal="center" vertical="top" wrapText="1"/>
    </xf>
    <xf numFmtId="0" fontId="4" fillId="3" borderId="10" xfId="0" applyFont="1" applyFill="1" applyBorder="1" applyAlignment="1">
      <alignment horizontal="center" vertical="top" wrapText="1"/>
    </xf>
    <xf numFmtId="0" fontId="69" fillId="0" borderId="0" xfId="0" applyFont="1" applyAlignment="1">
      <alignment horizontal="center" vertical="top" wrapText="1"/>
    </xf>
    <xf numFmtId="4" fontId="70" fillId="0" borderId="0" xfId="0" applyNumberFormat="1" applyFont="1"/>
    <xf numFmtId="0" fontId="0" fillId="0" borderId="0" xfId="0" applyAlignment="1">
      <alignment horizontal="justify" vertical="center" wrapText="1"/>
    </xf>
    <xf numFmtId="174" fontId="0" fillId="0" borderId="0" xfId="0" applyNumberFormat="1" applyAlignment="1">
      <alignment vertical="top"/>
    </xf>
    <xf numFmtId="4" fontId="71" fillId="0" borderId="0" xfId="0" applyNumberFormat="1" applyFont="1"/>
    <xf numFmtId="174" fontId="71" fillId="0" borderId="0" xfId="0" applyNumberFormat="1" applyFont="1" applyAlignment="1">
      <alignment horizontal="right"/>
    </xf>
    <xf numFmtId="173" fontId="71" fillId="0" borderId="0" xfId="0" applyNumberFormat="1" applyFont="1" applyAlignment="1">
      <alignment wrapText="1"/>
    </xf>
    <xf numFmtId="4" fontId="71" fillId="0" borderId="0" xfId="0" applyNumberFormat="1" applyFont="1" applyAlignment="1">
      <alignment wrapText="1"/>
    </xf>
    <xf numFmtId="173" fontId="71" fillId="0" borderId="0" xfId="0" applyNumberFormat="1" applyFont="1"/>
    <xf numFmtId="0" fontId="71" fillId="0" borderId="0" xfId="0" applyFont="1" applyAlignment="1">
      <alignment vertical="top"/>
    </xf>
    <xf numFmtId="0" fontId="71" fillId="0" borderId="0" xfId="0" applyFont="1" applyAlignment="1">
      <alignment horizontal="right"/>
    </xf>
    <xf numFmtId="2" fontId="70" fillId="0" borderId="0" xfId="0" applyNumberFormat="1" applyFont="1" applyAlignment="1">
      <alignment horizontal="right"/>
    </xf>
    <xf numFmtId="0" fontId="0" fillId="0" borderId="0" xfId="0" applyAlignment="1">
      <alignment vertical="center" wrapText="1"/>
    </xf>
    <xf numFmtId="0" fontId="0" fillId="0" borderId="0" xfId="0" applyAlignment="1">
      <alignment vertical="center"/>
    </xf>
    <xf numFmtId="4" fontId="28" fillId="0" borderId="0" xfId="0" applyNumberFormat="1" applyFont="1" applyAlignment="1">
      <alignment horizontal="right"/>
    </xf>
    <xf numFmtId="4" fontId="28" fillId="0" borderId="0" xfId="0" applyNumberFormat="1" applyFont="1"/>
    <xf numFmtId="174" fontId="28" fillId="0" borderId="0" xfId="0" applyNumberFormat="1" applyFont="1" applyAlignment="1">
      <alignment horizontal="right"/>
    </xf>
    <xf numFmtId="173" fontId="28" fillId="0" borderId="0" xfId="0" applyNumberFormat="1" applyFont="1" applyAlignment="1">
      <alignment wrapText="1"/>
    </xf>
    <xf numFmtId="173" fontId="28" fillId="0" borderId="0" xfId="0" applyNumberFormat="1" applyFont="1"/>
    <xf numFmtId="0" fontId="28" fillId="0" borderId="0" xfId="0" applyFont="1" applyAlignment="1">
      <alignment vertical="top"/>
    </xf>
    <xf numFmtId="0" fontId="28" fillId="0" borderId="0" xfId="0" applyFont="1" applyAlignment="1">
      <alignment horizontal="right"/>
    </xf>
    <xf numFmtId="168" fontId="28" fillId="0" borderId="0" xfId="0" applyNumberFormat="1" applyFont="1" applyAlignment="1">
      <alignment horizontal="right" wrapText="1"/>
    </xf>
    <xf numFmtId="0" fontId="27" fillId="0" borderId="0" xfId="764" applyFont="1" applyAlignment="1">
      <alignment horizontal="center" vertical="top"/>
    </xf>
    <xf numFmtId="0" fontId="27" fillId="0" borderId="0" xfId="0" applyFont="1" applyAlignment="1">
      <alignment horizontal="left" vertical="top" wrapText="1"/>
    </xf>
    <xf numFmtId="0" fontId="28" fillId="0" borderId="0" xfId="15" applyFont="1" applyAlignment="1">
      <alignment horizontal="right" vertical="top" wrapText="1"/>
    </xf>
    <xf numFmtId="0" fontId="28" fillId="0" borderId="0" xfId="15" applyFont="1" applyAlignment="1">
      <alignment horizontal="left" vertical="top" wrapText="1"/>
    </xf>
    <xf numFmtId="0" fontId="4" fillId="0" borderId="0" xfId="0" applyFont="1" applyAlignment="1">
      <alignment horizontal="right" vertical="top" wrapText="1"/>
    </xf>
    <xf numFmtId="0" fontId="0" fillId="0" borderId="0" xfId="0" applyAlignment="1">
      <alignment horizontal="right" vertical="center" wrapText="1"/>
    </xf>
    <xf numFmtId="0" fontId="28" fillId="0" borderId="0" xfId="0" applyFont="1" applyAlignment="1">
      <alignment horizontal="right" vertical="center" wrapText="1"/>
    </xf>
    <xf numFmtId="0" fontId="6" fillId="0" borderId="0" xfId="0" applyFont="1" applyAlignment="1">
      <alignment horizontal="right" vertical="top" wrapText="1"/>
    </xf>
    <xf numFmtId="0" fontId="4" fillId="0" borderId="0" xfId="0" applyFont="1" applyAlignment="1">
      <alignment horizontal="justify" vertical="justify" wrapText="1"/>
    </xf>
    <xf numFmtId="0" fontId="0" fillId="0" borderId="0" xfId="0" applyAlignment="1">
      <alignment horizontal="justify" vertical="justify" wrapText="1"/>
    </xf>
    <xf numFmtId="4" fontId="51" fillId="0" borderId="0" xfId="0" applyNumberFormat="1" applyFont="1" applyAlignment="1">
      <alignment horizontal="right"/>
    </xf>
    <xf numFmtId="171" fontId="0" fillId="0" borderId="0" xfId="0" applyNumberFormat="1" applyAlignment="1">
      <alignment horizontal="right"/>
    </xf>
    <xf numFmtId="0" fontId="53" fillId="0" borderId="0" xfId="0" applyFont="1" applyAlignment="1">
      <alignment horizontal="justify" vertical="top" wrapText="1"/>
    </xf>
    <xf numFmtId="168" fontId="28" fillId="0" borderId="0" xfId="0" applyNumberFormat="1" applyFont="1" applyAlignment="1">
      <alignment wrapText="1"/>
    </xf>
    <xf numFmtId="169" fontId="26" fillId="0" borderId="0" xfId="0" applyNumberFormat="1" applyFont="1" applyAlignment="1">
      <alignment horizontal="left" wrapText="1"/>
    </xf>
    <xf numFmtId="0" fontId="73" fillId="0" borderId="0" xfId="0" applyFont="1" applyAlignment="1">
      <alignment vertical="top" wrapText="1"/>
    </xf>
    <xf numFmtId="0" fontId="73" fillId="0" borderId="0" xfId="0" applyFont="1" applyAlignment="1">
      <alignment horizontal="right"/>
    </xf>
    <xf numFmtId="4" fontId="73" fillId="0" borderId="0" xfId="0" applyNumberFormat="1" applyFont="1" applyAlignment="1">
      <alignment horizontal="right" wrapText="1"/>
    </xf>
    <xf numFmtId="173" fontId="73" fillId="0" borderId="0" xfId="0" applyNumberFormat="1" applyFont="1" applyAlignment="1">
      <alignment wrapText="1"/>
    </xf>
    <xf numFmtId="0" fontId="73" fillId="0" borderId="0" xfId="0" applyFont="1" applyAlignment="1">
      <alignment horizontal="left" vertical="top" wrapText="1"/>
    </xf>
    <xf numFmtId="168" fontId="73" fillId="0" borderId="0" xfId="0" applyNumberFormat="1" applyFont="1" applyAlignment="1">
      <alignment horizontal="right" wrapText="1"/>
    </xf>
    <xf numFmtId="0" fontId="54" fillId="0" borderId="0" xfId="0" applyFont="1" applyAlignment="1">
      <alignment horizontal="center" vertical="top"/>
    </xf>
    <xf numFmtId="0" fontId="26" fillId="0" borderId="0" xfId="0" applyFont="1" applyAlignment="1">
      <alignment horizontal="center" vertical="top"/>
    </xf>
    <xf numFmtId="0" fontId="72" fillId="0" borderId="0" xfId="0" applyFont="1" applyAlignment="1">
      <alignment horizontal="center" vertical="top" wrapText="1"/>
    </xf>
    <xf numFmtId="0" fontId="28" fillId="0" borderId="0" xfId="0" applyFont="1"/>
    <xf numFmtId="4" fontId="0" fillId="0" borderId="0" xfId="4" applyNumberFormat="1" applyFont="1" applyFill="1" applyBorder="1" applyAlignment="1"/>
    <xf numFmtId="4" fontId="0" fillId="0" borderId="0" xfId="4" applyNumberFormat="1" applyFont="1" applyFill="1" applyBorder="1" applyAlignment="1">
      <alignment horizontal="right"/>
    </xf>
    <xf numFmtId="174" fontId="28" fillId="0" borderId="0" xfId="0" applyNumberFormat="1" applyFont="1" applyAlignment="1">
      <alignment horizontal="right" wrapText="1"/>
    </xf>
    <xf numFmtId="4" fontId="47" fillId="5" borderId="0" xfId="0" applyNumberFormat="1" applyFont="1" applyFill="1" applyAlignment="1">
      <alignment horizontal="center"/>
    </xf>
    <xf numFmtId="174" fontId="26" fillId="0" borderId="0" xfId="0" applyNumberFormat="1" applyFont="1" applyAlignment="1">
      <alignment horizontal="right" wrapText="1"/>
    </xf>
    <xf numFmtId="16" fontId="4" fillId="0" borderId="0" xfId="15" applyNumberFormat="1" applyFont="1" applyAlignment="1">
      <alignment vertical="top" wrapText="1"/>
    </xf>
    <xf numFmtId="0" fontId="26" fillId="0" borderId="0" xfId="15" applyAlignment="1">
      <alignment horizontal="justify" wrapText="1"/>
    </xf>
    <xf numFmtId="0" fontId="26" fillId="6" borderId="0" xfId="0" applyFont="1" applyFill="1" applyAlignment="1">
      <alignment horizontal="left" vertical="top" wrapText="1"/>
    </xf>
    <xf numFmtId="0" fontId="0" fillId="0" borderId="0" xfId="15" applyFont="1" applyAlignment="1">
      <alignment horizontal="justify" vertical="top" wrapText="1"/>
    </xf>
    <xf numFmtId="0" fontId="0" fillId="0" borderId="0" xfId="0" quotePrefix="1" applyAlignment="1">
      <alignment horizontal="justify" vertical="top" wrapText="1"/>
    </xf>
    <xf numFmtId="174" fontId="40" fillId="0" borderId="0" xfId="0" applyNumberFormat="1" applyFont="1" applyAlignment="1">
      <alignment horizontal="right"/>
    </xf>
    <xf numFmtId="0" fontId="0" fillId="0" borderId="0" xfId="0" applyAlignment="1">
      <alignment horizontal="right" vertical="top"/>
    </xf>
    <xf numFmtId="0" fontId="62" fillId="0" borderId="0" xfId="0" applyFont="1" applyAlignment="1">
      <alignment wrapText="1"/>
    </xf>
    <xf numFmtId="16" fontId="27" fillId="0" borderId="0" xfId="15" applyNumberFormat="1" applyFont="1" applyAlignment="1">
      <alignment horizontal="center" vertical="top" wrapText="1"/>
    </xf>
    <xf numFmtId="1" fontId="28" fillId="0" borderId="0" xfId="0" applyNumberFormat="1" applyFont="1" applyAlignment="1">
      <alignment horizontal="right" wrapText="1"/>
    </xf>
    <xf numFmtId="0" fontId="75" fillId="0" borderId="0" xfId="0" applyFont="1" applyAlignment="1">
      <alignment horizontal="justify" vertical="justify" wrapText="1"/>
    </xf>
    <xf numFmtId="0" fontId="74" fillId="0" borderId="0" xfId="764" applyFont="1" applyAlignment="1">
      <alignment horizontal="center" vertical="top"/>
    </xf>
    <xf numFmtId="0" fontId="74" fillId="0" borderId="0" xfId="0" applyFont="1" applyAlignment="1">
      <alignment horizontal="left" vertical="top" wrapText="1"/>
    </xf>
    <xf numFmtId="0" fontId="53" fillId="0" borderId="0" xfId="0" applyFont="1" applyAlignment="1">
      <alignment horizontal="right"/>
    </xf>
    <xf numFmtId="4" fontId="53" fillId="0" borderId="0" xfId="0" applyNumberFormat="1" applyFont="1" applyAlignment="1">
      <alignment horizontal="right"/>
    </xf>
    <xf numFmtId="168" fontId="53" fillId="0" borderId="0" xfId="0" applyNumberFormat="1" applyFont="1" applyAlignment="1">
      <alignment horizontal="right" wrapText="1"/>
    </xf>
    <xf numFmtId="0" fontId="74" fillId="0" borderId="0" xfId="0" applyFont="1" applyAlignment="1">
      <alignment horizontal="center" vertical="top" wrapText="1"/>
    </xf>
    <xf numFmtId="0" fontId="53" fillId="0" borderId="0" xfId="15" applyFont="1" applyAlignment="1">
      <alignment horizontal="left" vertical="top" wrapText="1"/>
    </xf>
    <xf numFmtId="0" fontId="53" fillId="0" borderId="0" xfId="15" applyFont="1" applyAlignment="1">
      <alignment horizontal="right" vertical="top" wrapText="1"/>
    </xf>
    <xf numFmtId="0" fontId="74" fillId="0" borderId="0" xfId="15" applyFont="1" applyAlignment="1">
      <alignment horizontal="center" vertical="top" wrapText="1"/>
    </xf>
    <xf numFmtId="173" fontId="53" fillId="0" borderId="0" xfId="0" applyNumberFormat="1" applyFont="1" applyAlignment="1">
      <alignment wrapText="1"/>
    </xf>
    <xf numFmtId="4" fontId="53" fillId="0" borderId="0" xfId="0" applyNumberFormat="1" applyFont="1" applyAlignment="1">
      <alignment wrapText="1"/>
    </xf>
    <xf numFmtId="175" fontId="53" fillId="0" borderId="0" xfId="0" applyNumberFormat="1" applyFont="1" applyAlignment="1">
      <alignment horizontal="right" wrapText="1"/>
    </xf>
    <xf numFmtId="0" fontId="0" fillId="0" borderId="7" xfId="0" applyBorder="1" applyAlignment="1">
      <alignment horizontal="left" vertical="top" wrapText="1"/>
    </xf>
    <xf numFmtId="0" fontId="27" fillId="0" borderId="0" xfId="15" applyFont="1" applyAlignment="1">
      <alignment horizontal="center" vertical="top" wrapText="1"/>
    </xf>
    <xf numFmtId="0" fontId="28" fillId="0" borderId="0" xfId="15" applyFont="1" applyAlignment="1">
      <alignment horizontal="right"/>
    </xf>
    <xf numFmtId="4" fontId="28" fillId="0" borderId="0" xfId="15" applyNumberFormat="1" applyFont="1" applyAlignment="1">
      <alignment horizontal="right" wrapText="1"/>
    </xf>
    <xf numFmtId="0" fontId="76" fillId="0" borderId="0" xfId="0" applyFont="1" applyAlignment="1">
      <alignment horizontal="left" vertical="top" wrapText="1"/>
    </xf>
    <xf numFmtId="0" fontId="27" fillId="0" borderId="0" xfId="0" applyFont="1" applyAlignment="1">
      <alignment horizontal="right" vertical="top" wrapText="1"/>
    </xf>
    <xf numFmtId="4" fontId="0" fillId="0" borderId="11" xfId="0" applyNumberFormat="1" applyBorder="1" applyAlignment="1">
      <alignment wrapText="1"/>
    </xf>
    <xf numFmtId="4" fontId="6" fillId="0" borderId="5" xfId="0" applyNumberFormat="1" applyFont="1" applyBorder="1" applyAlignment="1">
      <alignment horizontal="center" vertical="top" wrapText="1"/>
    </xf>
    <xf numFmtId="4" fontId="6" fillId="0" borderId="0" xfId="0" applyNumberFormat="1" applyFont="1" applyAlignment="1">
      <alignment vertical="top" wrapText="1"/>
    </xf>
    <xf numFmtId="0" fontId="46" fillId="0" borderId="0" xfId="0" applyFont="1" applyAlignment="1">
      <alignment horizontal="right" wrapText="1"/>
    </xf>
    <xf numFmtId="0" fontId="64" fillId="0" borderId="0" xfId="0" applyFont="1" applyAlignment="1">
      <alignment horizontal="right" wrapText="1"/>
    </xf>
    <xf numFmtId="0" fontId="64" fillId="0" borderId="0" xfId="0" applyFont="1" applyAlignment="1">
      <alignment horizontal="right"/>
    </xf>
    <xf numFmtId="2" fontId="64" fillId="0" borderId="0" xfId="0" applyNumberFormat="1" applyFont="1" applyAlignment="1">
      <alignment horizontal="right" wrapText="1"/>
    </xf>
    <xf numFmtId="0" fontId="46" fillId="0" borderId="0" xfId="0" applyFont="1" applyAlignment="1" applyProtection="1">
      <alignment horizontal="right" wrapText="1"/>
      <protection locked="0"/>
    </xf>
    <xf numFmtId="2" fontId="46" fillId="0" borderId="0" xfId="0" applyNumberFormat="1" applyFont="1" applyAlignment="1">
      <alignment horizontal="right"/>
    </xf>
    <xf numFmtId="4" fontId="46" fillId="0" borderId="0" xfId="0" applyNumberFormat="1" applyFont="1" applyAlignment="1">
      <alignment horizontal="right"/>
    </xf>
    <xf numFmtId="4" fontId="46" fillId="0" borderId="0" xfId="0" applyNumberFormat="1" applyFont="1" applyAlignment="1">
      <alignment horizontal="right" wrapText="1"/>
    </xf>
    <xf numFmtId="0" fontId="59" fillId="0" borderId="0" xfId="0" applyFont="1" applyAlignment="1">
      <alignment wrapText="1"/>
    </xf>
    <xf numFmtId="2" fontId="46" fillId="0" borderId="0" xfId="0" applyNumberFormat="1" applyFont="1" applyAlignment="1" applyProtection="1">
      <alignment horizontal="right" wrapText="1"/>
      <protection locked="0"/>
    </xf>
    <xf numFmtId="2" fontId="46" fillId="0" borderId="0" xfId="0" applyNumberFormat="1" applyFont="1" applyAlignment="1">
      <alignment horizontal="right" wrapText="1"/>
    </xf>
    <xf numFmtId="168" fontId="26" fillId="0" borderId="0" xfId="0" applyNumberFormat="1" applyFont="1" applyAlignment="1">
      <alignment horizontal="right"/>
    </xf>
    <xf numFmtId="0" fontId="0" fillId="0" borderId="0" xfId="0" applyAlignment="1" applyProtection="1">
      <alignment horizontal="left" vertical="top" wrapText="1"/>
      <protection locked="0"/>
    </xf>
    <xf numFmtId="2" fontId="26" fillId="0" borderId="0" xfId="0" applyNumberFormat="1" applyFont="1" applyAlignment="1" applyProtection="1">
      <alignment horizontal="right" wrapText="1"/>
      <protection locked="0"/>
    </xf>
    <xf numFmtId="2" fontId="4" fillId="0" borderId="0" xfId="0" applyNumberFormat="1" applyFont="1" applyAlignment="1" applyProtection="1">
      <alignment horizontal="right" wrapText="1"/>
      <protection locked="0"/>
    </xf>
    <xf numFmtId="2" fontId="28" fillId="0" borderId="0" xfId="0" applyNumberFormat="1" applyFont="1" applyAlignment="1" applyProtection="1">
      <alignment horizontal="right" wrapText="1"/>
      <protection locked="0"/>
    </xf>
    <xf numFmtId="2" fontId="26" fillId="0" borderId="0" xfId="0" applyNumberFormat="1" applyFont="1" applyAlignment="1" applyProtection="1">
      <alignment horizontal="right"/>
      <protection locked="0"/>
    </xf>
    <xf numFmtId="4" fontId="0" fillId="0" borderId="0" xfId="0" applyNumberFormat="1" applyAlignment="1" applyProtection="1">
      <alignment wrapText="1"/>
      <protection locked="0"/>
    </xf>
    <xf numFmtId="2" fontId="4" fillId="9" borderId="0" xfId="0" applyNumberFormat="1" applyFont="1" applyFill="1" applyAlignment="1">
      <alignment horizontal="center" vertical="center" wrapText="1"/>
    </xf>
    <xf numFmtId="4" fontId="4" fillId="9" borderId="0" xfId="0" applyNumberFormat="1" applyFont="1" applyFill="1" applyAlignment="1">
      <alignment horizontal="center" vertical="center" wrapText="1"/>
    </xf>
    <xf numFmtId="4" fontId="50" fillId="9" borderId="0" xfId="0" applyNumberFormat="1" applyFont="1" applyFill="1" applyAlignment="1">
      <alignment horizontal="center" vertical="center" wrapText="1"/>
    </xf>
    <xf numFmtId="0" fontId="4" fillId="9" borderId="0" xfId="0" applyFont="1" applyFill="1" applyAlignment="1">
      <alignment horizontal="center" vertical="center" wrapText="1"/>
    </xf>
    <xf numFmtId="0" fontId="4" fillId="9" borderId="0" xfId="0" applyFont="1" applyFill="1" applyAlignment="1">
      <alignment horizontal="center" vertical="center"/>
    </xf>
    <xf numFmtId="49" fontId="4" fillId="9" borderId="0" xfId="0" applyNumberFormat="1" applyFont="1" applyFill="1" applyAlignment="1">
      <alignment horizontal="center" vertical="center"/>
    </xf>
    <xf numFmtId="4" fontId="4" fillId="9" borderId="0" xfId="0" applyNumberFormat="1" applyFont="1" applyFill="1" applyAlignment="1">
      <alignment horizontal="center" vertical="center"/>
    </xf>
    <xf numFmtId="0" fontId="4" fillId="9" borderId="0" xfId="0" applyFont="1" applyFill="1" applyAlignment="1" applyProtection="1">
      <alignment horizontal="center" vertical="center" wrapText="1"/>
      <protection locked="0"/>
    </xf>
    <xf numFmtId="2" fontId="4" fillId="9" borderId="0" xfId="0" applyNumberFormat="1" applyFont="1" applyFill="1" applyAlignment="1">
      <alignment horizontal="center" vertical="center"/>
    </xf>
    <xf numFmtId="4" fontId="4" fillId="9" borderId="0" xfId="0" applyNumberFormat="1" applyFont="1" applyFill="1" applyAlignment="1" applyProtection="1">
      <alignment horizontal="center" vertical="center" wrapText="1"/>
      <protection locked="0"/>
    </xf>
    <xf numFmtId="0" fontId="8" fillId="0" borderId="2" xfId="0" applyFont="1" applyBorder="1" applyAlignment="1">
      <alignment horizontal="center" vertical="top" wrapText="1"/>
    </xf>
    <xf numFmtId="0" fontId="8" fillId="0" borderId="6" xfId="0" applyFont="1" applyBorder="1" applyAlignment="1">
      <alignment horizontal="center" vertical="top" wrapText="1"/>
    </xf>
    <xf numFmtId="0" fontId="8" fillId="0" borderId="3" xfId="0" applyFont="1" applyBorder="1" applyAlignment="1">
      <alignment horizontal="center" vertical="top" wrapText="1"/>
    </xf>
    <xf numFmtId="0" fontId="6" fillId="0" borderId="0" xfId="0" applyFont="1" applyAlignment="1">
      <alignment horizontal="center"/>
    </xf>
    <xf numFmtId="2" fontId="10" fillId="0" borderId="0" xfId="0" applyNumberFormat="1" applyFont="1" applyAlignment="1">
      <alignment vertical="center" wrapText="1"/>
    </xf>
    <xf numFmtId="0" fontId="61" fillId="0" borderId="9" xfId="0" applyFont="1" applyBorder="1" applyAlignment="1">
      <alignment horizontal="center" vertical="top"/>
    </xf>
    <xf numFmtId="0" fontId="12" fillId="0" borderId="0" xfId="0" applyFont="1" applyAlignment="1">
      <alignment horizontal="center" vertical="center" wrapText="1"/>
    </xf>
    <xf numFmtId="0" fontId="0" fillId="0" borderId="0" xfId="0" applyAlignment="1">
      <alignment horizontal="left" vertical="top" wrapText="1"/>
    </xf>
  </cellXfs>
  <cellStyles count="798">
    <cellStyle name="20% - Accent1 2 15" xfId="1" xr:uid="{07AB82AC-6F90-4B10-B07E-D2D87E3243F6}"/>
    <cellStyle name="20% - Accent1 2 15 2" xfId="782" xr:uid="{08953F4D-A6B8-4EE6-B2BE-4FE2E0B57806}"/>
    <cellStyle name="Comma 2" xfId="2" xr:uid="{6837A144-BFB7-49E6-B32A-29DCAD2F83B8}"/>
    <cellStyle name="Comma 2 2" xfId="3" xr:uid="{E5ED8A7E-1859-47AB-AA0B-8C3F2F210D51}"/>
    <cellStyle name="Comma 2 2 2" xfId="784" xr:uid="{7B9F3FF1-D6DC-4776-AB37-6783864EF7D5}"/>
    <cellStyle name="Comma 2 3" xfId="783" xr:uid="{4AF698AF-166B-4E51-9BF1-AA08AE4022C4}"/>
    <cellStyle name="Currency" xfId="4" builtinId="4"/>
    <cellStyle name="Currency 2" xfId="5" xr:uid="{434A234B-FFAA-4665-83CF-F4340E8372DB}"/>
    <cellStyle name="Currency 2 2" xfId="6" xr:uid="{6E76B1A1-90E9-4442-ABF7-714B6F4E7A74}"/>
    <cellStyle name="Currency 3" xfId="7" xr:uid="{66450122-55D8-4085-BC4F-09D345FDB742}"/>
    <cellStyle name="Currency 3 2" xfId="8" xr:uid="{769360CC-7C0A-446D-AB21-4DBF660E49BE}"/>
    <cellStyle name="Default_Uvuceni" xfId="9" xr:uid="{197A181D-64DF-47BE-93AE-D50A6C155C7E}"/>
    <cellStyle name="Excel Built-in Explanatory Text" xfId="10" xr:uid="{A0606778-692E-4F06-9AF0-3E0DAD7C58A9}"/>
    <cellStyle name="Excel Built-in Normal" xfId="11" xr:uid="{009AF9CD-2D10-4564-A2A4-B5B3B195240A}"/>
    <cellStyle name="Hiperveza 2" xfId="12" xr:uid="{8CE01A42-4633-4AD9-AE3F-EE1D17C53E5D}"/>
    <cellStyle name="Navadno 3" xfId="13" xr:uid="{52A5D6B2-8708-48B6-A9F1-3D1F18808D72}"/>
    <cellStyle name="Normal" xfId="0" builtinId="0"/>
    <cellStyle name="Normal 10" xfId="14" xr:uid="{5B7B86FE-A89C-4481-9964-931E86E4B5C6}"/>
    <cellStyle name="Normal 10 2" xfId="15" xr:uid="{216965C5-48B9-4DED-9EF9-D253560B49B8}"/>
    <cellStyle name="Normal 10 2 2" xfId="16" xr:uid="{6A1D08DC-724A-4CC3-A4E3-3E00A4AB7CA5}"/>
    <cellStyle name="Normal 10 3" xfId="17" xr:uid="{4B06947B-9BED-4E5D-9B41-A3AF72BFF0C5}"/>
    <cellStyle name="Normal 10 4" xfId="18" xr:uid="{491A9011-FA52-4EB2-A0B7-4DB582CE527E}"/>
    <cellStyle name="Normal 10_Jezevac_pecenjara_concept_tender_v_2011060_1" xfId="19" xr:uid="{935848B3-4309-41A1-AA86-2058365720DD}"/>
    <cellStyle name="Normal 11" xfId="20" xr:uid="{30DCBB42-2525-4F6B-9997-3C1899CB3E2E}"/>
    <cellStyle name="Normal 114" xfId="779" xr:uid="{7C86908E-3ED2-470A-A9FC-24865DB3FE68}"/>
    <cellStyle name="Normal 12" xfId="21" xr:uid="{1DFE77D8-56F5-470A-AFC1-BBB79DFD1372}"/>
    <cellStyle name="Normal 13" xfId="22" xr:uid="{1839DD04-72B8-491E-B3A8-504944F5B646}"/>
    <cellStyle name="Normal 13 2 2" xfId="780" xr:uid="{36EB897E-5437-4E3E-8B4E-73BB26DC7F3F}"/>
    <cellStyle name="Normal 14" xfId="23" xr:uid="{01B72C4D-A63B-4D87-BE01-DCDAAAD324BE}"/>
    <cellStyle name="Normal 15" xfId="24" xr:uid="{A4E70800-8449-4DD2-8534-CFEDE541871F}"/>
    <cellStyle name="Normal 16" xfId="25" xr:uid="{429DB55E-6C83-4EDB-AB8E-72AE8A4416E6}"/>
    <cellStyle name="Normal 16 10" xfId="26" xr:uid="{EC79F96A-568A-44E3-BEAA-40876F2B0CBB}"/>
    <cellStyle name="Normal 16 11" xfId="27" xr:uid="{54CF7AD9-B071-410C-ADAE-75FCF346A79A}"/>
    <cellStyle name="Normal 16 12" xfId="28" xr:uid="{80EE6006-2EBA-4330-BF22-B72C20992816}"/>
    <cellStyle name="Normal 16 13" xfId="29" xr:uid="{A7D737F1-04FD-4924-A7F1-D2EDB3ADD731}"/>
    <cellStyle name="Normal 16 14" xfId="30" xr:uid="{87240815-0F4D-4247-AED7-D8BE9A21705F}"/>
    <cellStyle name="Normal 16 15" xfId="31" xr:uid="{E9AEE0A9-F1E0-4E9E-B92E-2CB3393E49BF}"/>
    <cellStyle name="Normal 16 16" xfId="32" xr:uid="{C2B3C04C-A4A6-4F1A-B21F-3053052F9AD8}"/>
    <cellStyle name="Normal 16 17" xfId="33" xr:uid="{AC8F18A7-60DA-473A-B15C-C1E5836D7BF3}"/>
    <cellStyle name="Normal 16 18" xfId="34" xr:uid="{04011888-5D90-4212-8A79-B609D3C211B7}"/>
    <cellStyle name="Normal 16 19" xfId="35" xr:uid="{BF6CE03C-F8E4-497A-B756-76DB4BAE80DB}"/>
    <cellStyle name="Normal 16 2" xfId="36" xr:uid="{9F457EC8-3A1E-433F-B5E6-CCB57104D752}"/>
    <cellStyle name="Normal 16 20" xfId="37" xr:uid="{5078C4AD-239E-48AF-B340-F8D7210A4050}"/>
    <cellStyle name="Normal 16 21" xfId="38" xr:uid="{476F247C-DE93-4779-B5C7-137433C20A2B}"/>
    <cellStyle name="Normal 16 22" xfId="39" xr:uid="{E24393DA-94D7-41FC-BFE1-AEE54672400E}"/>
    <cellStyle name="Normal 16 23" xfId="40" xr:uid="{BD7A3FA3-13A5-4485-A12F-83D947E19106}"/>
    <cellStyle name="Normal 16 24" xfId="41" xr:uid="{6DE940DC-B47A-4D7E-A3D7-8B79992315E6}"/>
    <cellStyle name="Normal 16 25" xfId="785" xr:uid="{8027812F-92A5-4AC5-9E0F-B1B2669682E2}"/>
    <cellStyle name="Normal 16 3" xfId="42" xr:uid="{F1B3FBA0-7BFF-449D-80F3-EC351FB5BB46}"/>
    <cellStyle name="Normal 16 4" xfId="43" xr:uid="{F0CFA086-DA87-4153-A30C-683D14C48EC1}"/>
    <cellStyle name="Normal 16 5" xfId="44" xr:uid="{497B39BC-A309-438D-B21C-2220A7651B92}"/>
    <cellStyle name="Normal 16 6" xfId="45" xr:uid="{424E7D05-634C-4C07-A7F4-BDBB0D697477}"/>
    <cellStyle name="Normal 16 7" xfId="46" xr:uid="{1527DFD2-9FB2-4FCF-9539-9B605FE21B4A}"/>
    <cellStyle name="Normal 16 8" xfId="47" xr:uid="{D2409AD1-92A8-4632-BA1A-530A5930F383}"/>
    <cellStyle name="Normal 16 9" xfId="48" xr:uid="{1CCF1048-8E77-4E4D-B63B-EDA9D49B079D}"/>
    <cellStyle name="Normal 17 10" xfId="49" xr:uid="{16D34207-C992-440B-9F0A-4A48A3FCFDC1}"/>
    <cellStyle name="Normal 17 11" xfId="50" xr:uid="{537485F4-DADF-49DA-AE69-8ECAEE62FEB8}"/>
    <cellStyle name="Normal 17 12" xfId="51" xr:uid="{0A10CAF9-423C-4C19-8730-16D62360B809}"/>
    <cellStyle name="Normal 17 13" xfId="52" xr:uid="{BE085622-7F74-4198-9B27-E2C32C16E83E}"/>
    <cellStyle name="Normal 17 14" xfId="53" xr:uid="{A2A1EFAC-D4CE-49C5-997F-05D8B580015D}"/>
    <cellStyle name="Normal 17 15" xfId="54" xr:uid="{B0686298-8C56-43C0-AEE0-79D76892DF05}"/>
    <cellStyle name="Normal 17 16" xfId="55" xr:uid="{A923CFF7-66C7-4BB0-BDBE-5BD52C8A6A18}"/>
    <cellStyle name="Normal 17 17" xfId="56" xr:uid="{EC6A1ABE-6D53-4C96-A299-A0F4112CF10C}"/>
    <cellStyle name="Normal 17 18" xfId="57" xr:uid="{1AA29F4A-8662-4184-8A3F-853020CECE2F}"/>
    <cellStyle name="Normal 17 19" xfId="58" xr:uid="{FCC95299-46ED-4830-8CB5-D6A62B4D24C3}"/>
    <cellStyle name="Normal 17 2" xfId="59" xr:uid="{4344052C-DA31-401E-93BC-BE3CA6C2D686}"/>
    <cellStyle name="Normal 17 20" xfId="60" xr:uid="{542740F1-2C12-4801-9A08-FB9249A94CED}"/>
    <cellStyle name="Normal 17 21" xfId="61" xr:uid="{A8E21A40-AA36-46DA-8559-5BBBE1EA28AD}"/>
    <cellStyle name="Normal 17 22" xfId="62" xr:uid="{B7C040EF-87C9-46D9-991B-3A2A3FBE5C20}"/>
    <cellStyle name="Normal 17 23" xfId="63" xr:uid="{B496BDE5-DE4E-4E26-ADBA-85AA6B361A51}"/>
    <cellStyle name="Normal 17 24" xfId="64" xr:uid="{757BF35B-36C3-46CC-9FDC-2F727D85CCDD}"/>
    <cellStyle name="Normal 17 3" xfId="65" xr:uid="{77CF89AD-F502-418D-AF4C-3A0500AE26A7}"/>
    <cellStyle name="Normal 17 4" xfId="66" xr:uid="{BC020C8F-6413-424D-8128-D89AD9B4D81E}"/>
    <cellStyle name="Normal 17 5" xfId="67" xr:uid="{E81B8A65-CEBB-4C55-B4EE-1D1F212D1A4E}"/>
    <cellStyle name="Normal 17 6" xfId="68" xr:uid="{139632B2-953B-47FF-9E68-614F12623D27}"/>
    <cellStyle name="Normal 17 7" xfId="69" xr:uid="{B0347510-98FD-493B-924A-739808A95F16}"/>
    <cellStyle name="Normal 17 8" xfId="70" xr:uid="{98382AA3-BC6D-4869-B93F-9EE636668E3D}"/>
    <cellStyle name="Normal 17 9" xfId="71" xr:uid="{5660FE8A-C5A7-4A17-A825-86245B3752C8}"/>
    <cellStyle name="Normal 18 10" xfId="72" xr:uid="{8E8F5935-BCB2-44EC-819E-D7745B787808}"/>
    <cellStyle name="Normal 18 11" xfId="73" xr:uid="{C14C6E29-9552-4606-9AF3-521D5961FD25}"/>
    <cellStyle name="Normal 18 12" xfId="74" xr:uid="{6E5D9EA7-53BE-4A9E-B469-B34407D51970}"/>
    <cellStyle name="Normal 18 13" xfId="75" xr:uid="{E7BC349F-6D7A-4D86-9FB2-813CC3BFF6CF}"/>
    <cellStyle name="Normal 18 14" xfId="76" xr:uid="{018D212C-A2EC-41DB-950F-575FE1B5FF48}"/>
    <cellStyle name="Normal 18 15" xfId="77" xr:uid="{010AA792-72B8-47DE-8455-7DDF87D4F1F5}"/>
    <cellStyle name="Normal 18 16" xfId="78" xr:uid="{C5EBD136-D4F4-4BF3-9941-39D3B42434E7}"/>
    <cellStyle name="Normal 18 17" xfId="79" xr:uid="{91E60AF7-30FB-440F-A148-51304F933A31}"/>
    <cellStyle name="Normal 18 18" xfId="80" xr:uid="{85FE3A97-D2F6-4186-9A6F-8BCE84625932}"/>
    <cellStyle name="Normal 18 19" xfId="81" xr:uid="{189464A8-FB7A-4046-BA7D-FFE5501E7063}"/>
    <cellStyle name="Normal 18 2" xfId="82" xr:uid="{14CB941F-F39B-4FC9-B8D2-7A18293F430D}"/>
    <cellStyle name="Normal 18 20" xfId="83" xr:uid="{80622C12-798D-4A96-95AF-C76572E1653D}"/>
    <cellStyle name="Normal 18 21" xfId="84" xr:uid="{B9286313-8EA5-4A57-9C35-A475EE650252}"/>
    <cellStyle name="Normal 18 22" xfId="85" xr:uid="{4F8E8755-31FB-476F-990F-48A3C8A79416}"/>
    <cellStyle name="Normal 18 23" xfId="86" xr:uid="{E8433AC6-88EE-4294-87F1-07BDB616D9DC}"/>
    <cellStyle name="Normal 18 24" xfId="87" xr:uid="{2230CE94-49E2-49C4-9F5A-034584AEC450}"/>
    <cellStyle name="Normal 18 3" xfId="88" xr:uid="{EA6342B4-2AFB-4422-8BE2-D59B733337BE}"/>
    <cellStyle name="Normal 18 4" xfId="89" xr:uid="{8E8D1AC2-BC8C-459B-B3BF-21D9A924F37D}"/>
    <cellStyle name="Normal 18 5" xfId="90" xr:uid="{88D26C74-4384-40A4-A942-96F1F5B76F88}"/>
    <cellStyle name="Normal 18 6" xfId="91" xr:uid="{143D2F0B-4CA9-4C3F-9E1B-6CE4961FA855}"/>
    <cellStyle name="Normal 18 7" xfId="92" xr:uid="{297CEA92-CA6A-42C6-B485-C92A137341D5}"/>
    <cellStyle name="Normal 18 8" xfId="93" xr:uid="{06DA1A8C-C0B4-400C-8995-E8D4EDD4BA53}"/>
    <cellStyle name="Normal 18 9" xfId="94" xr:uid="{B187BD1C-532F-450D-A649-53A1832E12BF}"/>
    <cellStyle name="Normal 19 10" xfId="95" xr:uid="{0A6CCE02-3831-410E-B8AA-2B99A0C1A3CD}"/>
    <cellStyle name="Normal 19 11" xfId="96" xr:uid="{49AB3416-1ACA-4ABE-82E0-1387B49BAFE8}"/>
    <cellStyle name="Normal 19 12" xfId="97" xr:uid="{04B23A51-3201-4ABC-88AB-C98331889F82}"/>
    <cellStyle name="Normal 19 13" xfId="98" xr:uid="{E05089BC-7FB9-4F50-9AAE-306FE636541D}"/>
    <cellStyle name="Normal 19 14" xfId="99" xr:uid="{880E7D5D-D36A-4F0D-A6BF-9D007D06F75F}"/>
    <cellStyle name="Normal 19 15" xfId="100" xr:uid="{E29AB96E-A3DF-4252-808F-97BAABF66BD4}"/>
    <cellStyle name="Normal 19 16" xfId="101" xr:uid="{3F422EBE-6048-4E08-AE3E-F799438C3D44}"/>
    <cellStyle name="Normal 19 17" xfId="102" xr:uid="{1D98F849-59A7-42B1-B201-E3B7350984B7}"/>
    <cellStyle name="Normal 19 18" xfId="103" xr:uid="{DA3486CE-46A9-4803-91CE-FCE76FF8B8C5}"/>
    <cellStyle name="Normal 19 19" xfId="104" xr:uid="{53664D85-1094-4442-9E60-2CD9E46F348B}"/>
    <cellStyle name="Normal 19 2" xfId="105" xr:uid="{AA5DA1E8-4E5D-467B-8B01-2FA81CB66A40}"/>
    <cellStyle name="Normal 19 20" xfId="106" xr:uid="{DB1B3056-9502-4ABF-8000-9FACDE42C452}"/>
    <cellStyle name="Normal 19 21" xfId="107" xr:uid="{AD301BFE-FDD5-4574-A1CD-874F9C7CB13F}"/>
    <cellStyle name="Normal 19 22" xfId="108" xr:uid="{3E1564A1-6E3B-4001-8191-FD4C4EF8572E}"/>
    <cellStyle name="Normal 19 23" xfId="109" xr:uid="{08582EC6-13B0-4E57-B953-C5670AF96F28}"/>
    <cellStyle name="Normal 19 24" xfId="110" xr:uid="{1369D583-DC5A-4DCD-BD89-CD89BB1D6B4D}"/>
    <cellStyle name="Normal 19 3" xfId="111" xr:uid="{8B3EFD0F-80B4-4DB2-A24C-0CA6637E116B}"/>
    <cellStyle name="Normal 19 4" xfId="112" xr:uid="{6300AF38-C0F0-423A-8C97-9AB34F7FEDFC}"/>
    <cellStyle name="Normal 19 5" xfId="113" xr:uid="{56A198BC-2CE1-453B-9628-852265F34617}"/>
    <cellStyle name="Normal 19 6" xfId="114" xr:uid="{5EB11A10-614E-4577-8C2E-276AF0C9F2D8}"/>
    <cellStyle name="Normal 19 7" xfId="115" xr:uid="{131A2EA6-382E-4227-8906-D4DF69A67410}"/>
    <cellStyle name="Normal 19 8" xfId="116" xr:uid="{BCD53AA1-5ADA-4FBB-98D2-B08F6D1CE25A}"/>
    <cellStyle name="Normal 19 9" xfId="117" xr:uid="{8664764A-C97F-4DC5-BD5B-00CC880846F5}"/>
    <cellStyle name="Normal 2" xfId="118" xr:uid="{03FEE311-D8F2-4DF0-881E-DF98E263CB5C}"/>
    <cellStyle name="Normal 2 10" xfId="119" xr:uid="{4460F1A9-0473-4DE7-B5C2-8312867552DA}"/>
    <cellStyle name="Normal 2 11" xfId="120" xr:uid="{FC0CDE97-6C94-4BA7-93B8-469B4C745A22}"/>
    <cellStyle name="Normal 2 12" xfId="121" xr:uid="{78060E77-951F-42A7-B694-D652C0F7E9BC}"/>
    <cellStyle name="Normal 2 13" xfId="122" xr:uid="{6065833B-D3A2-475A-81A1-07B7B1D8A285}"/>
    <cellStyle name="Normal 2 14" xfId="123" xr:uid="{A02753B4-D9A5-43DF-832D-88906AE3E086}"/>
    <cellStyle name="Normal 2 15" xfId="124" xr:uid="{1A2333C4-E5E3-41A2-A406-98523BBE9673}"/>
    <cellStyle name="Normal 2 16" xfId="125" xr:uid="{36FE87A6-A731-469B-BEA1-77DEF9DCC290}"/>
    <cellStyle name="Normal 2 17" xfId="126" xr:uid="{51DE54AF-56AA-412B-8145-83030AA2DE98}"/>
    <cellStyle name="Normal 2 18" xfId="127" xr:uid="{B97F12E7-8FBA-4878-BE16-3749E0BA3851}"/>
    <cellStyle name="Normal 2 19" xfId="128" xr:uid="{0FE1304B-F256-424C-8867-22B1D3760FBA}"/>
    <cellStyle name="Normal 2 2" xfId="129" xr:uid="{36675592-508D-4641-8392-7686753E6239}"/>
    <cellStyle name="Normal 2 2 2" xfId="130" xr:uid="{342B8237-0894-4BBA-9CD4-BA835588E926}"/>
    <cellStyle name="Normal 2 2 3" xfId="131" xr:uid="{52317CDB-6669-40DC-B488-CE9711755522}"/>
    <cellStyle name="Normal 2 20" xfId="132" xr:uid="{10B81FF7-307F-4A1B-AA07-CEF02D4A63AC}"/>
    <cellStyle name="Normal 2 21" xfId="133" xr:uid="{54F39E0D-4211-4EC1-B923-33FBD15F7582}"/>
    <cellStyle name="Normal 2 22" xfId="134" xr:uid="{2BD62ED5-E215-4391-A1AB-D1A43F379B43}"/>
    <cellStyle name="Normal 2 23" xfId="135" xr:uid="{BA9E2F24-A196-4CE9-BB09-6BAC8F405BB1}"/>
    <cellStyle name="Normal 2 24" xfId="136" xr:uid="{3B91F08F-3657-4BBC-B372-3FA24636EEEC}"/>
    <cellStyle name="Normal 2 25" xfId="137" xr:uid="{CCFAF2D7-D15F-4D2E-B16B-DC38240AE105}"/>
    <cellStyle name="Normal 2 26" xfId="138" xr:uid="{FB771D92-DD23-42F7-8166-82AC928291C3}"/>
    <cellStyle name="Normal 2 27" xfId="139" xr:uid="{5482C6EE-6DE3-4CAF-BFFC-2E415657100A}"/>
    <cellStyle name="Normal 2 28" xfId="140" xr:uid="{F1FF67EF-8F9F-4DF8-B2A7-FF3C2F6F90F7}"/>
    <cellStyle name="Normal 2 29" xfId="141" xr:uid="{D2F7CEFF-2F6A-4C1B-A81B-31C96AB6C23E}"/>
    <cellStyle name="Normal 2 3" xfId="142" xr:uid="{93D337E9-FF5B-47BF-9B9C-960CD033EF90}"/>
    <cellStyle name="Normal 2 3 2" xfId="143" xr:uid="{F439F819-BDF3-4DB9-AE26-AFA4F5E538DE}"/>
    <cellStyle name="Normal 2 30" xfId="144" xr:uid="{9090BF67-11A6-4C1C-9267-E9D27755C96C}"/>
    <cellStyle name="Normal 2 31" xfId="145" xr:uid="{36F470CA-5DD7-4726-820E-D20CE384D275}"/>
    <cellStyle name="Normal 2 32" xfId="146" xr:uid="{137FB089-A8D0-4DF3-8A53-13760AD95323}"/>
    <cellStyle name="Normal 2 33" xfId="147" xr:uid="{03A75CC3-1AD3-4EF5-A4A6-7F832D6DB1D2}"/>
    <cellStyle name="Normal 2 34" xfId="148" xr:uid="{BED84B27-0412-4885-A363-28A58F9DE3EE}"/>
    <cellStyle name="Normal 2 35" xfId="149" xr:uid="{7E59C419-FAF0-48E2-A480-3B4BDF5B1870}"/>
    <cellStyle name="Normal 2 36" xfId="150" xr:uid="{0B03916E-8465-4E3A-BFBD-6F2A7857F658}"/>
    <cellStyle name="Normal 2 37" xfId="151" xr:uid="{96F4E8D9-EC47-47D2-AFF2-B09CBE3F97B0}"/>
    <cellStyle name="Normal 2 4" xfId="152" xr:uid="{0A9279C7-0AE8-472C-B7CF-68C7E6EF9288}"/>
    <cellStyle name="Normal 2 4 2 2" xfId="153" xr:uid="{FC5DEC94-AFB4-4E07-8E2C-606A2B87C86D}"/>
    <cellStyle name="Normal 2 5" xfId="154" xr:uid="{1CC95E9D-6E16-436E-AE07-CC537978AEB6}"/>
    <cellStyle name="Normal 2 6" xfId="155" xr:uid="{ED58540E-CD2B-4E1B-B76F-CAFD01EE201F}"/>
    <cellStyle name="Normal 2 6 2" xfId="156" xr:uid="{19F9599E-0EC7-44C3-ACDF-84BC49270BF5}"/>
    <cellStyle name="Normal 2 6 2 2" xfId="786" xr:uid="{BFDAF93A-9823-4D1C-ABE5-D2358317983F}"/>
    <cellStyle name="Normal 2 6 3" xfId="157" xr:uid="{35E2F20E-F318-47FC-B79C-7610F1E59548}"/>
    <cellStyle name="Normal 2 6 3 2" xfId="787" xr:uid="{7EBB1936-D913-481F-892F-74B924299076}"/>
    <cellStyle name="Normal 2 7" xfId="158" xr:uid="{8615172B-EAA2-4DAB-8EB9-263D601B7C67}"/>
    <cellStyle name="Normal 2 8" xfId="159" xr:uid="{48D64627-6120-4630-AB70-0ED9AB6B76DA}"/>
    <cellStyle name="Normal 2 9" xfId="160" xr:uid="{5EE1D7AB-416F-437C-94E5-9374C850F38B}"/>
    <cellStyle name="Normal 20 10" xfId="161" xr:uid="{8EEAA91F-58C3-4DF1-A154-8A4EB2B76648}"/>
    <cellStyle name="Normal 20 11" xfId="162" xr:uid="{9549A224-B0C9-4C2B-A0F1-646D9B77F09D}"/>
    <cellStyle name="Normal 20 12" xfId="163" xr:uid="{F11690B2-BF48-4A6D-82AC-1C1B1356D1B2}"/>
    <cellStyle name="Normal 20 13" xfId="164" xr:uid="{AFB27DF5-8B6F-46B6-BDB2-3D46937E5906}"/>
    <cellStyle name="Normal 20 14" xfId="165" xr:uid="{168EDD43-739F-4F1D-8F26-11855BE164AB}"/>
    <cellStyle name="Normal 20 15" xfId="166" xr:uid="{7C8E2E06-D3DE-45BC-8DF3-8465A9E587E8}"/>
    <cellStyle name="Normal 20 16" xfId="167" xr:uid="{C0EBD899-DA76-4D9C-85EE-3926A8FEF355}"/>
    <cellStyle name="Normal 20 17" xfId="168" xr:uid="{D71F27BE-D630-4F02-8A97-CACFE015D2D7}"/>
    <cellStyle name="Normal 20 18" xfId="169" xr:uid="{F5013492-7CE8-4F24-8942-9DB1AD6D77CD}"/>
    <cellStyle name="Normal 20 19" xfId="170" xr:uid="{6F5B90EC-5C50-4911-BF22-2024575D866D}"/>
    <cellStyle name="Normal 20 2" xfId="171" xr:uid="{57F52515-8F9D-4072-942D-8D21D79D0185}"/>
    <cellStyle name="Normal 20 20" xfId="172" xr:uid="{214B42D2-AE28-4986-AEF9-9BA1CA6AA25A}"/>
    <cellStyle name="Normal 20 21" xfId="173" xr:uid="{7182B97B-BA57-461C-8DEA-33420720A52B}"/>
    <cellStyle name="Normal 20 22" xfId="174" xr:uid="{90ECDED6-FA2F-4AC5-B25E-6ED0BA2654B6}"/>
    <cellStyle name="Normal 20 23" xfId="175" xr:uid="{641C2197-8B73-4E09-8E27-0A7FD0EEE2ED}"/>
    <cellStyle name="Normal 20 24" xfId="176" xr:uid="{40E83E27-1DF4-410D-835C-1D2D1B577BB9}"/>
    <cellStyle name="Normal 20 3" xfId="177" xr:uid="{97CF9C66-0C57-40D9-A0C1-9F0E04DB59F9}"/>
    <cellStyle name="Normal 20 4" xfId="178" xr:uid="{CD863B41-34C5-4C70-95D7-FFAFEEF047EE}"/>
    <cellStyle name="Normal 20 5" xfId="179" xr:uid="{8A004AA1-9CDE-4920-8660-59D58C0292D1}"/>
    <cellStyle name="Normal 20 6" xfId="180" xr:uid="{CB80D6DF-C9DA-47D5-90A8-221B0C4D018E}"/>
    <cellStyle name="Normal 20 7" xfId="181" xr:uid="{D45BC7F8-6F79-40D1-A05F-2FC1E49E380D}"/>
    <cellStyle name="Normal 20 8" xfId="182" xr:uid="{2A856B2B-68EF-42D7-8441-AC23CD2C1671}"/>
    <cellStyle name="Normal 20 9" xfId="183" xr:uid="{C90534D8-E005-4F8B-9A0C-2FB180FFF462}"/>
    <cellStyle name="Normal 21" xfId="184" xr:uid="{762A5153-E810-4E7A-96DB-8987AF379515}"/>
    <cellStyle name="Normal 21 10" xfId="185" xr:uid="{C704CE1E-D7C3-4DBE-9B06-A5E63273E0E1}"/>
    <cellStyle name="Normal 21 11" xfId="186" xr:uid="{A5266C38-F93B-4F60-856C-D96BBBE0DC91}"/>
    <cellStyle name="Normal 21 12" xfId="187" xr:uid="{1350B1B3-5A8F-4606-A9B0-981A9FA396C2}"/>
    <cellStyle name="Normal 21 13" xfId="188" xr:uid="{56F2B50E-7EB9-447F-A569-D9BA8BC54EE8}"/>
    <cellStyle name="Normal 21 14" xfId="189" xr:uid="{9ED19A6F-D05B-4CB8-BD52-56A6A6A495FE}"/>
    <cellStyle name="Normal 21 15" xfId="190" xr:uid="{5AE02E42-CC71-4301-834E-D81E1DD3D493}"/>
    <cellStyle name="Normal 21 16" xfId="191" xr:uid="{40718305-A66F-4D6B-A155-2FDF74F38192}"/>
    <cellStyle name="Normal 21 17" xfId="192" xr:uid="{C2006B0C-AD1A-4576-8BAE-24A00C165A8A}"/>
    <cellStyle name="Normal 21 18" xfId="193" xr:uid="{02BE1B9D-0BED-4925-9C32-89F1C061777A}"/>
    <cellStyle name="Normal 21 19" xfId="194" xr:uid="{12C9B723-BFC4-454D-8E21-F7923F2F26B6}"/>
    <cellStyle name="Normal 21 2" xfId="195" xr:uid="{4619E573-D247-467B-8A39-0C883757EF62}"/>
    <cellStyle name="Normal 21 20" xfId="196" xr:uid="{3DED7CA8-BB3C-4E72-B6ED-5943D6ADDA46}"/>
    <cellStyle name="Normal 21 21" xfId="197" xr:uid="{793ACC49-B4D5-4799-B33A-983815373085}"/>
    <cellStyle name="Normal 21 22" xfId="198" xr:uid="{109BE5BE-4BBB-4857-93BB-6AFEB161510B}"/>
    <cellStyle name="Normal 21 23" xfId="199" xr:uid="{6C386DFD-14C2-4A23-9A0F-B0A30EC67F71}"/>
    <cellStyle name="Normal 21 24" xfId="200" xr:uid="{B0FF1500-98CE-490B-A3DD-4EE439000CB7}"/>
    <cellStyle name="Normal 21 25" xfId="788" xr:uid="{9510422C-6386-4095-B2A5-EFD741938071}"/>
    <cellStyle name="Normal 21 3" xfId="201" xr:uid="{700DE9A6-E061-45E2-AB18-3A69FC38B896}"/>
    <cellStyle name="Normal 21 4" xfId="202" xr:uid="{219103EE-4321-4A0E-961F-98F9677D7E31}"/>
    <cellStyle name="Normal 21 5" xfId="203" xr:uid="{5CE0717B-95C1-4B6E-891B-740C3BCDEB2F}"/>
    <cellStyle name="Normal 21 6" xfId="204" xr:uid="{BB601A55-BD4E-4DC6-9F78-2CDD0F0BF0F6}"/>
    <cellStyle name="Normal 21 7" xfId="205" xr:uid="{97072B70-21EB-4DA4-8CDE-ED1FAD268BA0}"/>
    <cellStyle name="Normal 21 8" xfId="206" xr:uid="{54835842-A608-4AF8-BABD-7C9880A73B8D}"/>
    <cellStyle name="Normal 21 9" xfId="207" xr:uid="{2AA22AA7-2887-4B04-9D30-43212EBF6A61}"/>
    <cellStyle name="Normal 22 10" xfId="208" xr:uid="{5C02F85A-BEC6-4BED-AAFF-B1FA6EC85BA3}"/>
    <cellStyle name="Normal 22 11" xfId="209" xr:uid="{F13D399C-7900-4E62-BE9B-9CB66D0EBE9C}"/>
    <cellStyle name="Normal 22 12" xfId="210" xr:uid="{73A932B7-8375-4E82-9039-02C2C8997024}"/>
    <cellStyle name="Normal 22 13" xfId="211" xr:uid="{E0782B5B-DBD3-47F6-BAF2-E03E5DC1E305}"/>
    <cellStyle name="Normal 22 14" xfId="212" xr:uid="{08F4F00A-6CDE-4BF2-9D87-9BBD93F28BD1}"/>
    <cellStyle name="Normal 22 15" xfId="213" xr:uid="{566FBBB7-405B-4ECE-9B06-F1C4EB4A86C7}"/>
    <cellStyle name="Normal 22 16" xfId="214" xr:uid="{C0A48CA4-7D0D-40DD-A56F-A00D97D7D622}"/>
    <cellStyle name="Normal 22 17" xfId="215" xr:uid="{E97C8502-10EC-4818-9DA3-9B43C97080D2}"/>
    <cellStyle name="Normal 22 18" xfId="216" xr:uid="{E8048CEE-CEC4-405B-9307-28912CB66786}"/>
    <cellStyle name="Normal 22 19" xfId="217" xr:uid="{E37B44F9-8209-49AD-AE49-D0F65A3FBA74}"/>
    <cellStyle name="Normal 22 2" xfId="218" xr:uid="{A54B6BDB-D29E-4C4D-920F-75A2BD64DF66}"/>
    <cellStyle name="Normal 22 20" xfId="219" xr:uid="{04E3C14C-DB0C-48B5-9279-17CAD1E7C13A}"/>
    <cellStyle name="Normal 22 21" xfId="220" xr:uid="{07AA0BD1-A32B-421F-B5CB-653270803955}"/>
    <cellStyle name="Normal 22 22" xfId="221" xr:uid="{5D984D2E-DD81-41E3-A25A-221D403B29A0}"/>
    <cellStyle name="Normal 22 23" xfId="222" xr:uid="{6FBD3228-05C8-4594-BED1-ABDBAED0B615}"/>
    <cellStyle name="Normal 22 24" xfId="223" xr:uid="{72A06F9D-0738-44EC-88CC-B850E1BDA97D}"/>
    <cellStyle name="Normal 22 3" xfId="224" xr:uid="{06877679-CA7B-41FE-89FA-6AB92CB45DE7}"/>
    <cellStyle name="Normal 22 4" xfId="225" xr:uid="{6E9F6852-B274-466A-9CE4-186180A3AFD2}"/>
    <cellStyle name="Normal 22 5" xfId="226" xr:uid="{E570E2C2-F64F-4E10-A6A4-4A49302131AC}"/>
    <cellStyle name="Normal 22 6" xfId="227" xr:uid="{7C190B56-3533-4834-9040-0AF3CC4E7EB8}"/>
    <cellStyle name="Normal 22 7" xfId="228" xr:uid="{D0819525-B1E9-4B28-8D66-4449F8CE3A65}"/>
    <cellStyle name="Normal 22 8" xfId="229" xr:uid="{D209E5B3-22FC-470F-ADAB-79459059E9CD}"/>
    <cellStyle name="Normal 22 9" xfId="230" xr:uid="{83B9FC4F-93AE-4707-8C16-C38B5C03C7CD}"/>
    <cellStyle name="Normal 23 10" xfId="231" xr:uid="{05F9E329-CBF5-4870-86F5-EFE11EAEF622}"/>
    <cellStyle name="Normal 23 11" xfId="232" xr:uid="{F3096E8B-9867-481E-83A5-8715E765F63A}"/>
    <cellStyle name="Normal 23 12" xfId="233" xr:uid="{D8D1F73D-E4CC-4481-AD55-088F6733D575}"/>
    <cellStyle name="Normal 23 13" xfId="234" xr:uid="{1A297E3C-7B73-43A8-9AE7-FEC03AFE26A8}"/>
    <cellStyle name="Normal 23 14" xfId="235" xr:uid="{996D6603-5288-4EF7-B10A-57B25E841395}"/>
    <cellStyle name="Normal 23 15" xfId="236" xr:uid="{265D830F-037C-496B-9C04-49762CF37BB7}"/>
    <cellStyle name="Normal 23 16" xfId="237" xr:uid="{8E4F47B0-3FC8-4B66-A91A-04A057F643AD}"/>
    <cellStyle name="Normal 23 17" xfId="238" xr:uid="{F6FBD6F0-8BCA-4E6E-A493-AFACCA3EEEB0}"/>
    <cellStyle name="Normal 23 18" xfId="239" xr:uid="{358AB184-41ED-4BD5-B276-F12E091105FA}"/>
    <cellStyle name="Normal 23 19" xfId="240" xr:uid="{F0C8F58C-83F2-4E04-8D04-EAB682804AB0}"/>
    <cellStyle name="Normal 23 2" xfId="241" xr:uid="{3C0D54DB-0810-4CFB-B4B3-1343081CECF1}"/>
    <cellStyle name="Normal 23 20" xfId="242" xr:uid="{8309A21F-5EAF-4183-A9BC-28A63281D651}"/>
    <cellStyle name="Normal 23 21" xfId="243" xr:uid="{08BCA83E-91E2-4518-BA2D-65D88C56CEFE}"/>
    <cellStyle name="Normal 23 22" xfId="244" xr:uid="{AE9447C6-FADC-4B40-8CF6-3D2D4DFEC15E}"/>
    <cellStyle name="Normal 23 23" xfId="245" xr:uid="{348BC178-6A80-4DA8-807A-903D8369284A}"/>
    <cellStyle name="Normal 23 24" xfId="246" xr:uid="{232315F8-9CBA-405F-9C14-67D647345F69}"/>
    <cellStyle name="Normal 23 3" xfId="247" xr:uid="{5C54AC5F-8864-4216-8F97-2AA57812DFD0}"/>
    <cellStyle name="Normal 23 4" xfId="248" xr:uid="{B856FB76-B7A8-4AF6-AD46-BBDD69D0488D}"/>
    <cellStyle name="Normal 23 5" xfId="249" xr:uid="{FA43B132-2534-4656-99F5-DCDEEA96E224}"/>
    <cellStyle name="Normal 23 6" xfId="250" xr:uid="{98EEEF32-8E16-4092-B42A-E82606176289}"/>
    <cellStyle name="Normal 23 7" xfId="251" xr:uid="{329DF932-C894-4948-B750-707D1CB26AF4}"/>
    <cellStyle name="Normal 23 8" xfId="252" xr:uid="{8AA7BDBD-DCCA-4ECA-9867-74514E716307}"/>
    <cellStyle name="Normal 23 9" xfId="253" xr:uid="{EDFA9F0A-E15A-4285-8B11-09799ACED797}"/>
    <cellStyle name="Normal 24 10" xfId="254" xr:uid="{B7F5E928-7C7B-4AB5-BBC9-415A702496C2}"/>
    <cellStyle name="Normal 24 11" xfId="255" xr:uid="{A700B932-46CB-4D5B-8181-488A737219DF}"/>
    <cellStyle name="Normal 24 12" xfId="256" xr:uid="{96518EC4-465B-4C04-9F3C-413EB8D7DE36}"/>
    <cellStyle name="Normal 24 13" xfId="257" xr:uid="{2E084180-8FC7-4E74-8A2E-F1E4905445E2}"/>
    <cellStyle name="Normal 24 14" xfId="258" xr:uid="{DC7BF982-8410-4B8F-B53E-88D0DF602A84}"/>
    <cellStyle name="Normal 24 15" xfId="259" xr:uid="{A42EB198-ED97-4812-80ED-8CF3595BFBF0}"/>
    <cellStyle name="Normal 24 16" xfId="260" xr:uid="{FA2A914B-7152-4377-AD66-605FB37F0BB0}"/>
    <cellStyle name="Normal 24 17" xfId="261" xr:uid="{807B6A01-AC69-4083-871A-0107DD2F892B}"/>
    <cellStyle name="Normal 24 18" xfId="262" xr:uid="{E87565AA-B010-424E-99E3-540D5F7C2B1E}"/>
    <cellStyle name="Normal 24 19" xfId="263" xr:uid="{26A4F733-626B-4091-B7C9-77E8355C908F}"/>
    <cellStyle name="Normal 24 2" xfId="264" xr:uid="{9414F622-EF27-4B12-94E2-44B43301CC8F}"/>
    <cellStyle name="Normal 24 20" xfId="265" xr:uid="{489EBF52-1990-4981-8C89-63F4BB9C51C8}"/>
    <cellStyle name="Normal 24 21" xfId="266" xr:uid="{8F927A9F-71FC-4F10-A19F-B2B02096B75C}"/>
    <cellStyle name="Normal 24 22" xfId="267" xr:uid="{7F075BAE-EC83-471C-BBAD-350E03AEC655}"/>
    <cellStyle name="Normal 24 23" xfId="268" xr:uid="{5EA203D6-5E26-4D6B-88AC-139C1A285C82}"/>
    <cellStyle name="Normal 24 24" xfId="269" xr:uid="{9068CDEC-0E77-4BE6-B28F-B56FB227D864}"/>
    <cellStyle name="Normal 24 3" xfId="270" xr:uid="{55DD7680-4EB9-4839-B85A-ED8D0ED83F2F}"/>
    <cellStyle name="Normal 24 4" xfId="271" xr:uid="{5AB7F157-A16D-4BFC-A8AD-4393B2B9758D}"/>
    <cellStyle name="Normal 24 5" xfId="272" xr:uid="{4410B860-696E-4CBF-BC11-7989393C75E2}"/>
    <cellStyle name="Normal 24 6" xfId="273" xr:uid="{C1A62243-587A-477B-B71E-50C2AD07D259}"/>
    <cellStyle name="Normal 24 7" xfId="274" xr:uid="{7E508572-C42C-4816-AAEF-8089F1ADD683}"/>
    <cellStyle name="Normal 24 8" xfId="275" xr:uid="{0D45E253-7E0E-4F0A-8A76-17C49A05B7B3}"/>
    <cellStyle name="Normal 24 9" xfId="276" xr:uid="{16D99151-4B97-44C8-AFCE-9056F709C730}"/>
    <cellStyle name="Normal 25 2" xfId="277" xr:uid="{DD4D579C-CF91-4E6C-9817-DB8ABB55B96B}"/>
    <cellStyle name="Normal 26" xfId="278" xr:uid="{3D05A510-0229-450C-B7BD-B18257F2A06E}"/>
    <cellStyle name="Normal 26 10" xfId="279" xr:uid="{B693BCE5-AF05-48CC-85B6-C3866E80FBF0}"/>
    <cellStyle name="Normal 26 11" xfId="280" xr:uid="{B950634F-C668-4296-8775-1633BBAD54CC}"/>
    <cellStyle name="Normal 26 12" xfId="281" xr:uid="{73069247-7AB5-43E5-8CDE-51BD7E3BC41D}"/>
    <cellStyle name="Normal 26 13" xfId="282" xr:uid="{6A3B2EBD-811C-43ED-BCB9-03CEE0C6E976}"/>
    <cellStyle name="Normal 26 14" xfId="283" xr:uid="{CC0F658D-974C-42E3-B676-FDCCC6474875}"/>
    <cellStyle name="Normal 26 15" xfId="284" xr:uid="{278E0A78-323D-47D3-8FD4-E7798BF2D3F4}"/>
    <cellStyle name="Normal 26 16" xfId="285" xr:uid="{E946B6CB-8503-438A-852A-D2C825A7D772}"/>
    <cellStyle name="Normal 26 17" xfId="286" xr:uid="{E7003250-D7B3-40A9-A40D-CA1B481D8261}"/>
    <cellStyle name="Normal 26 18" xfId="287" xr:uid="{2E7ACD30-0942-4BCA-B9AB-EE49AAF32712}"/>
    <cellStyle name="Normal 26 19" xfId="288" xr:uid="{F0E13373-0B05-4550-B2EA-FE5405FE8C52}"/>
    <cellStyle name="Normal 26 2" xfId="289" xr:uid="{94A58DEC-7E7E-468A-A16C-3DC6CE0E0FF8}"/>
    <cellStyle name="Normal 26 20" xfId="290" xr:uid="{31C6A323-8B8B-4945-8CBF-86D77DC76614}"/>
    <cellStyle name="Normal 26 21" xfId="291" xr:uid="{FCF865B2-5A96-4D59-BF3F-46672FBAD06A}"/>
    <cellStyle name="Normal 26 22" xfId="292" xr:uid="{A1DFAACE-33C6-4584-8DBC-FBF8B42522A9}"/>
    <cellStyle name="Normal 26 23" xfId="293" xr:uid="{EED9F0D2-9723-4518-8852-FDE4CDBE6F9A}"/>
    <cellStyle name="Normal 26 24" xfId="294" xr:uid="{700DF5E8-FD02-4C55-871E-A2FFAE7D7286}"/>
    <cellStyle name="Normal 26 3" xfId="295" xr:uid="{B8D97EBB-8960-4B38-911C-4E3F9A817B90}"/>
    <cellStyle name="Normal 26 4" xfId="296" xr:uid="{7BF42C91-D50D-49CA-97E5-50D301545A03}"/>
    <cellStyle name="Normal 26 5" xfId="297" xr:uid="{18561BD0-7CAD-4A83-8F98-71D818A455EF}"/>
    <cellStyle name="Normal 26 6" xfId="298" xr:uid="{AEA2CA22-31CE-4B86-9CBA-5767640A6A1E}"/>
    <cellStyle name="Normal 26 7" xfId="299" xr:uid="{A3B809B9-31AB-4D4B-B3BA-69BFD2733638}"/>
    <cellStyle name="Normal 26 8" xfId="300" xr:uid="{ABEE89F4-EA35-4CD6-8BD3-959C573967EA}"/>
    <cellStyle name="Normal 26 9" xfId="301" xr:uid="{B2A424FD-3A67-4EC9-A421-BB494BD32037}"/>
    <cellStyle name="Normal 27 10" xfId="302" xr:uid="{FC1328B6-C6A1-4FBD-8AA2-D6F5777B9D95}"/>
    <cellStyle name="Normal 27 11" xfId="303" xr:uid="{6B9121D5-284C-4E95-B313-787EF902499A}"/>
    <cellStyle name="Normal 27 12" xfId="304" xr:uid="{4ED4BB30-69FC-4500-BE2D-16EC0FCEBD54}"/>
    <cellStyle name="Normal 27 13" xfId="305" xr:uid="{2D419449-7964-4A50-86F6-C2F16607A310}"/>
    <cellStyle name="Normal 27 14" xfId="306" xr:uid="{E970FCF6-5CA3-4E3B-A680-7A27180E94CE}"/>
    <cellStyle name="Normal 27 15" xfId="307" xr:uid="{E9CD5887-468F-42A0-84AD-CB1D836AA336}"/>
    <cellStyle name="Normal 27 16" xfId="308" xr:uid="{9D89E74D-9F95-4932-8B1F-02ACFD90873A}"/>
    <cellStyle name="Normal 27 17" xfId="309" xr:uid="{99FA7666-4080-4DA3-8ACD-0EA39E58FF34}"/>
    <cellStyle name="Normal 27 18" xfId="310" xr:uid="{F6F0A767-7D3A-412E-899D-B9DA47F6F8BD}"/>
    <cellStyle name="Normal 27 19" xfId="311" xr:uid="{2B297922-5BC1-4B19-8D17-21F2B79F1B04}"/>
    <cellStyle name="Normal 27 2" xfId="312" xr:uid="{0D4D0E2D-49EC-4D59-B8A9-B370C1A29228}"/>
    <cellStyle name="Normal 27 20" xfId="313" xr:uid="{B091C08A-0BE7-423C-B413-20EB41DB5505}"/>
    <cellStyle name="Normal 27 21" xfId="314" xr:uid="{EDDDCB35-9C9F-48D7-83E0-DA3BB79D0C3F}"/>
    <cellStyle name="Normal 27 22" xfId="315" xr:uid="{3E5D84FF-2AF2-4834-9ABD-D6BA6D5B61B6}"/>
    <cellStyle name="Normal 27 23" xfId="316" xr:uid="{B5FE22E2-72DE-4777-B773-F7798C44224E}"/>
    <cellStyle name="Normal 27 24" xfId="317" xr:uid="{8627EF7A-D27C-4405-9991-87B6B88C64A2}"/>
    <cellStyle name="Normal 27 3" xfId="318" xr:uid="{6911FD73-16D7-48CE-9AB2-2F455F2E2004}"/>
    <cellStyle name="Normal 27 4" xfId="319" xr:uid="{689709E6-840A-4B68-ACF9-38258AB3F398}"/>
    <cellStyle name="Normal 27 5" xfId="320" xr:uid="{1A35675E-2511-4FF0-B894-0384A8397901}"/>
    <cellStyle name="Normal 27 6" xfId="321" xr:uid="{927D6299-F9C7-4A6E-9848-4D90BFD927AF}"/>
    <cellStyle name="Normal 27 7" xfId="322" xr:uid="{267339E9-2099-4DF0-8A3C-565000A0B4A5}"/>
    <cellStyle name="Normal 27 8" xfId="323" xr:uid="{A61EFAEB-9702-466C-99B9-32461D505AF1}"/>
    <cellStyle name="Normal 27 9" xfId="324" xr:uid="{A8D70E7A-EB6A-4A0C-898B-3DDA4754589F}"/>
    <cellStyle name="Normal 28 10" xfId="325" xr:uid="{43AB133D-1F66-42EB-A7EA-8FE26834405D}"/>
    <cellStyle name="Normal 28 11" xfId="326" xr:uid="{29BAAA52-0C22-4A5F-BC43-C4F6A0695CF2}"/>
    <cellStyle name="Normal 28 12" xfId="327" xr:uid="{9209E7AF-7788-442D-B469-9F8620A82C94}"/>
    <cellStyle name="Normal 28 13" xfId="328" xr:uid="{76BD7A4E-3ADA-40C7-AAEF-CBF82A716058}"/>
    <cellStyle name="Normal 28 14" xfId="329" xr:uid="{63B00FF4-67CC-4D6A-812C-485E12D82762}"/>
    <cellStyle name="Normal 28 15" xfId="330" xr:uid="{F3ECB9AC-C0DE-432B-A682-C84E52B4735D}"/>
    <cellStyle name="Normal 28 16" xfId="331" xr:uid="{72497C7B-2F62-4FEF-BABF-65BF55673B4A}"/>
    <cellStyle name="Normal 28 17" xfId="332" xr:uid="{3600F29F-31D1-4132-84A3-6A966C1FCE29}"/>
    <cellStyle name="Normal 28 18" xfId="333" xr:uid="{CDF51B9A-911C-4E92-8E1A-06D686D2691A}"/>
    <cellStyle name="Normal 28 19" xfId="334" xr:uid="{4276804E-623C-42ED-95F0-F7BD1DAC07C9}"/>
    <cellStyle name="Normal 28 2" xfId="335" xr:uid="{7A12BE82-8FD9-47EF-9340-A11A17D44C10}"/>
    <cellStyle name="Normal 28 20" xfId="336" xr:uid="{835A1EB4-8D22-4178-AE7E-4C425606CE24}"/>
    <cellStyle name="Normal 28 21" xfId="337" xr:uid="{B6F98354-5809-49F0-A028-CED4EF9EBA57}"/>
    <cellStyle name="Normal 28 22" xfId="338" xr:uid="{1F567B58-6A28-4241-8782-01B8AFAAD549}"/>
    <cellStyle name="Normal 28 23" xfId="339" xr:uid="{7A4F89A9-669C-4F4E-AAC8-64EDC53DDA04}"/>
    <cellStyle name="Normal 28 24" xfId="340" xr:uid="{4A874374-B876-4804-A87A-6CEEEF79AD40}"/>
    <cellStyle name="Normal 28 3" xfId="341" xr:uid="{B1F892B7-AC5D-4EC0-B1A9-B560C55ADE78}"/>
    <cellStyle name="Normal 28 4" xfId="342" xr:uid="{6B4A0517-1BC7-47FD-B17C-1AB2B612C602}"/>
    <cellStyle name="Normal 28 5" xfId="343" xr:uid="{78071601-96FD-4340-BC71-FAF675A5F29D}"/>
    <cellStyle name="Normal 28 6" xfId="344" xr:uid="{D290CC14-04F8-4707-AF73-F5C634AC8391}"/>
    <cellStyle name="Normal 28 7" xfId="345" xr:uid="{257DE3CE-28DE-4B1B-A007-7EFB1CE97CB9}"/>
    <cellStyle name="Normal 28 8" xfId="346" xr:uid="{5B001B1A-2144-4CEB-9C7E-98CB4602DBA6}"/>
    <cellStyle name="Normal 28 9" xfId="347" xr:uid="{49B9B460-B247-4123-906D-0E80CF63FC35}"/>
    <cellStyle name="Normal 29 10" xfId="348" xr:uid="{5DD7E98B-08D5-43F6-BC45-BF980EFD572E}"/>
    <cellStyle name="Normal 29 11" xfId="349" xr:uid="{2DC9F088-4E71-4088-B085-7BF4655BF0C1}"/>
    <cellStyle name="Normal 29 12" xfId="350" xr:uid="{DF95D44A-F159-40B8-9E95-B1D272DF77B4}"/>
    <cellStyle name="Normal 29 13" xfId="351" xr:uid="{A4857DBD-01A3-494E-98A0-5E6E58A038FB}"/>
    <cellStyle name="Normal 29 14" xfId="352" xr:uid="{E6DF463C-510E-4A79-AEBF-E78E1E3240E4}"/>
    <cellStyle name="Normal 29 15" xfId="353" xr:uid="{F6A976CF-41BF-4E29-A138-9E599B6EB686}"/>
    <cellStyle name="Normal 29 16" xfId="354" xr:uid="{99DD2F96-C950-4F57-9C6F-453846E21697}"/>
    <cellStyle name="Normal 29 17" xfId="355" xr:uid="{E7850DC9-2813-4924-90DB-4F9AD2B999E4}"/>
    <cellStyle name="Normal 29 18" xfId="356" xr:uid="{4D04821F-19C1-4AE8-AEE4-4F50DD9A2BA2}"/>
    <cellStyle name="Normal 29 19" xfId="357" xr:uid="{4011C1BA-6133-4353-B821-F88F5539900B}"/>
    <cellStyle name="Normal 29 2" xfId="358" xr:uid="{D0679EF3-F428-4AB0-B722-F09B581B9F60}"/>
    <cellStyle name="Normal 29 20" xfId="359" xr:uid="{B459C6B9-E728-46A9-B135-C019BCA77002}"/>
    <cellStyle name="Normal 29 21" xfId="360" xr:uid="{45F70C77-F672-4C13-B791-E57CD6C1836B}"/>
    <cellStyle name="Normal 29 22" xfId="361" xr:uid="{8A894789-C56E-49A9-85B6-BD958A18B9F6}"/>
    <cellStyle name="Normal 29 23" xfId="362" xr:uid="{2BEA2470-4A93-40CF-B3A3-18AC23C599BC}"/>
    <cellStyle name="Normal 29 24" xfId="363" xr:uid="{F2367945-B675-4660-AD80-C950B3D59744}"/>
    <cellStyle name="Normal 29 3" xfId="364" xr:uid="{4CF8D962-C191-4B9B-BD26-3C23E6CA469D}"/>
    <cellStyle name="Normal 29 4" xfId="365" xr:uid="{29856C81-4309-479E-9784-0DAAA56ECEC6}"/>
    <cellStyle name="Normal 29 5" xfId="366" xr:uid="{C4A0D209-4E08-48DE-8841-778E1904F6CE}"/>
    <cellStyle name="Normal 29 6" xfId="367" xr:uid="{3016F043-10E9-4D9A-87C5-CBE9B09F91C5}"/>
    <cellStyle name="Normal 29 7" xfId="368" xr:uid="{A24613EA-CBA4-4B22-B077-4FD4C0C52B71}"/>
    <cellStyle name="Normal 29 8" xfId="369" xr:uid="{B68CB58C-69EA-4524-9B11-2D1A3A502C71}"/>
    <cellStyle name="Normal 29 9" xfId="370" xr:uid="{20EE8DAE-3526-4EA0-938C-4B8A89C91EF3}"/>
    <cellStyle name="Normal 3" xfId="371" xr:uid="{CF47AE77-CD49-4DC8-9DFA-EE3E8BC58EDD}"/>
    <cellStyle name="Normal 3 10" xfId="372" xr:uid="{2AFC3C1F-F391-48F4-AE31-76711D45CC21}"/>
    <cellStyle name="Normal 3 11" xfId="373" xr:uid="{7DFDA854-707D-495F-80DB-0237A33C0995}"/>
    <cellStyle name="Normal 3 12" xfId="374" xr:uid="{5AB2680C-8E6A-4B40-BEB5-62D79F0CFBFC}"/>
    <cellStyle name="Normal 3 13" xfId="375" xr:uid="{D705E4E1-06C2-4D38-B4A2-358DB57E5055}"/>
    <cellStyle name="Normal 3 14" xfId="376" xr:uid="{573CB6B2-8EB1-43AD-9C98-DFC883BF7758}"/>
    <cellStyle name="Normal 3 15" xfId="377" xr:uid="{9DCDE314-F7EE-40C6-8C8F-020DD587FCD3}"/>
    <cellStyle name="Normal 3 16" xfId="378" xr:uid="{077CF171-C4B1-4B05-B9D0-FCE6DAC562BD}"/>
    <cellStyle name="Normal 3 17" xfId="379" xr:uid="{BEC18CA9-A293-4917-B432-F69E3B7641A4}"/>
    <cellStyle name="Normal 3 18" xfId="380" xr:uid="{282FEABE-4A8B-4675-B541-AC2D330E26E6}"/>
    <cellStyle name="Normal 3 19" xfId="381" xr:uid="{C754451A-85FE-40EC-BD4B-1327337A2781}"/>
    <cellStyle name="Normal 3 2" xfId="382" xr:uid="{EA38CC38-A2B1-41A8-84A1-C01C7CCC7909}"/>
    <cellStyle name="Normal 3 2 2" xfId="383" xr:uid="{DCE260EB-233D-4CC9-AA9F-AD72C99DB104}"/>
    <cellStyle name="Normal 3 2 2 3" xfId="384" xr:uid="{3C04C7CC-0020-4C39-8D87-A1D8937B2AE3}"/>
    <cellStyle name="Normal 3 2 2 3 2" xfId="789" xr:uid="{B5D337B8-9E48-49E5-B75B-F53B24648BB0}"/>
    <cellStyle name="Normal 3 2 3" xfId="385" xr:uid="{60A8932C-B88D-492A-A2E6-C128031B74A9}"/>
    <cellStyle name="Normal 3 20" xfId="386" xr:uid="{0508D669-2D68-42C4-851B-CDD6DEFF419E}"/>
    <cellStyle name="Normal 3 21" xfId="387" xr:uid="{76B21EB6-F679-495D-8E67-4F90E881C299}"/>
    <cellStyle name="Normal 3 22" xfId="388" xr:uid="{F3000409-D7AB-47BB-AEA7-4B4B280790BE}"/>
    <cellStyle name="Normal 3 23" xfId="389" xr:uid="{77B3A6FC-A1CB-4DC4-A4CA-F940A8277E6B}"/>
    <cellStyle name="Normal 3 24" xfId="390" xr:uid="{DBCF536A-E0B7-46AA-A02B-16265379C0F5}"/>
    <cellStyle name="Normal 3 25" xfId="391" xr:uid="{D0D5CC52-C581-49ED-AE67-548480BEEDAD}"/>
    <cellStyle name="Normal 3 26" xfId="392" xr:uid="{899B6879-C8EE-4851-A201-2180CD7E1B7B}"/>
    <cellStyle name="Normal 3 27" xfId="393" xr:uid="{74800322-D1F8-457B-B091-03229995E48F}"/>
    <cellStyle name="Normal 3 28" xfId="394" xr:uid="{EEC49718-FC4D-426D-916D-676979B3E263}"/>
    <cellStyle name="Normal 3 29" xfId="395" xr:uid="{3BE79237-E02E-4BE6-8862-E6C4EDA9B9F6}"/>
    <cellStyle name="Normal 3 3" xfId="396" xr:uid="{41FDF69F-BC49-4533-95E5-6FAB6CFBC8B9}"/>
    <cellStyle name="Normal 3 30" xfId="397" xr:uid="{D2FBAB54-6A8E-44C6-AC77-47AA60D52E23}"/>
    <cellStyle name="Normal 3 31" xfId="398" xr:uid="{C1502BA5-691F-446B-A7C0-D48565A75B63}"/>
    <cellStyle name="Normal 3 32" xfId="399" xr:uid="{5AFA4ED0-424B-4660-8FEC-10E8E3ADAE70}"/>
    <cellStyle name="Normal 3 4" xfId="400" xr:uid="{3CBD7245-01F5-4B6C-B2F9-89C43E793206}"/>
    <cellStyle name="Normal 3 5" xfId="401" xr:uid="{64C672AA-4FED-42AE-8FB9-65A18D18E587}"/>
    <cellStyle name="Normal 3 6" xfId="402" xr:uid="{FE277651-8A46-4984-A736-11A939BC5681}"/>
    <cellStyle name="Normal 3 7" xfId="403" xr:uid="{3D7312D5-FD33-48EF-9A1C-2145C0DF35A5}"/>
    <cellStyle name="Normal 3 8" xfId="404" xr:uid="{BE88239D-C2AD-4B43-A7A7-8734DAFBCA6E}"/>
    <cellStyle name="Normal 3 9" xfId="405" xr:uid="{A9A0F10F-2DC5-445E-9110-0CA250F3166D}"/>
    <cellStyle name="Normal 30" xfId="406" xr:uid="{AEC6A395-BA3F-4E1A-A304-944FA300D2CE}"/>
    <cellStyle name="Normal 30 10" xfId="407" xr:uid="{93D35258-3C77-4ACD-B2E9-5C23D00D8332}"/>
    <cellStyle name="Normal 30 11" xfId="408" xr:uid="{EB374D6C-D9B9-421C-9F73-A9E572325F06}"/>
    <cellStyle name="Normal 30 12" xfId="409" xr:uid="{8644F26D-E68D-4E8D-B636-E1E35D74D16F}"/>
    <cellStyle name="Normal 30 13" xfId="410" xr:uid="{75C06173-6B34-4949-A897-C7D64C698D8C}"/>
    <cellStyle name="Normal 30 14" xfId="411" xr:uid="{80C5DF60-6E03-4D7E-8E37-8582D4F01076}"/>
    <cellStyle name="Normal 30 15" xfId="412" xr:uid="{6B231418-9C6D-4A5A-8D1D-A83F7D7424EF}"/>
    <cellStyle name="Normal 30 16" xfId="413" xr:uid="{7AD0B5AD-47A7-4573-95EE-F8AE912F432C}"/>
    <cellStyle name="Normal 30 17" xfId="414" xr:uid="{98B4F363-425E-40EB-B3CE-9F21B2F81D94}"/>
    <cellStyle name="Normal 30 18" xfId="415" xr:uid="{D040783F-8751-4D19-8C96-B352BBDC8A70}"/>
    <cellStyle name="Normal 30 19" xfId="416" xr:uid="{B9DED4DE-351E-4C30-98AE-A6E636EDDC7A}"/>
    <cellStyle name="Normal 30 2" xfId="417" xr:uid="{5CA5FFC2-88D7-4959-A445-D79FE945B2B2}"/>
    <cellStyle name="Normal 30 20" xfId="418" xr:uid="{09D58BF1-76BA-4B8C-9053-C191EBCDD01C}"/>
    <cellStyle name="Normal 30 21" xfId="419" xr:uid="{42A05A31-E801-45B1-B1CE-BA8DEDC3D763}"/>
    <cellStyle name="Normal 30 22" xfId="420" xr:uid="{D3946D90-EAB5-44BC-9411-0847EC066692}"/>
    <cellStyle name="Normal 30 23" xfId="421" xr:uid="{45CB8F9A-A87A-4687-9893-D5CCF2427B86}"/>
    <cellStyle name="Normal 30 24" xfId="422" xr:uid="{36ED59A0-BE1C-49AB-9257-777AFDA3A524}"/>
    <cellStyle name="Normal 30 3" xfId="423" xr:uid="{9244B5A1-9F22-4EC6-9D01-0FA0D96111FD}"/>
    <cellStyle name="Normal 30 4" xfId="424" xr:uid="{7D4E78D7-85CF-4F19-A1A2-80D236B31A56}"/>
    <cellStyle name="Normal 30 5" xfId="425" xr:uid="{33877CC5-8A11-4B5C-946C-E2D0436DBF85}"/>
    <cellStyle name="Normal 30 6" xfId="426" xr:uid="{90ED1ED7-78AE-4976-A7BB-3C300BA374F4}"/>
    <cellStyle name="Normal 30 7" xfId="427" xr:uid="{9C09747F-128A-4DBB-8DF1-2D1E0F90FE49}"/>
    <cellStyle name="Normal 30 8" xfId="428" xr:uid="{8BF4F770-B46A-415B-A862-267618DD5E15}"/>
    <cellStyle name="Normal 30 9" xfId="429" xr:uid="{B540EF66-6708-4BF9-BF7E-45B5B107D4EB}"/>
    <cellStyle name="Normal 32 10" xfId="430" xr:uid="{1BEE64AF-5603-494D-825F-2D40D0803A4D}"/>
    <cellStyle name="Normal 32 11" xfId="431" xr:uid="{0E3D41A8-F9DC-478E-A7A1-E2E5872AE475}"/>
    <cellStyle name="Normal 32 12" xfId="432" xr:uid="{4A730CFF-DB1A-4B64-955F-6D1B97B6BEF0}"/>
    <cellStyle name="Normal 32 13" xfId="433" xr:uid="{21702608-6CE6-4970-9562-A977AF824B7C}"/>
    <cellStyle name="Normal 32 14" xfId="434" xr:uid="{D0541C59-D84F-4998-9873-B30EAEA0BCF8}"/>
    <cellStyle name="Normal 32 15" xfId="435" xr:uid="{B6EDF726-37C8-4110-B6C2-E3A78C99481B}"/>
    <cellStyle name="Normal 32 16" xfId="436" xr:uid="{CA50066B-2B20-4223-86C1-885E54CA43EB}"/>
    <cellStyle name="Normal 32 17" xfId="437" xr:uid="{F9B35C16-8772-4B41-8893-D01F744F7845}"/>
    <cellStyle name="Normal 32 18" xfId="438" xr:uid="{F2469E7B-B265-417F-BD43-16E1991BE7D8}"/>
    <cellStyle name="Normal 32 19" xfId="439" xr:uid="{B8E45080-DF33-48D0-9CE9-05D04E15649A}"/>
    <cellStyle name="Normal 32 2" xfId="440" xr:uid="{5A4B67E7-1D69-4144-A9D6-71ACF8BAE528}"/>
    <cellStyle name="Normal 32 20" xfId="441" xr:uid="{63580912-D0AB-4A9C-ACFA-F3D874D3EA3B}"/>
    <cellStyle name="Normal 32 21" xfId="442" xr:uid="{5670B1CB-5F81-429C-90AD-6181B2E99E0B}"/>
    <cellStyle name="Normal 32 22" xfId="443" xr:uid="{2CF5745C-F01C-442F-911C-7EB62EF05B91}"/>
    <cellStyle name="Normal 32 23" xfId="444" xr:uid="{AF62FAD2-6391-41B0-83FA-AE84BA40987B}"/>
    <cellStyle name="Normal 32 24" xfId="445" xr:uid="{536A255B-06C9-4329-AB35-F03BE6F07786}"/>
    <cellStyle name="Normal 32 3" xfId="446" xr:uid="{5E30A30B-5024-47AE-B2F6-A2F1D01741C0}"/>
    <cellStyle name="Normal 32 4" xfId="447" xr:uid="{CD282192-D9BF-44A0-9407-6950FC2A5130}"/>
    <cellStyle name="Normal 32 5" xfId="448" xr:uid="{9EEB0274-55BA-4467-953C-FACD44062228}"/>
    <cellStyle name="Normal 32 6" xfId="449" xr:uid="{44F6E6E5-3168-48BC-8048-7A2452EBA789}"/>
    <cellStyle name="Normal 32 7" xfId="450" xr:uid="{4BAEC29B-2FA6-4BA5-88FA-0E1B98F305E9}"/>
    <cellStyle name="Normal 32 8" xfId="451" xr:uid="{20298ABD-D60B-4571-B93F-7F6649FEEDC3}"/>
    <cellStyle name="Normal 32 9" xfId="452" xr:uid="{0C9BF969-85D6-4D64-93F9-9AF1F8C2F937}"/>
    <cellStyle name="Normal 33 10" xfId="453" xr:uid="{E88BDBD2-D6EB-44D9-B572-010047715198}"/>
    <cellStyle name="Normal 33 11" xfId="454" xr:uid="{55823FD6-2CC8-409D-B1C3-2834447F1988}"/>
    <cellStyle name="Normal 33 12" xfId="455" xr:uid="{C26BA5A3-D5E3-4A0D-BE90-91D39067B4B5}"/>
    <cellStyle name="Normal 33 13" xfId="456" xr:uid="{C1DD6E53-50B9-4243-B0D3-09A9EEBBA294}"/>
    <cellStyle name="Normal 33 14" xfId="457" xr:uid="{1C650FE4-9BD4-479D-9424-45F4CF28E611}"/>
    <cellStyle name="Normal 33 15" xfId="458" xr:uid="{19C42325-A526-480E-B6F7-D9DD1C0C9EA0}"/>
    <cellStyle name="Normal 33 16" xfId="459" xr:uid="{91CE34D2-8ED4-4373-8CB3-6010449F0B08}"/>
    <cellStyle name="Normal 33 17" xfId="460" xr:uid="{66544AD1-8291-4F89-9BDC-A7B0EF17B64F}"/>
    <cellStyle name="Normal 33 18" xfId="461" xr:uid="{0C99E3E3-94B5-473D-8FD4-71319DE0BFF0}"/>
    <cellStyle name="Normal 33 19" xfId="462" xr:uid="{9DE35DAF-0B48-4E61-B278-2D86AB072ADF}"/>
    <cellStyle name="Normal 33 2" xfId="463" xr:uid="{1D22B482-4426-4FA3-A67D-A98AE4E012E9}"/>
    <cellStyle name="Normal 33 20" xfId="464" xr:uid="{6819023E-C37D-4D3A-BDD4-379CA312E869}"/>
    <cellStyle name="Normal 33 21" xfId="465" xr:uid="{6B64C9C8-5425-4DD7-AAE5-D959E2615260}"/>
    <cellStyle name="Normal 33 22" xfId="466" xr:uid="{99E271C0-079A-4E4D-B140-19458E57399B}"/>
    <cellStyle name="Normal 33 23" xfId="467" xr:uid="{8E8AB815-7D60-4C55-B965-04FFCC66BEA4}"/>
    <cellStyle name="Normal 33 24" xfId="468" xr:uid="{EBBBD437-DCCC-43F7-8F96-BD7E21E11799}"/>
    <cellStyle name="Normal 33 3" xfId="469" xr:uid="{29DC0C33-2B2F-4B3A-AC53-CC24A4C85479}"/>
    <cellStyle name="Normal 33 4" xfId="470" xr:uid="{4AFE75C6-AB87-41F2-899E-03B98DC8F09A}"/>
    <cellStyle name="Normal 33 5" xfId="471" xr:uid="{B996CBFF-A01C-48B8-9B97-EA226A7D9B39}"/>
    <cellStyle name="Normal 33 6" xfId="472" xr:uid="{2B15C389-079E-4380-BDEF-ED99B1965A68}"/>
    <cellStyle name="Normal 33 7" xfId="473" xr:uid="{CFD4D832-6A00-44E6-8C1A-5CB49AE60F15}"/>
    <cellStyle name="Normal 33 8" xfId="474" xr:uid="{61D76EB1-1FC3-42C9-84EA-A3DFDF21718D}"/>
    <cellStyle name="Normal 33 9" xfId="475" xr:uid="{A4E73446-EDE8-409C-80B4-3268100343F3}"/>
    <cellStyle name="Normal 34 10" xfId="476" xr:uid="{48CC9D9D-AAEA-40A3-889A-E3385F410314}"/>
    <cellStyle name="Normal 34 11" xfId="477" xr:uid="{9D9ED2E2-97A9-432F-8B75-8C6AF638026C}"/>
    <cellStyle name="Normal 34 12" xfId="478" xr:uid="{C0C317A1-0FB7-4523-9A86-5DD52944957F}"/>
    <cellStyle name="Normal 34 13" xfId="479" xr:uid="{EDF4DB06-F7FD-42BD-8446-F2EED07E51A6}"/>
    <cellStyle name="Normal 34 14" xfId="480" xr:uid="{9F0E5F16-30BC-47B3-8CE1-36C8B10499D8}"/>
    <cellStyle name="Normal 34 15" xfId="481" xr:uid="{693CD326-0B10-42F3-A21B-F0B6A20316BE}"/>
    <cellStyle name="Normal 34 16" xfId="482" xr:uid="{182AA979-6350-4D5D-BB98-182F479CA0CD}"/>
    <cellStyle name="Normal 34 17" xfId="483" xr:uid="{B080FD95-69AB-4606-BDC7-9A7F24E2862D}"/>
    <cellStyle name="Normal 34 18" xfId="484" xr:uid="{C02AF4E9-48E3-426C-91AD-BFFA95E0460B}"/>
    <cellStyle name="Normal 34 19" xfId="485" xr:uid="{D94ECE2F-2F4B-4F73-8A07-9D6535070C1D}"/>
    <cellStyle name="Normal 34 2" xfId="486" xr:uid="{D1CD8AD1-2E18-41B5-83BF-8FC2584DD5FA}"/>
    <cellStyle name="Normal 34 20" xfId="487" xr:uid="{EAB2A907-40FD-43FE-877A-8B9387CC524B}"/>
    <cellStyle name="Normal 34 21" xfId="488" xr:uid="{4047DC50-2D38-467F-87DA-7F8F4A9E9EEB}"/>
    <cellStyle name="Normal 34 22" xfId="489" xr:uid="{2D9EFE6C-0B52-4294-9533-A3E943F3BB15}"/>
    <cellStyle name="Normal 34 23" xfId="490" xr:uid="{7BD259D3-D14E-4025-AB7A-CFD1EE0616C2}"/>
    <cellStyle name="Normal 34 24" xfId="491" xr:uid="{4870FF11-B0C8-4EA3-B47F-424522A03073}"/>
    <cellStyle name="Normal 34 3" xfId="492" xr:uid="{FC21473E-9F22-4279-9D92-2620C625D965}"/>
    <cellStyle name="Normal 34 4" xfId="493" xr:uid="{EB0E8CF2-9B1A-4F9A-90E3-518A50779946}"/>
    <cellStyle name="Normal 34 5" xfId="494" xr:uid="{B5C70636-F3F2-4528-B150-C936C117DDF9}"/>
    <cellStyle name="Normal 34 6" xfId="495" xr:uid="{9931C743-A21F-4E97-9FAC-78F0DC2647F7}"/>
    <cellStyle name="Normal 34 7" xfId="496" xr:uid="{C9A29315-0AF5-4749-8FC3-B6863FC76578}"/>
    <cellStyle name="Normal 34 8" xfId="497" xr:uid="{C525CB2A-BF1B-4496-A888-9740CA98F802}"/>
    <cellStyle name="Normal 34 9" xfId="498" xr:uid="{6B5180D5-38E2-4D69-8EE5-8044DDFEDDA2}"/>
    <cellStyle name="Normal 35 10" xfId="499" xr:uid="{D084D90A-7610-4839-BF9B-0D00445D3A5B}"/>
    <cellStyle name="Normal 35 11" xfId="500" xr:uid="{37FD8708-8122-40FB-82E9-681A0B1CDFBD}"/>
    <cellStyle name="Normal 35 12" xfId="501" xr:uid="{9A7E16E9-76DF-47F4-9AE7-59F4D2D518DE}"/>
    <cellStyle name="Normal 35 13" xfId="502" xr:uid="{17A8D581-16C2-4BE3-B72B-D2CCA884BBF9}"/>
    <cellStyle name="Normal 35 14" xfId="503" xr:uid="{5B5D1242-0E69-43AD-A3A6-2B2DAB26F753}"/>
    <cellStyle name="Normal 35 15" xfId="504" xr:uid="{E3939AFB-BAB4-413D-AB87-88CE64D2D05B}"/>
    <cellStyle name="Normal 35 16" xfId="505" xr:uid="{8A57FCD8-0731-46A2-A077-384879C2BC6C}"/>
    <cellStyle name="Normal 35 17" xfId="506" xr:uid="{31B8298A-1C2A-48A4-9C70-4E0B6D360A80}"/>
    <cellStyle name="Normal 35 18" xfId="507" xr:uid="{20980A94-6233-4BB1-8768-9282421BE757}"/>
    <cellStyle name="Normal 35 19" xfId="508" xr:uid="{310190F3-804C-407A-92AC-5F206963D24C}"/>
    <cellStyle name="Normal 35 2" xfId="509" xr:uid="{5F65777D-6B89-47DE-AB99-6E549C4303D2}"/>
    <cellStyle name="Normal 35 20" xfId="510" xr:uid="{CCECD1A2-C9FE-4419-9EB0-144A1C674A71}"/>
    <cellStyle name="Normal 35 21" xfId="511" xr:uid="{E6297082-B8EC-483C-9323-9A3A15BD4A99}"/>
    <cellStyle name="Normal 35 22" xfId="512" xr:uid="{455FAF7A-E723-4DC4-84BD-28C7806B81C8}"/>
    <cellStyle name="Normal 35 23" xfId="513" xr:uid="{62B3B51C-ED08-4636-B6D2-06235A483EE0}"/>
    <cellStyle name="Normal 35 24" xfId="514" xr:uid="{8F83FA05-9C2F-4CE7-BADC-B9916FCB09D9}"/>
    <cellStyle name="Normal 35 3" xfId="515" xr:uid="{BC83D6FF-57D9-40F2-8104-58D80D36F179}"/>
    <cellStyle name="Normal 35 4" xfId="516" xr:uid="{7923DF21-951C-49BA-B5CC-35424628A497}"/>
    <cellStyle name="Normal 35 5" xfId="517" xr:uid="{ADF349AD-1687-4742-9D4F-EB191A5D63E0}"/>
    <cellStyle name="Normal 35 6" xfId="518" xr:uid="{717C85E4-707D-4752-ACED-56F8B3ED7AB6}"/>
    <cellStyle name="Normal 35 7" xfId="519" xr:uid="{77F07690-7769-4162-A95B-8A65093C686B}"/>
    <cellStyle name="Normal 35 8" xfId="520" xr:uid="{1BE90029-1DF4-47AF-81CB-BE01649A3991}"/>
    <cellStyle name="Normal 35 9" xfId="521" xr:uid="{0A81B6BD-37CE-4BA3-B973-074AA76F595F}"/>
    <cellStyle name="Normal 36 10" xfId="522" xr:uid="{13A8A6B7-8FCC-4E68-9D37-F162AF5F1EAF}"/>
    <cellStyle name="Normal 36 11" xfId="523" xr:uid="{54170232-7ACA-4491-A25A-09B8C05E5752}"/>
    <cellStyle name="Normal 36 12" xfId="524" xr:uid="{EAB0EDA8-3CDD-4965-A13F-18DFEEE28C82}"/>
    <cellStyle name="Normal 36 13" xfId="525" xr:uid="{EC06BB3A-514C-4F5D-9557-781238D4AE78}"/>
    <cellStyle name="Normal 36 14" xfId="526" xr:uid="{AA4220AB-ADD2-4E19-9419-C50ADC1DC00F}"/>
    <cellStyle name="Normal 36 15" xfId="527" xr:uid="{6B7D5112-EB16-4700-9193-085A4F611937}"/>
    <cellStyle name="Normal 36 16" xfId="528" xr:uid="{8E867473-6B51-4B23-A000-375D4BC1DD28}"/>
    <cellStyle name="Normal 36 17" xfId="529" xr:uid="{D70B23AA-AE34-4B7E-87D2-BC74967437AC}"/>
    <cellStyle name="Normal 36 18" xfId="530" xr:uid="{ABEDDB33-BBAF-4AC6-A81E-905F791A05DD}"/>
    <cellStyle name="Normal 36 19" xfId="531" xr:uid="{ED5816FE-C2FF-4D28-AD7A-EDE2235A855E}"/>
    <cellStyle name="Normal 36 2" xfId="532" xr:uid="{08EC318E-22BB-4D50-9F79-E380AD503F49}"/>
    <cellStyle name="Normal 36 20" xfId="533" xr:uid="{F529C63C-A443-407D-AD5E-27E28CCF98ED}"/>
    <cellStyle name="Normal 36 21" xfId="534" xr:uid="{91C3CD65-F7D1-4D58-9479-024D2D62E977}"/>
    <cellStyle name="Normal 36 22" xfId="535" xr:uid="{47358D48-16BA-499B-8E87-CB3C6480260E}"/>
    <cellStyle name="Normal 36 23" xfId="536" xr:uid="{80638F08-4B3B-4DE0-94EF-38EADE737FA9}"/>
    <cellStyle name="Normal 36 24" xfId="537" xr:uid="{0D438292-3687-45FE-AAD1-D3D811FD79A7}"/>
    <cellStyle name="Normal 36 3" xfId="538" xr:uid="{F8E531D0-1FDA-40F1-B60A-2DC2204B299F}"/>
    <cellStyle name="Normal 36 4" xfId="539" xr:uid="{621A6673-F366-4BE2-AF30-EC92BA246AC4}"/>
    <cellStyle name="Normal 36 5" xfId="540" xr:uid="{B2F6DC23-F2A8-49F3-A4BF-421CE62F3089}"/>
    <cellStyle name="Normal 36 6" xfId="541" xr:uid="{1A7C7BBB-197E-4FF1-A507-E8A36D812035}"/>
    <cellStyle name="Normal 36 7" xfId="542" xr:uid="{8F87AC8E-280B-4EF8-822F-679F2D3D110F}"/>
    <cellStyle name="Normal 36 8" xfId="543" xr:uid="{1CC4455C-0AAA-433C-85B8-C2AD3B9BDB64}"/>
    <cellStyle name="Normal 36 9" xfId="544" xr:uid="{F1CC85D1-3F29-442B-92CD-C6190B4F12F4}"/>
    <cellStyle name="Normal 37 10" xfId="545" xr:uid="{22D067E2-B786-434F-A4FD-AAB3A05655D6}"/>
    <cellStyle name="Normal 37 11" xfId="546" xr:uid="{CEEB995B-31FF-4981-90F2-7506A3B3B357}"/>
    <cellStyle name="Normal 37 12" xfId="547" xr:uid="{EE9AA07C-3E62-42D0-99D2-09D7A8E2074B}"/>
    <cellStyle name="Normal 37 13" xfId="548" xr:uid="{C3CDF01B-7242-430B-AAC4-0F12C54AFE88}"/>
    <cellStyle name="Normal 37 14" xfId="549" xr:uid="{1E2978D2-2935-46F1-8777-3AF6256A3099}"/>
    <cellStyle name="Normal 37 15" xfId="550" xr:uid="{BF7E1008-DF52-4C2D-BEF0-56A4A19B01CB}"/>
    <cellStyle name="Normal 37 16" xfId="551" xr:uid="{D582841C-01D5-4D73-9A41-809FD8136BBB}"/>
    <cellStyle name="Normal 37 17" xfId="552" xr:uid="{9DDD3B8C-903B-4E44-B5CE-A7836E6FEBFD}"/>
    <cellStyle name="Normal 37 18" xfId="553" xr:uid="{ECCC52FD-0924-4144-A4DD-A8B8DB108FAB}"/>
    <cellStyle name="Normal 37 19" xfId="554" xr:uid="{19ECFF7B-5D3D-4D1C-B839-F53B66E11E1A}"/>
    <cellStyle name="Normal 37 2" xfId="555" xr:uid="{E93BE596-72E1-44F7-9D50-486E303BD0D0}"/>
    <cellStyle name="Normal 37 20" xfId="556" xr:uid="{2D20B4DD-8575-4BF9-AF1C-179A719BF98E}"/>
    <cellStyle name="Normal 37 21" xfId="557" xr:uid="{66A95C59-2E95-40E7-B229-7679BCBF5618}"/>
    <cellStyle name="Normal 37 22" xfId="558" xr:uid="{824E1BB1-6861-42E2-8A99-972BA7EB0A1F}"/>
    <cellStyle name="Normal 37 23" xfId="559" xr:uid="{06007362-7018-4445-884D-4127F100B0F0}"/>
    <cellStyle name="Normal 37 24" xfId="560" xr:uid="{85D08D4A-D431-4AF5-A7F9-5C978C877080}"/>
    <cellStyle name="Normal 37 3" xfId="561" xr:uid="{7AB23BC1-F199-4679-98C7-EA898058B883}"/>
    <cellStyle name="Normal 37 4" xfId="562" xr:uid="{060CAB28-89A7-40D8-9B2D-795426789B71}"/>
    <cellStyle name="Normal 37 5" xfId="563" xr:uid="{82A74DEF-A94C-4A11-A3DE-E2563C96BAB2}"/>
    <cellStyle name="Normal 37 6" xfId="564" xr:uid="{94CBCDCE-9AB0-4B21-9BCB-C31502CC35D4}"/>
    <cellStyle name="Normal 37 7" xfId="565" xr:uid="{D7B0E753-1444-4B56-8907-2CC907FBCF30}"/>
    <cellStyle name="Normal 37 8" xfId="566" xr:uid="{1CB43E54-785D-4323-B780-E3A2ABBD6F05}"/>
    <cellStyle name="Normal 37 9" xfId="567" xr:uid="{B705831A-3AC9-4CF2-8F52-014B189B9311}"/>
    <cellStyle name="Normal 38" xfId="568" xr:uid="{FC8AFB49-FAB1-475D-AFD2-97643C3B94F3}"/>
    <cellStyle name="Normal 39 2" xfId="569" xr:uid="{E0F729A6-3933-462E-9363-B31C84F584F0}"/>
    <cellStyle name="Normal 39 3" xfId="570" xr:uid="{C2E357B3-ECDC-4EA5-A680-308B5A971860}"/>
    <cellStyle name="Normal 39 4" xfId="571" xr:uid="{2CE4F500-C4D4-4979-8330-A31526706BBF}"/>
    <cellStyle name="Normal 39 5" xfId="572" xr:uid="{5781DB11-1CF3-4736-8BF6-29FFEB420911}"/>
    <cellStyle name="Normal 39 6" xfId="573" xr:uid="{5BAF0C75-2B3C-4E5C-B6EC-FD3FF6730100}"/>
    <cellStyle name="Normal 39 7" xfId="574" xr:uid="{C8142AB5-8B16-4D92-9CB8-6FE9B1AB5418}"/>
    <cellStyle name="Normal 39 8" xfId="575" xr:uid="{46142E12-6381-4E89-9615-286FB8324F64}"/>
    <cellStyle name="Normal 39 9" xfId="576" xr:uid="{28193BCC-C315-4574-ABE5-B8BD9A4B222A}"/>
    <cellStyle name="Normal 4" xfId="577" xr:uid="{6EFB3C6F-3ABD-4776-940F-73E92315926C}"/>
    <cellStyle name="Normal 4 10" xfId="578" xr:uid="{203D044F-6980-4663-B509-1401308E6789}"/>
    <cellStyle name="Normal 4 11" xfId="579" xr:uid="{2A691FF6-C8D1-478B-98A4-4C6D148CE271}"/>
    <cellStyle name="Normal 4 12" xfId="580" xr:uid="{70ECAE45-4EAD-4042-B45D-8415B73D05AB}"/>
    <cellStyle name="Normal 4 13" xfId="581" xr:uid="{C4590864-2BBF-4BD4-8721-A864540C0807}"/>
    <cellStyle name="Normal 4 14" xfId="582" xr:uid="{492A8440-9D17-4802-87DA-33C7895BB122}"/>
    <cellStyle name="Normal 4 15" xfId="583" xr:uid="{C36A8E52-D53B-4940-972B-F47BEB8B504D}"/>
    <cellStyle name="Normal 4 16" xfId="584" xr:uid="{5B310CD0-BEE9-4FF3-BDB6-676659C51F07}"/>
    <cellStyle name="Normal 4 17" xfId="585" xr:uid="{B10CC6CD-A87F-4071-9A32-A96AB07807EF}"/>
    <cellStyle name="Normal 4 18" xfId="586" xr:uid="{4DF7DEFE-733C-4715-BEE2-A02CF509D8D7}"/>
    <cellStyle name="Normal 4 19" xfId="587" xr:uid="{C91E98F6-BF13-468A-B3E8-4D8DEDA2805C}"/>
    <cellStyle name="Normal 4 2" xfId="588" xr:uid="{A52D1894-41E1-4AC2-AB8C-8A8189BC8360}"/>
    <cellStyle name="Normal 4 2 2" xfId="589" xr:uid="{DA868B8A-5948-48B1-9CF7-F2A34E492299}"/>
    <cellStyle name="Normal 4 2 2 2" xfId="791" xr:uid="{4104C516-49A4-4CB1-BBF3-13FE04ACFEB6}"/>
    <cellStyle name="Normal 4 20" xfId="590" xr:uid="{1FE809B2-AE82-456E-BD35-3E1D464BA640}"/>
    <cellStyle name="Normal 4 21" xfId="591" xr:uid="{D5E9E2AA-EC27-4667-B7F8-24C218697EE0}"/>
    <cellStyle name="Normal 4 22" xfId="592" xr:uid="{E7F88EBC-ADFF-4D6A-9E83-B921D012729F}"/>
    <cellStyle name="Normal 4 23" xfId="593" xr:uid="{B66AEE08-D73F-4E21-8FEC-0EE726DC2FA9}"/>
    <cellStyle name="Normal 4 24" xfId="594" xr:uid="{4B615B81-CF1D-41DF-828E-D2C1A28FBE1B}"/>
    <cellStyle name="Normal 4 25" xfId="595" xr:uid="{888E78A2-5D3F-4445-A7B8-1C0D74C79549}"/>
    <cellStyle name="Normal 4 26" xfId="596" xr:uid="{166F2AC2-F970-4DB5-9109-2D56C0A8BB2A}"/>
    <cellStyle name="Normal 4 27" xfId="597" xr:uid="{BDAE9766-9CCC-4FD5-9EE8-64D58A5FCFFA}"/>
    <cellStyle name="Normal 4 28" xfId="598" xr:uid="{4CA29D60-918E-4F15-ADEB-C7FD58A65DEF}"/>
    <cellStyle name="Normal 4 29" xfId="599" xr:uid="{EFAB49C1-A841-48B4-AEA6-B6BF31A331E3}"/>
    <cellStyle name="Normal 4 3" xfId="600" xr:uid="{EB27DD71-FAE8-4B2D-ACE5-DF4A5845E4D6}"/>
    <cellStyle name="Normal 4 3 2" xfId="601" xr:uid="{6A80E1D8-4ED6-41D6-8E29-852D2BD583DC}"/>
    <cellStyle name="Normal 4 3 2 2" xfId="792" xr:uid="{093CBEDB-FD1B-4814-8DCF-F25B9264A5E2}"/>
    <cellStyle name="Normal 4 30" xfId="602" xr:uid="{49EFD562-7554-460C-8250-22B2D485D159}"/>
    <cellStyle name="Normal 4 31" xfId="603" xr:uid="{EA1FB1BB-C1B5-47DB-81FB-6291FA626EB7}"/>
    <cellStyle name="Normal 4 32" xfId="790" xr:uid="{10177A62-2255-48A5-8453-20A2568D7CDB}"/>
    <cellStyle name="Normal 4 4" xfId="604" xr:uid="{0D5B8401-B46D-4CDF-9247-95E55A4ACAE5}"/>
    <cellStyle name="Normal 4 4 2" xfId="605" xr:uid="{66B0650B-BA33-40B7-9959-B5E95BB152BC}"/>
    <cellStyle name="Normal 4 4 2 2" xfId="793" xr:uid="{18776F31-84C5-4509-9B45-8D1380026E6A}"/>
    <cellStyle name="Normal 4 5" xfId="606" xr:uid="{16374833-3A94-491B-BD3F-7BF7A6A319C2}"/>
    <cellStyle name="Normal 4 6" xfId="607" xr:uid="{1A3142F7-1949-4DC2-B67F-F9D77D188392}"/>
    <cellStyle name="Normal 4 7" xfId="608" xr:uid="{9D79EC01-9E6B-4CB4-BAE6-AFB75363F8ED}"/>
    <cellStyle name="Normal 4 8" xfId="609" xr:uid="{0EBF9EE5-BC9D-415B-AD29-4A8302A16B94}"/>
    <cellStyle name="Normal 4 9" xfId="610" xr:uid="{4B49A213-5578-4268-8ADA-133F9F1EA1E2}"/>
    <cellStyle name="Normal 40 2" xfId="611" xr:uid="{DB61867E-F84C-40E9-8490-CABF019F3120}"/>
    <cellStyle name="Normal 40 3" xfId="612" xr:uid="{A46ED4DE-1160-42A6-A078-4D60EA468B97}"/>
    <cellStyle name="Normal 40 4" xfId="613" xr:uid="{79B26B15-8E6A-4DD8-BD5B-AB56007B4383}"/>
    <cellStyle name="Normal 40 5" xfId="614" xr:uid="{F357C31C-3286-4FE3-852B-B138AF0435BA}"/>
    <cellStyle name="Normal 40 6" xfId="615" xr:uid="{D9B81B87-D6B2-43F4-9204-4BA3F4819CE6}"/>
    <cellStyle name="Normal 40 7" xfId="616" xr:uid="{6C301E24-5814-4C1F-8CD0-DB8E4B6EC4CC}"/>
    <cellStyle name="Normal 40 8" xfId="617" xr:uid="{D2839008-9D9E-4A9B-970C-2DA7AAE4A57A}"/>
    <cellStyle name="Normal 40 9" xfId="618" xr:uid="{FCA82390-4024-41A0-982B-A6F867D56F2C}"/>
    <cellStyle name="Normal 41 2" xfId="619" xr:uid="{65875CB4-333A-467E-828F-A3459C77CF8A}"/>
    <cellStyle name="Normal 41 3" xfId="620" xr:uid="{32B6247A-C0E8-411F-9877-ED54DB5C954D}"/>
    <cellStyle name="Normal 41 4" xfId="621" xr:uid="{50CB63BB-B84B-47E4-86ED-801A8B0C863D}"/>
    <cellStyle name="Normal 41 5" xfId="622" xr:uid="{9442E388-4703-4E00-B4A3-99D7B708EBE0}"/>
    <cellStyle name="Normal 41 6" xfId="623" xr:uid="{8B174DA2-D172-47B5-A2FC-F77C7C2A4ED8}"/>
    <cellStyle name="Normal 41 7" xfId="624" xr:uid="{670DB29F-55F1-4AFC-964B-CC4A75C8DE37}"/>
    <cellStyle name="Normal 41 8" xfId="625" xr:uid="{0EA2AEBA-4982-43DE-AEA2-FCEE9AA33805}"/>
    <cellStyle name="Normal 41 9" xfId="626" xr:uid="{8C6C03DA-28A0-4A35-A674-57EBD1073CCA}"/>
    <cellStyle name="Normal 42 2" xfId="627" xr:uid="{5AEB6A63-0816-42F3-81BD-B28CDF19538E}"/>
    <cellStyle name="Normal 42 3" xfId="628" xr:uid="{30B9656A-5941-4A55-9683-E46A7D85E7C0}"/>
    <cellStyle name="Normal 42 4" xfId="629" xr:uid="{0BDCFE11-9D81-43BF-BF66-3B50A0F9F7EC}"/>
    <cellStyle name="Normal 42 5" xfId="630" xr:uid="{100B1262-D5CA-4820-834C-FC74D321822C}"/>
    <cellStyle name="Normal 42 6" xfId="631" xr:uid="{6FEAC4D7-08AD-4C3D-BE55-F98943D5A7F4}"/>
    <cellStyle name="Normal 42 7" xfId="632" xr:uid="{AE201F2A-8035-4310-9D86-91A6B7CD54E3}"/>
    <cellStyle name="Normal 42 8" xfId="633" xr:uid="{E69CF4B8-1A24-452E-A0A7-6FD8618FD097}"/>
    <cellStyle name="Normal 42 9" xfId="634" xr:uid="{88E43759-4DDF-4712-AD4C-0EC9F60FE959}"/>
    <cellStyle name="Normal 43 2" xfId="635" xr:uid="{6ACDA060-8A0E-4349-8457-6B20E4C7ECD1}"/>
    <cellStyle name="Normal 43 3" xfId="636" xr:uid="{4AA94CB4-C8E8-4737-BA8F-D88B43BE0F3F}"/>
    <cellStyle name="Normal 43 4" xfId="637" xr:uid="{1A9DE7FD-6DC2-46F6-BB3F-3100BF3437D0}"/>
    <cellStyle name="Normal 43 5" xfId="638" xr:uid="{1B4CEFAD-038F-4BF4-B159-80B6EE790CA3}"/>
    <cellStyle name="Normal 43 6" xfId="639" xr:uid="{872BFD1B-E71B-4D75-A96E-C34C496BFE84}"/>
    <cellStyle name="Normal 43 7" xfId="640" xr:uid="{BB2903E1-6910-4261-A84B-5D17A22E9F7E}"/>
    <cellStyle name="Normal 43 8" xfId="641" xr:uid="{5D1D8ABB-2E8C-4954-B9AA-51D2C5F22861}"/>
    <cellStyle name="Normal 43 9" xfId="642" xr:uid="{4DA3F9DA-ED65-449A-A3B8-54178558F992}"/>
    <cellStyle name="Normal 44 2" xfId="643" xr:uid="{3E46DEA0-57BD-4F27-8298-9FC2CE61C879}"/>
    <cellStyle name="Normal 44 3" xfId="644" xr:uid="{0C410EF2-F3F9-451B-B9AC-B1346C733EBC}"/>
    <cellStyle name="Normal 44 4" xfId="645" xr:uid="{D1FF4DC9-AB58-4C1E-BC22-89AACCAF3B36}"/>
    <cellStyle name="Normal 44 5" xfId="646" xr:uid="{3BAD1155-0191-4F8A-B81C-BB4227172DC5}"/>
    <cellStyle name="Normal 44 6" xfId="647" xr:uid="{49ACBDA9-3793-4459-88AA-6DEB7B20B3C3}"/>
    <cellStyle name="Normal 44 7" xfId="648" xr:uid="{FFBCCFA3-1E83-4C70-98F5-8670F9516A46}"/>
    <cellStyle name="Normal 44 8" xfId="649" xr:uid="{CE4E567E-2187-4876-A68B-375A25DE838C}"/>
    <cellStyle name="Normal 44 9" xfId="650" xr:uid="{0C7D86A4-A6CB-4279-BDD4-755F7AB41D66}"/>
    <cellStyle name="Normal 45 2" xfId="651" xr:uid="{0CCA599E-C2E5-4797-AF53-A97BBB24AB4C}"/>
    <cellStyle name="Normal 45 3" xfId="652" xr:uid="{BD201433-2757-4323-926C-C677FCE27213}"/>
    <cellStyle name="Normal 45 4" xfId="653" xr:uid="{3605EBCF-09A3-4D71-AA2F-A131EF2165D6}"/>
    <cellStyle name="Normal 45 5" xfId="654" xr:uid="{6926492F-89B0-47C3-8AD3-BCCD0721E5DC}"/>
    <cellStyle name="Normal 45 6" xfId="655" xr:uid="{BB3A6668-00D7-4856-AF86-A65C89A748AE}"/>
    <cellStyle name="Normal 45 7" xfId="656" xr:uid="{EE0C8127-48AD-4725-BB19-15A025A243F4}"/>
    <cellStyle name="Normal 45 8" xfId="657" xr:uid="{9BC949E0-2B25-45E3-BBB5-B8A8A39D0DB4}"/>
    <cellStyle name="Normal 45 9" xfId="658" xr:uid="{D4349741-6246-4A8A-952C-9227BDA51DDB}"/>
    <cellStyle name="Normal 46 2" xfId="659" xr:uid="{73062C5E-BFC9-49B8-94A2-AA3AE871D002}"/>
    <cellStyle name="Normal 46 3" xfId="660" xr:uid="{06327307-759F-436C-BEDE-94A512544E92}"/>
    <cellStyle name="Normal 46 4" xfId="661" xr:uid="{BD577AE6-933F-43C7-8B41-3353C0157105}"/>
    <cellStyle name="Normal 46 5" xfId="662" xr:uid="{F3E0683E-A856-4BD3-A37C-0F202B6D286C}"/>
    <cellStyle name="Normal 46 6" xfId="663" xr:uid="{9B0BC88B-3092-429E-A424-07E00EEBE7C9}"/>
    <cellStyle name="Normal 46 7" xfId="664" xr:uid="{C7931904-3C30-4AF5-AEB6-1D65A90E759F}"/>
    <cellStyle name="Normal 46 8" xfId="665" xr:uid="{319B73E4-34BC-45E7-8D87-ADC3226A0198}"/>
    <cellStyle name="Normal 46 9" xfId="666" xr:uid="{B530DF52-C978-46DA-A0F1-2C1D6926B81D}"/>
    <cellStyle name="Normal 47" xfId="667" xr:uid="{BFF3D6D6-988C-459F-955B-44ACF0980023}"/>
    <cellStyle name="Normal 47 2" xfId="668" xr:uid="{99BE573C-65F4-40D5-A97C-A812B75EE85A}"/>
    <cellStyle name="Normal 47 3" xfId="669" xr:uid="{6E59A719-468F-47CE-B617-D78855DAF9A6}"/>
    <cellStyle name="Normal 47 4" xfId="670" xr:uid="{B7E58FFC-AE2D-49A1-96AF-6438BABA766A}"/>
    <cellStyle name="Normal 47 5" xfId="671" xr:uid="{C52611FD-FD93-4E10-A856-1A96687A7CEF}"/>
    <cellStyle name="Normal 47 6" xfId="672" xr:uid="{7CD3DE86-ADEA-45C7-AC6A-6A8852ACEE91}"/>
    <cellStyle name="Normal 47 7" xfId="673" xr:uid="{9F6A865F-79C9-4AE7-8887-450C6A961BB9}"/>
    <cellStyle name="Normal 47 8" xfId="674" xr:uid="{DFB6461A-D06B-4F97-995B-5ADD3EF22715}"/>
    <cellStyle name="Normal 47 9" xfId="675" xr:uid="{BB011894-0FE0-4C8A-9B75-A731121E7108}"/>
    <cellStyle name="Normal 48" xfId="676" xr:uid="{22A45B65-9379-4F65-8047-1B9DF3EE4BA5}"/>
    <cellStyle name="Normal 48 2" xfId="677" xr:uid="{8DB9103A-B63F-4F76-9E22-3E4F4D1FD04B}"/>
    <cellStyle name="Normal 48 3" xfId="678" xr:uid="{26AD13E8-8DA5-432D-8948-3AF7801F12D1}"/>
    <cellStyle name="Normal 48 4" xfId="679" xr:uid="{18DC1AF8-01FA-4C32-B366-963EABDE5675}"/>
    <cellStyle name="Normal 48 5" xfId="680" xr:uid="{6E0CDE6A-BC0D-4DA7-8086-BBE3C912CDE3}"/>
    <cellStyle name="Normal 48 6" xfId="681" xr:uid="{81BDB6B6-82C8-4B60-99A0-10AC5015036A}"/>
    <cellStyle name="Normal 48 7" xfId="682" xr:uid="{0C7A2EDB-4291-4786-AFF5-0030299A70F5}"/>
    <cellStyle name="Normal 48 8" xfId="683" xr:uid="{A48B3A76-307F-4694-8799-C187F611A983}"/>
    <cellStyle name="Normal 48 9" xfId="684" xr:uid="{60171F8D-6267-49C4-8565-D4EB664406C9}"/>
    <cellStyle name="Normal 49" xfId="685" xr:uid="{B4F39B47-409F-4A46-A4C9-CB00AACC97D1}"/>
    <cellStyle name="Normal 49 2" xfId="686" xr:uid="{79251402-D59A-409C-A70E-C6DC18DB9930}"/>
    <cellStyle name="Normal 49 3" xfId="687" xr:uid="{CB73586B-A227-4BF8-8BA5-33F9244842F1}"/>
    <cellStyle name="Normal 49 4" xfId="688" xr:uid="{474CA598-60BE-479C-9246-F15566143F0F}"/>
    <cellStyle name="Normal 49 5" xfId="689" xr:uid="{6524174C-EE5E-4E24-A7D3-960E55F7B0EF}"/>
    <cellStyle name="Normal 49 6" xfId="690" xr:uid="{A0A13F31-1D5B-449E-BF66-2A383151718B}"/>
    <cellStyle name="Normal 49 7" xfId="691" xr:uid="{CB28B986-D5E3-48EF-8150-8B0C96E10D64}"/>
    <cellStyle name="Normal 49 8" xfId="692" xr:uid="{6A0C6C92-022E-4DB6-ADE0-CBCD1B69B987}"/>
    <cellStyle name="Normal 49 9" xfId="693" xr:uid="{DE2D167D-CD40-4D57-B094-4DEEA110DC1A}"/>
    <cellStyle name="Normal 5" xfId="694" xr:uid="{72800C81-D15A-46DC-AAF1-4408CC2D6505}"/>
    <cellStyle name="Normal 5 10" xfId="695" xr:uid="{F7A72D6B-7F85-4030-A32F-DFC86711C564}"/>
    <cellStyle name="Normal 5 2" xfId="696" xr:uid="{2E8F881A-9F80-4EB5-9AC5-28D7D8FA2053}"/>
    <cellStyle name="Normal 5 3" xfId="697" xr:uid="{CA64E20E-F976-4175-9555-78623DD8A1A1}"/>
    <cellStyle name="Normal 50" xfId="698" xr:uid="{7C97924D-A3BC-4670-9F49-2F57A9B0DBAF}"/>
    <cellStyle name="Normal 50 2" xfId="699" xr:uid="{55432FF5-5639-4721-B65F-95129E160D3C}"/>
    <cellStyle name="Normal 50 3" xfId="700" xr:uid="{382FFEC6-120D-4E27-B6B7-5CEEADF1A415}"/>
    <cellStyle name="Normal 50 4" xfId="701" xr:uid="{59408DD0-1D94-4883-92A3-9C040EAC0CF6}"/>
    <cellStyle name="Normal 50 5" xfId="702" xr:uid="{035C7AB5-9757-4004-829A-F506460EB56B}"/>
    <cellStyle name="Normal 50 6" xfId="703" xr:uid="{8C8760BC-F33F-4681-8AA4-538140B219A1}"/>
    <cellStyle name="Normal 50 7" xfId="704" xr:uid="{2147F7CD-3C71-4A1F-ADEB-74684B44A5F8}"/>
    <cellStyle name="Normal 50 8" xfId="705" xr:uid="{71E0AB3F-FB35-4020-A0D9-47D1C1818E2E}"/>
    <cellStyle name="Normal 50 9" xfId="706" xr:uid="{5F47EAFB-E24B-46D5-AFAC-0FECE3DFA2EF}"/>
    <cellStyle name="Normal 51" xfId="707" xr:uid="{C323192D-D0C2-4CA3-8025-7086197D3780}"/>
    <cellStyle name="Normal 51 2" xfId="708" xr:uid="{DE5C0F3E-62A7-4641-BD1A-1728CD8B41CC}"/>
    <cellStyle name="Normal 51 3" xfId="709" xr:uid="{F3B58F67-E66F-45B2-91CF-E80F16D5403B}"/>
    <cellStyle name="Normal 51 4" xfId="710" xr:uid="{794766E9-869A-49C9-8C03-E5B4A67753A7}"/>
    <cellStyle name="Normal 51 5" xfId="711" xr:uid="{317D2CBA-5CB2-4B8B-98A6-1C396F676DC4}"/>
    <cellStyle name="Normal 51 6" xfId="712" xr:uid="{FD82BDA8-AE96-402E-9F8A-8306C5BFE4CC}"/>
    <cellStyle name="Normal 51 7" xfId="713" xr:uid="{7487B79E-CC83-49DC-BF71-4544EBE60DC7}"/>
    <cellStyle name="Normal 51 8" xfId="714" xr:uid="{8ABDCD8C-2A57-48D2-A8B0-BA15F6931C15}"/>
    <cellStyle name="Normal 51 9" xfId="715" xr:uid="{7AA69952-4EC5-41B1-B3EC-2CF964B393B1}"/>
    <cellStyle name="Normal 52" xfId="716" xr:uid="{DF617CC3-FDCB-4648-8248-803878FE3EEE}"/>
    <cellStyle name="Normal 52 2" xfId="717" xr:uid="{9D98B157-42B3-444C-803B-C77056DD630B}"/>
    <cellStyle name="Normal 52 3" xfId="718" xr:uid="{1C5D8D7C-3E23-4FF1-88B3-C7AE34B33755}"/>
    <cellStyle name="Normal 52 4" xfId="719" xr:uid="{1F3FF627-9190-4BE4-9EFE-9F7CE50645A4}"/>
    <cellStyle name="Normal 52 5" xfId="720" xr:uid="{7C957E8A-AF17-4F85-8632-74327550DA2B}"/>
    <cellStyle name="Normal 52 6" xfId="721" xr:uid="{47B68255-53F0-4A02-A008-1FA8CC2D00AB}"/>
    <cellStyle name="Normal 52 7" xfId="722" xr:uid="{A851CB51-51A9-463F-8272-922AC69EA663}"/>
    <cellStyle name="Normal 52 8" xfId="723" xr:uid="{03CF9322-BFCE-44E2-9878-A14FD6F1CCF5}"/>
    <cellStyle name="Normal 52 9" xfId="724" xr:uid="{79D095EB-E391-4F0D-B57C-FE5708BAFD43}"/>
    <cellStyle name="Normal 53" xfId="725" xr:uid="{0625586C-0D86-4868-B2F6-6FE5839B36E0}"/>
    <cellStyle name="Normal 53 2" xfId="726" xr:uid="{55C4C7CF-0B75-4D99-A5F3-F45272C2F37A}"/>
    <cellStyle name="Normal 53 3" xfId="727" xr:uid="{38F6A51C-9C7C-4157-A8E3-04005A0D84C6}"/>
    <cellStyle name="Normal 53 4" xfId="728" xr:uid="{70777FDC-8386-497F-B007-93B8A3650889}"/>
    <cellStyle name="Normal 53 5" xfId="729" xr:uid="{F616BEF8-5888-4E80-BF6C-1DA93B1D3BB0}"/>
    <cellStyle name="Normal 53 6" xfId="730" xr:uid="{2A766747-2AD1-41D4-B68C-0EB8DCA2F220}"/>
    <cellStyle name="Normal 53 7" xfId="731" xr:uid="{A9861A9E-4ABA-4DAD-A5D8-14C69265FCCE}"/>
    <cellStyle name="Normal 53 8" xfId="732" xr:uid="{D6AF790C-3D62-487B-BEFF-B2F4B71311D2}"/>
    <cellStyle name="Normal 53 9" xfId="733" xr:uid="{A94844D8-9C92-4507-BF19-B26A3440F2D5}"/>
    <cellStyle name="Normal 54" xfId="734" xr:uid="{21A8F760-56FF-4A95-BA2E-8DBCACA071F0}"/>
    <cellStyle name="Normal 55" xfId="735" xr:uid="{D0B99586-32E0-4AB2-888F-61B7808F33C7}"/>
    <cellStyle name="Normal 56" xfId="736" xr:uid="{D855F7D7-68A2-40EA-9DA9-2AD9789CEE18}"/>
    <cellStyle name="Normal 59" xfId="737" xr:uid="{33EC9AC9-A617-4301-B21B-CFAB9C31F5A5}"/>
    <cellStyle name="Normal 6" xfId="738" xr:uid="{506BB4D2-6A2E-4094-BA5C-DB7927388EF8}"/>
    <cellStyle name="Normal 61" xfId="739" xr:uid="{2ED02739-5AE3-422F-85C9-FB00378181BC}"/>
    <cellStyle name="Normal 62" xfId="740" xr:uid="{8E90B980-7BFB-4B16-A195-D2EB8DBE4FF6}"/>
    <cellStyle name="Normal 64" xfId="741" xr:uid="{B030B507-6468-4141-9741-89CE189AAEC7}"/>
    <cellStyle name="Normal 66" xfId="742" xr:uid="{597B7277-BA29-4E81-B071-B3EA6BA2ADC2}"/>
    <cellStyle name="Normal 67" xfId="743" xr:uid="{6ED35BAE-711C-4E8B-822F-AEB03FA03138}"/>
    <cellStyle name="Normal 68" xfId="744" xr:uid="{F8E7EB87-BAB9-4EDD-8C73-39189CF62BDA}"/>
    <cellStyle name="Normal 69" xfId="745" xr:uid="{95C18904-3C37-4EF2-8223-37171A55623F}"/>
    <cellStyle name="Normal 7" xfId="746" xr:uid="{41C3D7CB-720A-4A2E-88FD-76CB27AC23FD}"/>
    <cellStyle name="Normal 70" xfId="747" xr:uid="{191866B0-2F47-4467-A84B-F96544AC2D34}"/>
    <cellStyle name="Normal 70 2" xfId="748" xr:uid="{0299B55B-B380-4F6F-8ADB-A5EF0A67B76E}"/>
    <cellStyle name="Normal 71" xfId="749" xr:uid="{40013ED4-2074-4070-ACF5-E9D6EA8A8BE6}"/>
    <cellStyle name="Normal 71 2" xfId="750" xr:uid="{95108735-1A4D-42DF-8DE8-0DC522FEF13D}"/>
    <cellStyle name="Normal 72" xfId="751" xr:uid="{0F9BF2BB-C046-4CD8-B7E7-8B1ECDBB39DB}"/>
    <cellStyle name="Normal 73" xfId="752" xr:uid="{74F26650-A4BA-42C0-A7F4-0D77CD36DD22}"/>
    <cellStyle name="Normal 73 2" xfId="753" xr:uid="{4E330DE7-920C-4E94-9275-6579F2560A98}"/>
    <cellStyle name="Normal 74" xfId="754" xr:uid="{BFF301E2-9223-465E-930C-64F0FB82762C}"/>
    <cellStyle name="Normal 8" xfId="755" xr:uid="{DCAF7A9F-4130-4FA0-9644-5F5A4B074030}"/>
    <cellStyle name="Normal 80" xfId="756" xr:uid="{5CB8D66B-9D41-495C-A72A-EE26AFA77591}"/>
    <cellStyle name="Normal 9" xfId="757" xr:uid="{492BF710-C847-4F0C-884A-BD89D3021696}"/>
    <cellStyle name="Normal 9 2" xfId="758" xr:uid="{66043604-38ED-426A-B73F-EA0258A4A155}"/>
    <cellStyle name="Normalno 11" xfId="759" xr:uid="{1C78ADB0-2F36-44CB-BA63-F6BABFDE90C7}"/>
    <cellStyle name="Normalno 12" xfId="760" xr:uid="{CBDA168C-AF8C-4926-B46F-4A957000385A}"/>
    <cellStyle name="Normalno 12 2" xfId="794" xr:uid="{5B188BEA-6318-4051-B240-1C1FAE617E92}"/>
    <cellStyle name="Normalno 16" xfId="761" xr:uid="{E77A9860-D0C1-4D24-9B9A-0CFDEA97EF1D}"/>
    <cellStyle name="Normalno 16 2" xfId="795" xr:uid="{7C412F2F-CC43-4D10-B191-DBD870567247}"/>
    <cellStyle name="Normalno 2" xfId="762" xr:uid="{53E14402-8A92-4DA8-A26C-47C9356DF9D0}"/>
    <cellStyle name="Normalno 2 2" xfId="763" xr:uid="{CC66EBC2-CC75-4657-A165-164DD3E1746A}"/>
    <cellStyle name="Normalno 3" xfId="764" xr:uid="{DDF1C9F9-2DD9-49D5-97D7-33E56D2EB42B}"/>
    <cellStyle name="Normalno 3 4 2" xfId="765" xr:uid="{36C28BFE-C103-43CE-AA73-A46B8F63164E}"/>
    <cellStyle name="Normalno 3 4 2 2" xfId="796" xr:uid="{06DDE721-B06D-43DF-87AB-A1B464DDEDC4}"/>
    <cellStyle name="Normalno 3 4 2 2 2 2" xfId="766" xr:uid="{374A36E5-2C97-45D5-B9FB-5160D1CFE2F1}"/>
    <cellStyle name="Normalno 3 4 2 2 2 2 2" xfId="797" xr:uid="{6AD1F1C1-9C80-4ED2-81FF-8CD5B4AD5D78}"/>
    <cellStyle name="Normalno 4" xfId="767" xr:uid="{84A492E7-285B-42D5-B23F-73250EB53408}"/>
    <cellStyle name="Normalno 5" xfId="781" xr:uid="{3A39C2CE-30E7-42B5-A0FD-7B43A6A70C4A}"/>
    <cellStyle name="Normalno 9 2" xfId="768" xr:uid="{2149AC1E-BC05-4F5D-B26C-21EE770F0C57}"/>
    <cellStyle name="Obično 2" xfId="769" xr:uid="{B6D3E644-F149-4727-9B0B-4976E1014FF1}"/>
    <cellStyle name="Obično_4.2 Bill of Quantities PROBA (2)" xfId="770" xr:uid="{7A660577-8CA3-4765-84BB-E393974E5952}"/>
    <cellStyle name="Output 2" xfId="771" xr:uid="{F689908F-CDC2-4526-AD5A-489BC7AAB093}"/>
    <cellStyle name="Standard 3" xfId="772" xr:uid="{F8159267-7C00-4A16-B0A7-4E223DB2D3D2}"/>
    <cellStyle name="Standard_Tabelle1" xfId="773" xr:uid="{2D87266D-DB77-4EED-909A-93884D4C50E4}"/>
    <cellStyle name="Stil 1" xfId="774" xr:uid="{99931A79-3278-4A61-BA02-5A8AF0D8D2F6}"/>
    <cellStyle name="Style 1" xfId="775" xr:uid="{B3BEF5AD-02DE-4B0F-A368-5CAB65CBA3FA}"/>
    <cellStyle name="Style 1 2" xfId="776" xr:uid="{4B2942DB-805C-4828-BA99-ABE4DF3F5819}"/>
    <cellStyle name="Style 1 3" xfId="777" xr:uid="{98845791-452C-462D-90BB-4070A5CB724F}"/>
    <cellStyle name="Style 1 4 2" xfId="778" xr:uid="{B57FB0C1-462A-45CD-9D4A-4899D41B961E}"/>
  </cellStyles>
  <dxfs count="0"/>
  <tableStyles count="0" defaultTableStyle="TableStyleMedium2" defaultPivotStyle="PivotStyleLight16"/>
  <colors>
    <mruColors>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7158</xdr:row>
      <xdr:rowOff>0</xdr:rowOff>
    </xdr:from>
    <xdr:to>
      <xdr:col>1</xdr:col>
      <xdr:colOff>85725</xdr:colOff>
      <xdr:row>7161</xdr:row>
      <xdr:rowOff>3031</xdr:rowOff>
    </xdr:to>
    <xdr:sp macro="" textlink="">
      <xdr:nvSpPr>
        <xdr:cNvPr id="598572" name="Rectangle 21">
          <a:extLst>
            <a:ext uri="{FF2B5EF4-FFF2-40B4-BE49-F238E27FC236}">
              <a16:creationId xmlns:a16="http://schemas.microsoft.com/office/drawing/2014/main" id="{00000000-0008-0000-0000-00002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73" name="Rectangle 22">
          <a:extLst>
            <a:ext uri="{FF2B5EF4-FFF2-40B4-BE49-F238E27FC236}">
              <a16:creationId xmlns:a16="http://schemas.microsoft.com/office/drawing/2014/main" id="{00000000-0008-0000-0000-00002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74" name="Rectangle 23">
          <a:extLst>
            <a:ext uri="{FF2B5EF4-FFF2-40B4-BE49-F238E27FC236}">
              <a16:creationId xmlns:a16="http://schemas.microsoft.com/office/drawing/2014/main" id="{00000000-0008-0000-0000-00002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75" name="Rectangle 24">
          <a:extLst>
            <a:ext uri="{FF2B5EF4-FFF2-40B4-BE49-F238E27FC236}">
              <a16:creationId xmlns:a16="http://schemas.microsoft.com/office/drawing/2014/main" id="{00000000-0008-0000-0000-00002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76" name="Rectangle 25">
          <a:extLst>
            <a:ext uri="{FF2B5EF4-FFF2-40B4-BE49-F238E27FC236}">
              <a16:creationId xmlns:a16="http://schemas.microsoft.com/office/drawing/2014/main" id="{00000000-0008-0000-0000-00003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77" name="Rectangle 26">
          <a:extLst>
            <a:ext uri="{FF2B5EF4-FFF2-40B4-BE49-F238E27FC236}">
              <a16:creationId xmlns:a16="http://schemas.microsoft.com/office/drawing/2014/main" id="{00000000-0008-0000-0000-00003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78" name="Rectangle 31">
          <a:extLst>
            <a:ext uri="{FF2B5EF4-FFF2-40B4-BE49-F238E27FC236}">
              <a16:creationId xmlns:a16="http://schemas.microsoft.com/office/drawing/2014/main" id="{00000000-0008-0000-0000-00003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79" name="Rectangle 32">
          <a:extLst>
            <a:ext uri="{FF2B5EF4-FFF2-40B4-BE49-F238E27FC236}">
              <a16:creationId xmlns:a16="http://schemas.microsoft.com/office/drawing/2014/main" id="{00000000-0008-0000-0000-00003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80" name="Rectangle 33">
          <a:extLst>
            <a:ext uri="{FF2B5EF4-FFF2-40B4-BE49-F238E27FC236}">
              <a16:creationId xmlns:a16="http://schemas.microsoft.com/office/drawing/2014/main" id="{00000000-0008-0000-0000-00003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81" name="Rectangle 34">
          <a:extLst>
            <a:ext uri="{FF2B5EF4-FFF2-40B4-BE49-F238E27FC236}">
              <a16:creationId xmlns:a16="http://schemas.microsoft.com/office/drawing/2014/main" id="{00000000-0008-0000-0000-00003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82" name="Rectangle 35">
          <a:extLst>
            <a:ext uri="{FF2B5EF4-FFF2-40B4-BE49-F238E27FC236}">
              <a16:creationId xmlns:a16="http://schemas.microsoft.com/office/drawing/2014/main" id="{00000000-0008-0000-0000-00003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83" name="Rectangle 36">
          <a:extLst>
            <a:ext uri="{FF2B5EF4-FFF2-40B4-BE49-F238E27FC236}">
              <a16:creationId xmlns:a16="http://schemas.microsoft.com/office/drawing/2014/main" id="{00000000-0008-0000-0000-00003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84" name="Rectangle 37">
          <a:extLst>
            <a:ext uri="{FF2B5EF4-FFF2-40B4-BE49-F238E27FC236}">
              <a16:creationId xmlns:a16="http://schemas.microsoft.com/office/drawing/2014/main" id="{00000000-0008-0000-0000-00003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85" name="Rectangle 40">
          <a:extLst>
            <a:ext uri="{FF2B5EF4-FFF2-40B4-BE49-F238E27FC236}">
              <a16:creationId xmlns:a16="http://schemas.microsoft.com/office/drawing/2014/main" id="{00000000-0008-0000-0000-00003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586" name="Rectangle 41">
          <a:extLst>
            <a:ext uri="{FF2B5EF4-FFF2-40B4-BE49-F238E27FC236}">
              <a16:creationId xmlns:a16="http://schemas.microsoft.com/office/drawing/2014/main" id="{00000000-0008-0000-0000-00003A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587" name="Rectangle 42">
          <a:extLst>
            <a:ext uri="{FF2B5EF4-FFF2-40B4-BE49-F238E27FC236}">
              <a16:creationId xmlns:a16="http://schemas.microsoft.com/office/drawing/2014/main" id="{00000000-0008-0000-0000-00003B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88" name="Rectangle 43">
          <a:extLst>
            <a:ext uri="{FF2B5EF4-FFF2-40B4-BE49-F238E27FC236}">
              <a16:creationId xmlns:a16="http://schemas.microsoft.com/office/drawing/2014/main" id="{00000000-0008-0000-0000-00003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89" name="Rectangle 44">
          <a:extLst>
            <a:ext uri="{FF2B5EF4-FFF2-40B4-BE49-F238E27FC236}">
              <a16:creationId xmlns:a16="http://schemas.microsoft.com/office/drawing/2014/main" id="{00000000-0008-0000-0000-00003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90" name="Rectangle 45">
          <a:extLst>
            <a:ext uri="{FF2B5EF4-FFF2-40B4-BE49-F238E27FC236}">
              <a16:creationId xmlns:a16="http://schemas.microsoft.com/office/drawing/2014/main" id="{00000000-0008-0000-0000-00003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91" name="Rectangle 46">
          <a:extLst>
            <a:ext uri="{FF2B5EF4-FFF2-40B4-BE49-F238E27FC236}">
              <a16:creationId xmlns:a16="http://schemas.microsoft.com/office/drawing/2014/main" id="{00000000-0008-0000-0000-00003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92" name="Rectangle 47">
          <a:extLst>
            <a:ext uri="{FF2B5EF4-FFF2-40B4-BE49-F238E27FC236}">
              <a16:creationId xmlns:a16="http://schemas.microsoft.com/office/drawing/2014/main" id="{00000000-0008-0000-0000-00004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93" name="Rectangle 48">
          <a:extLst>
            <a:ext uri="{FF2B5EF4-FFF2-40B4-BE49-F238E27FC236}">
              <a16:creationId xmlns:a16="http://schemas.microsoft.com/office/drawing/2014/main" id="{00000000-0008-0000-0000-00004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94" name="Rectangle 49">
          <a:extLst>
            <a:ext uri="{FF2B5EF4-FFF2-40B4-BE49-F238E27FC236}">
              <a16:creationId xmlns:a16="http://schemas.microsoft.com/office/drawing/2014/main" id="{00000000-0008-0000-0000-00004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95" name="Rectangle 50">
          <a:extLst>
            <a:ext uri="{FF2B5EF4-FFF2-40B4-BE49-F238E27FC236}">
              <a16:creationId xmlns:a16="http://schemas.microsoft.com/office/drawing/2014/main" id="{00000000-0008-0000-0000-00004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96" name="Rectangle 51">
          <a:extLst>
            <a:ext uri="{FF2B5EF4-FFF2-40B4-BE49-F238E27FC236}">
              <a16:creationId xmlns:a16="http://schemas.microsoft.com/office/drawing/2014/main" id="{00000000-0008-0000-0000-00004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97" name="Rectangle 52">
          <a:extLst>
            <a:ext uri="{FF2B5EF4-FFF2-40B4-BE49-F238E27FC236}">
              <a16:creationId xmlns:a16="http://schemas.microsoft.com/office/drawing/2014/main" id="{00000000-0008-0000-0000-00004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98" name="Rectangle 53">
          <a:extLst>
            <a:ext uri="{FF2B5EF4-FFF2-40B4-BE49-F238E27FC236}">
              <a16:creationId xmlns:a16="http://schemas.microsoft.com/office/drawing/2014/main" id="{00000000-0008-0000-0000-00004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599" name="Rectangle 54">
          <a:extLst>
            <a:ext uri="{FF2B5EF4-FFF2-40B4-BE49-F238E27FC236}">
              <a16:creationId xmlns:a16="http://schemas.microsoft.com/office/drawing/2014/main" id="{00000000-0008-0000-0000-00004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00" name="Rectangle 55">
          <a:extLst>
            <a:ext uri="{FF2B5EF4-FFF2-40B4-BE49-F238E27FC236}">
              <a16:creationId xmlns:a16="http://schemas.microsoft.com/office/drawing/2014/main" id="{00000000-0008-0000-0000-00004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01" name="Rectangle 57">
          <a:extLst>
            <a:ext uri="{FF2B5EF4-FFF2-40B4-BE49-F238E27FC236}">
              <a16:creationId xmlns:a16="http://schemas.microsoft.com/office/drawing/2014/main" id="{00000000-0008-0000-0000-00004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02" name="Rectangle 58">
          <a:extLst>
            <a:ext uri="{FF2B5EF4-FFF2-40B4-BE49-F238E27FC236}">
              <a16:creationId xmlns:a16="http://schemas.microsoft.com/office/drawing/2014/main" id="{00000000-0008-0000-0000-00004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03" name="Rectangle 59">
          <a:extLst>
            <a:ext uri="{FF2B5EF4-FFF2-40B4-BE49-F238E27FC236}">
              <a16:creationId xmlns:a16="http://schemas.microsoft.com/office/drawing/2014/main" id="{00000000-0008-0000-0000-00004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04" name="Rectangle 60">
          <a:extLst>
            <a:ext uri="{FF2B5EF4-FFF2-40B4-BE49-F238E27FC236}">
              <a16:creationId xmlns:a16="http://schemas.microsoft.com/office/drawing/2014/main" id="{00000000-0008-0000-0000-00004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05" name="Rectangle 61">
          <a:extLst>
            <a:ext uri="{FF2B5EF4-FFF2-40B4-BE49-F238E27FC236}">
              <a16:creationId xmlns:a16="http://schemas.microsoft.com/office/drawing/2014/main" id="{00000000-0008-0000-0000-00004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06" name="Rectangle 62">
          <a:extLst>
            <a:ext uri="{FF2B5EF4-FFF2-40B4-BE49-F238E27FC236}">
              <a16:creationId xmlns:a16="http://schemas.microsoft.com/office/drawing/2014/main" id="{00000000-0008-0000-0000-00004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07" name="Rectangle 18">
          <a:extLst>
            <a:ext uri="{FF2B5EF4-FFF2-40B4-BE49-F238E27FC236}">
              <a16:creationId xmlns:a16="http://schemas.microsoft.com/office/drawing/2014/main" id="{00000000-0008-0000-0000-00004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08" name="Rectangle 20">
          <a:extLst>
            <a:ext uri="{FF2B5EF4-FFF2-40B4-BE49-F238E27FC236}">
              <a16:creationId xmlns:a16="http://schemas.microsoft.com/office/drawing/2014/main" id="{00000000-0008-0000-0000-00005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09" name="Rectangle 21">
          <a:extLst>
            <a:ext uri="{FF2B5EF4-FFF2-40B4-BE49-F238E27FC236}">
              <a16:creationId xmlns:a16="http://schemas.microsoft.com/office/drawing/2014/main" id="{00000000-0008-0000-0000-00005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10" name="Rectangle 22">
          <a:extLst>
            <a:ext uri="{FF2B5EF4-FFF2-40B4-BE49-F238E27FC236}">
              <a16:creationId xmlns:a16="http://schemas.microsoft.com/office/drawing/2014/main" id="{00000000-0008-0000-0000-00005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11" name="Rectangle 23">
          <a:extLst>
            <a:ext uri="{FF2B5EF4-FFF2-40B4-BE49-F238E27FC236}">
              <a16:creationId xmlns:a16="http://schemas.microsoft.com/office/drawing/2014/main" id="{00000000-0008-0000-0000-00005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12" name="Rectangle 24">
          <a:extLst>
            <a:ext uri="{FF2B5EF4-FFF2-40B4-BE49-F238E27FC236}">
              <a16:creationId xmlns:a16="http://schemas.microsoft.com/office/drawing/2014/main" id="{00000000-0008-0000-0000-00005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13" name="Rectangle 25">
          <a:extLst>
            <a:ext uri="{FF2B5EF4-FFF2-40B4-BE49-F238E27FC236}">
              <a16:creationId xmlns:a16="http://schemas.microsoft.com/office/drawing/2014/main" id="{00000000-0008-0000-0000-00005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14" name="Rectangle 26">
          <a:extLst>
            <a:ext uri="{FF2B5EF4-FFF2-40B4-BE49-F238E27FC236}">
              <a16:creationId xmlns:a16="http://schemas.microsoft.com/office/drawing/2014/main" id="{00000000-0008-0000-0000-00005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15" name="Rectangle 31">
          <a:extLst>
            <a:ext uri="{FF2B5EF4-FFF2-40B4-BE49-F238E27FC236}">
              <a16:creationId xmlns:a16="http://schemas.microsoft.com/office/drawing/2014/main" id="{00000000-0008-0000-0000-00005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16" name="Rectangle 32">
          <a:extLst>
            <a:ext uri="{FF2B5EF4-FFF2-40B4-BE49-F238E27FC236}">
              <a16:creationId xmlns:a16="http://schemas.microsoft.com/office/drawing/2014/main" id="{00000000-0008-0000-0000-00005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17" name="Rectangle 33">
          <a:extLst>
            <a:ext uri="{FF2B5EF4-FFF2-40B4-BE49-F238E27FC236}">
              <a16:creationId xmlns:a16="http://schemas.microsoft.com/office/drawing/2014/main" id="{00000000-0008-0000-0000-00005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18" name="Rectangle 34">
          <a:extLst>
            <a:ext uri="{FF2B5EF4-FFF2-40B4-BE49-F238E27FC236}">
              <a16:creationId xmlns:a16="http://schemas.microsoft.com/office/drawing/2014/main" id="{00000000-0008-0000-0000-00005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19" name="Rectangle 35">
          <a:extLst>
            <a:ext uri="{FF2B5EF4-FFF2-40B4-BE49-F238E27FC236}">
              <a16:creationId xmlns:a16="http://schemas.microsoft.com/office/drawing/2014/main" id="{00000000-0008-0000-0000-00005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20" name="Rectangle 36">
          <a:extLst>
            <a:ext uri="{FF2B5EF4-FFF2-40B4-BE49-F238E27FC236}">
              <a16:creationId xmlns:a16="http://schemas.microsoft.com/office/drawing/2014/main" id="{00000000-0008-0000-0000-00005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21" name="Rectangle 37">
          <a:extLst>
            <a:ext uri="{FF2B5EF4-FFF2-40B4-BE49-F238E27FC236}">
              <a16:creationId xmlns:a16="http://schemas.microsoft.com/office/drawing/2014/main" id="{00000000-0008-0000-0000-00005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22" name="Rectangle 40">
          <a:extLst>
            <a:ext uri="{FF2B5EF4-FFF2-40B4-BE49-F238E27FC236}">
              <a16:creationId xmlns:a16="http://schemas.microsoft.com/office/drawing/2014/main" id="{00000000-0008-0000-0000-00005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623" name="Rectangle 41">
          <a:extLst>
            <a:ext uri="{FF2B5EF4-FFF2-40B4-BE49-F238E27FC236}">
              <a16:creationId xmlns:a16="http://schemas.microsoft.com/office/drawing/2014/main" id="{00000000-0008-0000-0000-00005F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624" name="Rectangle 42">
          <a:extLst>
            <a:ext uri="{FF2B5EF4-FFF2-40B4-BE49-F238E27FC236}">
              <a16:creationId xmlns:a16="http://schemas.microsoft.com/office/drawing/2014/main" id="{00000000-0008-0000-0000-000060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25" name="Rectangle 43">
          <a:extLst>
            <a:ext uri="{FF2B5EF4-FFF2-40B4-BE49-F238E27FC236}">
              <a16:creationId xmlns:a16="http://schemas.microsoft.com/office/drawing/2014/main" id="{00000000-0008-0000-0000-00006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26" name="Rectangle 44">
          <a:extLst>
            <a:ext uri="{FF2B5EF4-FFF2-40B4-BE49-F238E27FC236}">
              <a16:creationId xmlns:a16="http://schemas.microsoft.com/office/drawing/2014/main" id="{00000000-0008-0000-0000-00006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27" name="Rectangle 45">
          <a:extLst>
            <a:ext uri="{FF2B5EF4-FFF2-40B4-BE49-F238E27FC236}">
              <a16:creationId xmlns:a16="http://schemas.microsoft.com/office/drawing/2014/main" id="{00000000-0008-0000-0000-00006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28" name="Rectangle 46">
          <a:extLst>
            <a:ext uri="{FF2B5EF4-FFF2-40B4-BE49-F238E27FC236}">
              <a16:creationId xmlns:a16="http://schemas.microsoft.com/office/drawing/2014/main" id="{00000000-0008-0000-0000-00006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29" name="Rectangle 47">
          <a:extLst>
            <a:ext uri="{FF2B5EF4-FFF2-40B4-BE49-F238E27FC236}">
              <a16:creationId xmlns:a16="http://schemas.microsoft.com/office/drawing/2014/main" id="{00000000-0008-0000-0000-00006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30" name="Rectangle 48">
          <a:extLst>
            <a:ext uri="{FF2B5EF4-FFF2-40B4-BE49-F238E27FC236}">
              <a16:creationId xmlns:a16="http://schemas.microsoft.com/office/drawing/2014/main" id="{00000000-0008-0000-0000-00006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31" name="Rectangle 49">
          <a:extLst>
            <a:ext uri="{FF2B5EF4-FFF2-40B4-BE49-F238E27FC236}">
              <a16:creationId xmlns:a16="http://schemas.microsoft.com/office/drawing/2014/main" id="{00000000-0008-0000-0000-00006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32" name="Rectangle 50">
          <a:extLst>
            <a:ext uri="{FF2B5EF4-FFF2-40B4-BE49-F238E27FC236}">
              <a16:creationId xmlns:a16="http://schemas.microsoft.com/office/drawing/2014/main" id="{00000000-0008-0000-0000-00006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33" name="Rectangle 51">
          <a:extLst>
            <a:ext uri="{FF2B5EF4-FFF2-40B4-BE49-F238E27FC236}">
              <a16:creationId xmlns:a16="http://schemas.microsoft.com/office/drawing/2014/main" id="{00000000-0008-0000-0000-00006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34" name="Rectangle 52">
          <a:extLst>
            <a:ext uri="{FF2B5EF4-FFF2-40B4-BE49-F238E27FC236}">
              <a16:creationId xmlns:a16="http://schemas.microsoft.com/office/drawing/2014/main" id="{00000000-0008-0000-0000-00006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35" name="Rectangle 53">
          <a:extLst>
            <a:ext uri="{FF2B5EF4-FFF2-40B4-BE49-F238E27FC236}">
              <a16:creationId xmlns:a16="http://schemas.microsoft.com/office/drawing/2014/main" id="{00000000-0008-0000-0000-00006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36" name="Rectangle 54">
          <a:extLst>
            <a:ext uri="{FF2B5EF4-FFF2-40B4-BE49-F238E27FC236}">
              <a16:creationId xmlns:a16="http://schemas.microsoft.com/office/drawing/2014/main" id="{00000000-0008-0000-0000-00006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37" name="Rectangle 55">
          <a:extLst>
            <a:ext uri="{FF2B5EF4-FFF2-40B4-BE49-F238E27FC236}">
              <a16:creationId xmlns:a16="http://schemas.microsoft.com/office/drawing/2014/main" id="{00000000-0008-0000-0000-00006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38" name="Rectangle 57">
          <a:extLst>
            <a:ext uri="{FF2B5EF4-FFF2-40B4-BE49-F238E27FC236}">
              <a16:creationId xmlns:a16="http://schemas.microsoft.com/office/drawing/2014/main" id="{00000000-0008-0000-0000-00006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39" name="Rectangle 58">
          <a:extLst>
            <a:ext uri="{FF2B5EF4-FFF2-40B4-BE49-F238E27FC236}">
              <a16:creationId xmlns:a16="http://schemas.microsoft.com/office/drawing/2014/main" id="{00000000-0008-0000-0000-00006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40" name="Rectangle 59">
          <a:extLst>
            <a:ext uri="{FF2B5EF4-FFF2-40B4-BE49-F238E27FC236}">
              <a16:creationId xmlns:a16="http://schemas.microsoft.com/office/drawing/2014/main" id="{00000000-0008-0000-0000-00007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41" name="Rectangle 60">
          <a:extLst>
            <a:ext uri="{FF2B5EF4-FFF2-40B4-BE49-F238E27FC236}">
              <a16:creationId xmlns:a16="http://schemas.microsoft.com/office/drawing/2014/main" id="{00000000-0008-0000-0000-00007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42" name="Rectangle 61">
          <a:extLst>
            <a:ext uri="{FF2B5EF4-FFF2-40B4-BE49-F238E27FC236}">
              <a16:creationId xmlns:a16="http://schemas.microsoft.com/office/drawing/2014/main" id="{00000000-0008-0000-0000-00007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43" name="Rectangle 62">
          <a:extLst>
            <a:ext uri="{FF2B5EF4-FFF2-40B4-BE49-F238E27FC236}">
              <a16:creationId xmlns:a16="http://schemas.microsoft.com/office/drawing/2014/main" id="{00000000-0008-0000-0000-00007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44" name="Rectangle 18">
          <a:extLst>
            <a:ext uri="{FF2B5EF4-FFF2-40B4-BE49-F238E27FC236}">
              <a16:creationId xmlns:a16="http://schemas.microsoft.com/office/drawing/2014/main" id="{00000000-0008-0000-0000-00007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45" name="Rectangle 20">
          <a:extLst>
            <a:ext uri="{FF2B5EF4-FFF2-40B4-BE49-F238E27FC236}">
              <a16:creationId xmlns:a16="http://schemas.microsoft.com/office/drawing/2014/main" id="{00000000-0008-0000-0000-00007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46" name="Rectangle 21">
          <a:extLst>
            <a:ext uri="{FF2B5EF4-FFF2-40B4-BE49-F238E27FC236}">
              <a16:creationId xmlns:a16="http://schemas.microsoft.com/office/drawing/2014/main" id="{00000000-0008-0000-0000-00007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47" name="Rectangle 22">
          <a:extLst>
            <a:ext uri="{FF2B5EF4-FFF2-40B4-BE49-F238E27FC236}">
              <a16:creationId xmlns:a16="http://schemas.microsoft.com/office/drawing/2014/main" id="{00000000-0008-0000-0000-00007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48" name="Rectangle 23">
          <a:extLst>
            <a:ext uri="{FF2B5EF4-FFF2-40B4-BE49-F238E27FC236}">
              <a16:creationId xmlns:a16="http://schemas.microsoft.com/office/drawing/2014/main" id="{00000000-0008-0000-0000-00007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49" name="Rectangle 24">
          <a:extLst>
            <a:ext uri="{FF2B5EF4-FFF2-40B4-BE49-F238E27FC236}">
              <a16:creationId xmlns:a16="http://schemas.microsoft.com/office/drawing/2014/main" id="{00000000-0008-0000-0000-00007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50" name="Rectangle 25">
          <a:extLst>
            <a:ext uri="{FF2B5EF4-FFF2-40B4-BE49-F238E27FC236}">
              <a16:creationId xmlns:a16="http://schemas.microsoft.com/office/drawing/2014/main" id="{00000000-0008-0000-0000-00007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51" name="Rectangle 26">
          <a:extLst>
            <a:ext uri="{FF2B5EF4-FFF2-40B4-BE49-F238E27FC236}">
              <a16:creationId xmlns:a16="http://schemas.microsoft.com/office/drawing/2014/main" id="{00000000-0008-0000-0000-00007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52" name="Rectangle 31">
          <a:extLst>
            <a:ext uri="{FF2B5EF4-FFF2-40B4-BE49-F238E27FC236}">
              <a16:creationId xmlns:a16="http://schemas.microsoft.com/office/drawing/2014/main" id="{00000000-0008-0000-0000-00007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53" name="Rectangle 32">
          <a:extLst>
            <a:ext uri="{FF2B5EF4-FFF2-40B4-BE49-F238E27FC236}">
              <a16:creationId xmlns:a16="http://schemas.microsoft.com/office/drawing/2014/main" id="{00000000-0008-0000-0000-00007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54" name="Rectangle 33">
          <a:extLst>
            <a:ext uri="{FF2B5EF4-FFF2-40B4-BE49-F238E27FC236}">
              <a16:creationId xmlns:a16="http://schemas.microsoft.com/office/drawing/2014/main" id="{00000000-0008-0000-0000-00007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55" name="Rectangle 34">
          <a:extLst>
            <a:ext uri="{FF2B5EF4-FFF2-40B4-BE49-F238E27FC236}">
              <a16:creationId xmlns:a16="http://schemas.microsoft.com/office/drawing/2014/main" id="{00000000-0008-0000-0000-00007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56" name="Rectangle 35">
          <a:extLst>
            <a:ext uri="{FF2B5EF4-FFF2-40B4-BE49-F238E27FC236}">
              <a16:creationId xmlns:a16="http://schemas.microsoft.com/office/drawing/2014/main" id="{00000000-0008-0000-0000-00008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57" name="Rectangle 36">
          <a:extLst>
            <a:ext uri="{FF2B5EF4-FFF2-40B4-BE49-F238E27FC236}">
              <a16:creationId xmlns:a16="http://schemas.microsoft.com/office/drawing/2014/main" id="{00000000-0008-0000-0000-00008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58" name="Rectangle 37">
          <a:extLst>
            <a:ext uri="{FF2B5EF4-FFF2-40B4-BE49-F238E27FC236}">
              <a16:creationId xmlns:a16="http://schemas.microsoft.com/office/drawing/2014/main" id="{00000000-0008-0000-0000-00008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59" name="Rectangle 40">
          <a:extLst>
            <a:ext uri="{FF2B5EF4-FFF2-40B4-BE49-F238E27FC236}">
              <a16:creationId xmlns:a16="http://schemas.microsoft.com/office/drawing/2014/main" id="{00000000-0008-0000-0000-00008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660" name="Rectangle 41">
          <a:extLst>
            <a:ext uri="{FF2B5EF4-FFF2-40B4-BE49-F238E27FC236}">
              <a16:creationId xmlns:a16="http://schemas.microsoft.com/office/drawing/2014/main" id="{00000000-0008-0000-0000-000084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661" name="Rectangle 42">
          <a:extLst>
            <a:ext uri="{FF2B5EF4-FFF2-40B4-BE49-F238E27FC236}">
              <a16:creationId xmlns:a16="http://schemas.microsoft.com/office/drawing/2014/main" id="{00000000-0008-0000-0000-000085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62" name="Rectangle 43">
          <a:extLst>
            <a:ext uri="{FF2B5EF4-FFF2-40B4-BE49-F238E27FC236}">
              <a16:creationId xmlns:a16="http://schemas.microsoft.com/office/drawing/2014/main" id="{00000000-0008-0000-0000-00008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63" name="Rectangle 44">
          <a:extLst>
            <a:ext uri="{FF2B5EF4-FFF2-40B4-BE49-F238E27FC236}">
              <a16:creationId xmlns:a16="http://schemas.microsoft.com/office/drawing/2014/main" id="{00000000-0008-0000-0000-00008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64" name="Rectangle 45">
          <a:extLst>
            <a:ext uri="{FF2B5EF4-FFF2-40B4-BE49-F238E27FC236}">
              <a16:creationId xmlns:a16="http://schemas.microsoft.com/office/drawing/2014/main" id="{00000000-0008-0000-0000-00008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65" name="Rectangle 46">
          <a:extLst>
            <a:ext uri="{FF2B5EF4-FFF2-40B4-BE49-F238E27FC236}">
              <a16:creationId xmlns:a16="http://schemas.microsoft.com/office/drawing/2014/main" id="{00000000-0008-0000-0000-00008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66" name="Rectangle 47">
          <a:extLst>
            <a:ext uri="{FF2B5EF4-FFF2-40B4-BE49-F238E27FC236}">
              <a16:creationId xmlns:a16="http://schemas.microsoft.com/office/drawing/2014/main" id="{00000000-0008-0000-0000-00008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67" name="Rectangle 48">
          <a:extLst>
            <a:ext uri="{FF2B5EF4-FFF2-40B4-BE49-F238E27FC236}">
              <a16:creationId xmlns:a16="http://schemas.microsoft.com/office/drawing/2014/main" id="{00000000-0008-0000-0000-00008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68" name="Rectangle 49">
          <a:extLst>
            <a:ext uri="{FF2B5EF4-FFF2-40B4-BE49-F238E27FC236}">
              <a16:creationId xmlns:a16="http://schemas.microsoft.com/office/drawing/2014/main" id="{00000000-0008-0000-0000-00008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69" name="Rectangle 50">
          <a:extLst>
            <a:ext uri="{FF2B5EF4-FFF2-40B4-BE49-F238E27FC236}">
              <a16:creationId xmlns:a16="http://schemas.microsoft.com/office/drawing/2014/main" id="{00000000-0008-0000-0000-00008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70" name="Rectangle 51">
          <a:extLst>
            <a:ext uri="{FF2B5EF4-FFF2-40B4-BE49-F238E27FC236}">
              <a16:creationId xmlns:a16="http://schemas.microsoft.com/office/drawing/2014/main" id="{00000000-0008-0000-0000-00008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71" name="Rectangle 52">
          <a:extLst>
            <a:ext uri="{FF2B5EF4-FFF2-40B4-BE49-F238E27FC236}">
              <a16:creationId xmlns:a16="http://schemas.microsoft.com/office/drawing/2014/main" id="{00000000-0008-0000-0000-00008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72" name="Rectangle 53">
          <a:extLst>
            <a:ext uri="{FF2B5EF4-FFF2-40B4-BE49-F238E27FC236}">
              <a16:creationId xmlns:a16="http://schemas.microsoft.com/office/drawing/2014/main" id="{00000000-0008-0000-0000-00009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73" name="Rectangle 54">
          <a:extLst>
            <a:ext uri="{FF2B5EF4-FFF2-40B4-BE49-F238E27FC236}">
              <a16:creationId xmlns:a16="http://schemas.microsoft.com/office/drawing/2014/main" id="{00000000-0008-0000-0000-00009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74" name="Rectangle 55">
          <a:extLst>
            <a:ext uri="{FF2B5EF4-FFF2-40B4-BE49-F238E27FC236}">
              <a16:creationId xmlns:a16="http://schemas.microsoft.com/office/drawing/2014/main" id="{00000000-0008-0000-0000-00009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75" name="Rectangle 57">
          <a:extLst>
            <a:ext uri="{FF2B5EF4-FFF2-40B4-BE49-F238E27FC236}">
              <a16:creationId xmlns:a16="http://schemas.microsoft.com/office/drawing/2014/main" id="{00000000-0008-0000-0000-00009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76" name="Rectangle 58">
          <a:extLst>
            <a:ext uri="{FF2B5EF4-FFF2-40B4-BE49-F238E27FC236}">
              <a16:creationId xmlns:a16="http://schemas.microsoft.com/office/drawing/2014/main" id="{00000000-0008-0000-0000-00009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77" name="Rectangle 59">
          <a:extLst>
            <a:ext uri="{FF2B5EF4-FFF2-40B4-BE49-F238E27FC236}">
              <a16:creationId xmlns:a16="http://schemas.microsoft.com/office/drawing/2014/main" id="{00000000-0008-0000-0000-00009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78" name="Rectangle 60">
          <a:extLst>
            <a:ext uri="{FF2B5EF4-FFF2-40B4-BE49-F238E27FC236}">
              <a16:creationId xmlns:a16="http://schemas.microsoft.com/office/drawing/2014/main" id="{00000000-0008-0000-0000-00009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79" name="Rectangle 61">
          <a:extLst>
            <a:ext uri="{FF2B5EF4-FFF2-40B4-BE49-F238E27FC236}">
              <a16:creationId xmlns:a16="http://schemas.microsoft.com/office/drawing/2014/main" id="{00000000-0008-0000-0000-00009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80" name="Rectangle 62">
          <a:extLst>
            <a:ext uri="{FF2B5EF4-FFF2-40B4-BE49-F238E27FC236}">
              <a16:creationId xmlns:a16="http://schemas.microsoft.com/office/drawing/2014/main" id="{00000000-0008-0000-0000-00009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81" name="Rectangle 18">
          <a:extLst>
            <a:ext uri="{FF2B5EF4-FFF2-40B4-BE49-F238E27FC236}">
              <a16:creationId xmlns:a16="http://schemas.microsoft.com/office/drawing/2014/main" id="{00000000-0008-0000-0000-00009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82" name="Rectangle 20">
          <a:extLst>
            <a:ext uri="{FF2B5EF4-FFF2-40B4-BE49-F238E27FC236}">
              <a16:creationId xmlns:a16="http://schemas.microsoft.com/office/drawing/2014/main" id="{00000000-0008-0000-0000-00009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83" name="Rectangle 21">
          <a:extLst>
            <a:ext uri="{FF2B5EF4-FFF2-40B4-BE49-F238E27FC236}">
              <a16:creationId xmlns:a16="http://schemas.microsoft.com/office/drawing/2014/main" id="{00000000-0008-0000-0000-00009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84" name="Rectangle 22">
          <a:extLst>
            <a:ext uri="{FF2B5EF4-FFF2-40B4-BE49-F238E27FC236}">
              <a16:creationId xmlns:a16="http://schemas.microsoft.com/office/drawing/2014/main" id="{00000000-0008-0000-0000-00009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85" name="Rectangle 23">
          <a:extLst>
            <a:ext uri="{FF2B5EF4-FFF2-40B4-BE49-F238E27FC236}">
              <a16:creationId xmlns:a16="http://schemas.microsoft.com/office/drawing/2014/main" id="{00000000-0008-0000-0000-00009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86" name="Rectangle 24">
          <a:extLst>
            <a:ext uri="{FF2B5EF4-FFF2-40B4-BE49-F238E27FC236}">
              <a16:creationId xmlns:a16="http://schemas.microsoft.com/office/drawing/2014/main" id="{00000000-0008-0000-0000-00009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87" name="Rectangle 25">
          <a:extLst>
            <a:ext uri="{FF2B5EF4-FFF2-40B4-BE49-F238E27FC236}">
              <a16:creationId xmlns:a16="http://schemas.microsoft.com/office/drawing/2014/main" id="{00000000-0008-0000-0000-00009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88" name="Rectangle 26">
          <a:extLst>
            <a:ext uri="{FF2B5EF4-FFF2-40B4-BE49-F238E27FC236}">
              <a16:creationId xmlns:a16="http://schemas.microsoft.com/office/drawing/2014/main" id="{00000000-0008-0000-0000-0000A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89" name="Rectangle 31">
          <a:extLst>
            <a:ext uri="{FF2B5EF4-FFF2-40B4-BE49-F238E27FC236}">
              <a16:creationId xmlns:a16="http://schemas.microsoft.com/office/drawing/2014/main" id="{00000000-0008-0000-0000-0000A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90" name="Rectangle 32">
          <a:extLst>
            <a:ext uri="{FF2B5EF4-FFF2-40B4-BE49-F238E27FC236}">
              <a16:creationId xmlns:a16="http://schemas.microsoft.com/office/drawing/2014/main" id="{00000000-0008-0000-0000-0000A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91" name="Rectangle 33">
          <a:extLst>
            <a:ext uri="{FF2B5EF4-FFF2-40B4-BE49-F238E27FC236}">
              <a16:creationId xmlns:a16="http://schemas.microsoft.com/office/drawing/2014/main" id="{00000000-0008-0000-0000-0000A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92" name="Rectangle 34">
          <a:extLst>
            <a:ext uri="{FF2B5EF4-FFF2-40B4-BE49-F238E27FC236}">
              <a16:creationId xmlns:a16="http://schemas.microsoft.com/office/drawing/2014/main" id="{00000000-0008-0000-0000-0000A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93" name="Rectangle 35">
          <a:extLst>
            <a:ext uri="{FF2B5EF4-FFF2-40B4-BE49-F238E27FC236}">
              <a16:creationId xmlns:a16="http://schemas.microsoft.com/office/drawing/2014/main" id="{00000000-0008-0000-0000-0000A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94" name="Rectangle 36">
          <a:extLst>
            <a:ext uri="{FF2B5EF4-FFF2-40B4-BE49-F238E27FC236}">
              <a16:creationId xmlns:a16="http://schemas.microsoft.com/office/drawing/2014/main" id="{00000000-0008-0000-0000-0000A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95" name="Rectangle 37">
          <a:extLst>
            <a:ext uri="{FF2B5EF4-FFF2-40B4-BE49-F238E27FC236}">
              <a16:creationId xmlns:a16="http://schemas.microsoft.com/office/drawing/2014/main" id="{00000000-0008-0000-0000-0000A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96" name="Rectangle 40">
          <a:extLst>
            <a:ext uri="{FF2B5EF4-FFF2-40B4-BE49-F238E27FC236}">
              <a16:creationId xmlns:a16="http://schemas.microsoft.com/office/drawing/2014/main" id="{00000000-0008-0000-0000-0000A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697" name="Rectangle 41">
          <a:extLst>
            <a:ext uri="{FF2B5EF4-FFF2-40B4-BE49-F238E27FC236}">
              <a16:creationId xmlns:a16="http://schemas.microsoft.com/office/drawing/2014/main" id="{00000000-0008-0000-0000-0000A9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698" name="Rectangle 42">
          <a:extLst>
            <a:ext uri="{FF2B5EF4-FFF2-40B4-BE49-F238E27FC236}">
              <a16:creationId xmlns:a16="http://schemas.microsoft.com/office/drawing/2014/main" id="{00000000-0008-0000-0000-0000AA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699" name="Rectangle 43">
          <a:extLst>
            <a:ext uri="{FF2B5EF4-FFF2-40B4-BE49-F238E27FC236}">
              <a16:creationId xmlns:a16="http://schemas.microsoft.com/office/drawing/2014/main" id="{00000000-0008-0000-0000-0000A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00" name="Rectangle 44">
          <a:extLst>
            <a:ext uri="{FF2B5EF4-FFF2-40B4-BE49-F238E27FC236}">
              <a16:creationId xmlns:a16="http://schemas.microsoft.com/office/drawing/2014/main" id="{00000000-0008-0000-0000-0000A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01" name="Rectangle 45">
          <a:extLst>
            <a:ext uri="{FF2B5EF4-FFF2-40B4-BE49-F238E27FC236}">
              <a16:creationId xmlns:a16="http://schemas.microsoft.com/office/drawing/2014/main" id="{00000000-0008-0000-0000-0000A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02" name="Rectangle 46">
          <a:extLst>
            <a:ext uri="{FF2B5EF4-FFF2-40B4-BE49-F238E27FC236}">
              <a16:creationId xmlns:a16="http://schemas.microsoft.com/office/drawing/2014/main" id="{00000000-0008-0000-0000-0000A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03" name="Rectangle 47">
          <a:extLst>
            <a:ext uri="{FF2B5EF4-FFF2-40B4-BE49-F238E27FC236}">
              <a16:creationId xmlns:a16="http://schemas.microsoft.com/office/drawing/2014/main" id="{00000000-0008-0000-0000-0000A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04" name="Rectangle 48">
          <a:extLst>
            <a:ext uri="{FF2B5EF4-FFF2-40B4-BE49-F238E27FC236}">
              <a16:creationId xmlns:a16="http://schemas.microsoft.com/office/drawing/2014/main" id="{00000000-0008-0000-0000-0000B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05" name="Rectangle 49">
          <a:extLst>
            <a:ext uri="{FF2B5EF4-FFF2-40B4-BE49-F238E27FC236}">
              <a16:creationId xmlns:a16="http://schemas.microsoft.com/office/drawing/2014/main" id="{00000000-0008-0000-0000-0000B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06" name="Rectangle 50">
          <a:extLst>
            <a:ext uri="{FF2B5EF4-FFF2-40B4-BE49-F238E27FC236}">
              <a16:creationId xmlns:a16="http://schemas.microsoft.com/office/drawing/2014/main" id="{00000000-0008-0000-0000-0000B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07" name="Rectangle 51">
          <a:extLst>
            <a:ext uri="{FF2B5EF4-FFF2-40B4-BE49-F238E27FC236}">
              <a16:creationId xmlns:a16="http://schemas.microsoft.com/office/drawing/2014/main" id="{00000000-0008-0000-0000-0000B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08" name="Rectangle 52">
          <a:extLst>
            <a:ext uri="{FF2B5EF4-FFF2-40B4-BE49-F238E27FC236}">
              <a16:creationId xmlns:a16="http://schemas.microsoft.com/office/drawing/2014/main" id="{00000000-0008-0000-0000-0000B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09" name="Rectangle 53">
          <a:extLst>
            <a:ext uri="{FF2B5EF4-FFF2-40B4-BE49-F238E27FC236}">
              <a16:creationId xmlns:a16="http://schemas.microsoft.com/office/drawing/2014/main" id="{00000000-0008-0000-0000-0000B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10" name="Rectangle 54">
          <a:extLst>
            <a:ext uri="{FF2B5EF4-FFF2-40B4-BE49-F238E27FC236}">
              <a16:creationId xmlns:a16="http://schemas.microsoft.com/office/drawing/2014/main" id="{00000000-0008-0000-0000-0000B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11" name="Rectangle 55">
          <a:extLst>
            <a:ext uri="{FF2B5EF4-FFF2-40B4-BE49-F238E27FC236}">
              <a16:creationId xmlns:a16="http://schemas.microsoft.com/office/drawing/2014/main" id="{00000000-0008-0000-0000-0000B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12" name="Rectangle 57">
          <a:extLst>
            <a:ext uri="{FF2B5EF4-FFF2-40B4-BE49-F238E27FC236}">
              <a16:creationId xmlns:a16="http://schemas.microsoft.com/office/drawing/2014/main" id="{00000000-0008-0000-0000-0000B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13" name="Rectangle 58">
          <a:extLst>
            <a:ext uri="{FF2B5EF4-FFF2-40B4-BE49-F238E27FC236}">
              <a16:creationId xmlns:a16="http://schemas.microsoft.com/office/drawing/2014/main" id="{00000000-0008-0000-0000-0000B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14" name="Rectangle 59">
          <a:extLst>
            <a:ext uri="{FF2B5EF4-FFF2-40B4-BE49-F238E27FC236}">
              <a16:creationId xmlns:a16="http://schemas.microsoft.com/office/drawing/2014/main" id="{00000000-0008-0000-0000-0000B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15" name="Rectangle 60">
          <a:extLst>
            <a:ext uri="{FF2B5EF4-FFF2-40B4-BE49-F238E27FC236}">
              <a16:creationId xmlns:a16="http://schemas.microsoft.com/office/drawing/2014/main" id="{00000000-0008-0000-0000-0000B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16" name="Rectangle 61">
          <a:extLst>
            <a:ext uri="{FF2B5EF4-FFF2-40B4-BE49-F238E27FC236}">
              <a16:creationId xmlns:a16="http://schemas.microsoft.com/office/drawing/2014/main" id="{00000000-0008-0000-0000-0000B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17" name="Rectangle 62">
          <a:extLst>
            <a:ext uri="{FF2B5EF4-FFF2-40B4-BE49-F238E27FC236}">
              <a16:creationId xmlns:a16="http://schemas.microsoft.com/office/drawing/2014/main" id="{00000000-0008-0000-0000-0000B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18" name="Rectangle 18">
          <a:extLst>
            <a:ext uri="{FF2B5EF4-FFF2-40B4-BE49-F238E27FC236}">
              <a16:creationId xmlns:a16="http://schemas.microsoft.com/office/drawing/2014/main" id="{00000000-0008-0000-0000-0000B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19" name="Rectangle 20">
          <a:extLst>
            <a:ext uri="{FF2B5EF4-FFF2-40B4-BE49-F238E27FC236}">
              <a16:creationId xmlns:a16="http://schemas.microsoft.com/office/drawing/2014/main" id="{00000000-0008-0000-0000-0000B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20" name="Rectangle 21">
          <a:extLst>
            <a:ext uri="{FF2B5EF4-FFF2-40B4-BE49-F238E27FC236}">
              <a16:creationId xmlns:a16="http://schemas.microsoft.com/office/drawing/2014/main" id="{00000000-0008-0000-0000-0000C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21" name="Rectangle 22">
          <a:extLst>
            <a:ext uri="{FF2B5EF4-FFF2-40B4-BE49-F238E27FC236}">
              <a16:creationId xmlns:a16="http://schemas.microsoft.com/office/drawing/2014/main" id="{00000000-0008-0000-0000-0000C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22" name="Rectangle 23">
          <a:extLst>
            <a:ext uri="{FF2B5EF4-FFF2-40B4-BE49-F238E27FC236}">
              <a16:creationId xmlns:a16="http://schemas.microsoft.com/office/drawing/2014/main" id="{00000000-0008-0000-0000-0000C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23" name="Rectangle 24">
          <a:extLst>
            <a:ext uri="{FF2B5EF4-FFF2-40B4-BE49-F238E27FC236}">
              <a16:creationId xmlns:a16="http://schemas.microsoft.com/office/drawing/2014/main" id="{00000000-0008-0000-0000-0000C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24" name="Rectangle 25">
          <a:extLst>
            <a:ext uri="{FF2B5EF4-FFF2-40B4-BE49-F238E27FC236}">
              <a16:creationId xmlns:a16="http://schemas.microsoft.com/office/drawing/2014/main" id="{00000000-0008-0000-0000-0000C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25" name="Rectangle 26">
          <a:extLst>
            <a:ext uri="{FF2B5EF4-FFF2-40B4-BE49-F238E27FC236}">
              <a16:creationId xmlns:a16="http://schemas.microsoft.com/office/drawing/2014/main" id="{00000000-0008-0000-0000-0000C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26" name="Rectangle 31">
          <a:extLst>
            <a:ext uri="{FF2B5EF4-FFF2-40B4-BE49-F238E27FC236}">
              <a16:creationId xmlns:a16="http://schemas.microsoft.com/office/drawing/2014/main" id="{00000000-0008-0000-0000-0000C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27" name="Rectangle 32">
          <a:extLst>
            <a:ext uri="{FF2B5EF4-FFF2-40B4-BE49-F238E27FC236}">
              <a16:creationId xmlns:a16="http://schemas.microsoft.com/office/drawing/2014/main" id="{00000000-0008-0000-0000-0000C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28" name="Rectangle 33">
          <a:extLst>
            <a:ext uri="{FF2B5EF4-FFF2-40B4-BE49-F238E27FC236}">
              <a16:creationId xmlns:a16="http://schemas.microsoft.com/office/drawing/2014/main" id="{00000000-0008-0000-0000-0000C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29" name="Rectangle 34">
          <a:extLst>
            <a:ext uri="{FF2B5EF4-FFF2-40B4-BE49-F238E27FC236}">
              <a16:creationId xmlns:a16="http://schemas.microsoft.com/office/drawing/2014/main" id="{00000000-0008-0000-0000-0000C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30" name="Rectangle 35">
          <a:extLst>
            <a:ext uri="{FF2B5EF4-FFF2-40B4-BE49-F238E27FC236}">
              <a16:creationId xmlns:a16="http://schemas.microsoft.com/office/drawing/2014/main" id="{00000000-0008-0000-0000-0000C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31" name="Rectangle 36">
          <a:extLst>
            <a:ext uri="{FF2B5EF4-FFF2-40B4-BE49-F238E27FC236}">
              <a16:creationId xmlns:a16="http://schemas.microsoft.com/office/drawing/2014/main" id="{00000000-0008-0000-0000-0000C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32" name="Rectangle 37">
          <a:extLst>
            <a:ext uri="{FF2B5EF4-FFF2-40B4-BE49-F238E27FC236}">
              <a16:creationId xmlns:a16="http://schemas.microsoft.com/office/drawing/2014/main" id="{00000000-0008-0000-0000-0000C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33" name="Rectangle 40">
          <a:extLst>
            <a:ext uri="{FF2B5EF4-FFF2-40B4-BE49-F238E27FC236}">
              <a16:creationId xmlns:a16="http://schemas.microsoft.com/office/drawing/2014/main" id="{00000000-0008-0000-0000-0000C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734" name="Rectangle 41">
          <a:extLst>
            <a:ext uri="{FF2B5EF4-FFF2-40B4-BE49-F238E27FC236}">
              <a16:creationId xmlns:a16="http://schemas.microsoft.com/office/drawing/2014/main" id="{00000000-0008-0000-0000-0000CE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735" name="Rectangle 42">
          <a:extLst>
            <a:ext uri="{FF2B5EF4-FFF2-40B4-BE49-F238E27FC236}">
              <a16:creationId xmlns:a16="http://schemas.microsoft.com/office/drawing/2014/main" id="{00000000-0008-0000-0000-0000CF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36" name="Rectangle 43">
          <a:extLst>
            <a:ext uri="{FF2B5EF4-FFF2-40B4-BE49-F238E27FC236}">
              <a16:creationId xmlns:a16="http://schemas.microsoft.com/office/drawing/2014/main" id="{00000000-0008-0000-0000-0000D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37" name="Rectangle 44">
          <a:extLst>
            <a:ext uri="{FF2B5EF4-FFF2-40B4-BE49-F238E27FC236}">
              <a16:creationId xmlns:a16="http://schemas.microsoft.com/office/drawing/2014/main" id="{00000000-0008-0000-0000-0000D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38" name="Rectangle 45">
          <a:extLst>
            <a:ext uri="{FF2B5EF4-FFF2-40B4-BE49-F238E27FC236}">
              <a16:creationId xmlns:a16="http://schemas.microsoft.com/office/drawing/2014/main" id="{00000000-0008-0000-0000-0000D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39" name="Rectangle 46">
          <a:extLst>
            <a:ext uri="{FF2B5EF4-FFF2-40B4-BE49-F238E27FC236}">
              <a16:creationId xmlns:a16="http://schemas.microsoft.com/office/drawing/2014/main" id="{00000000-0008-0000-0000-0000D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40" name="Rectangle 47">
          <a:extLst>
            <a:ext uri="{FF2B5EF4-FFF2-40B4-BE49-F238E27FC236}">
              <a16:creationId xmlns:a16="http://schemas.microsoft.com/office/drawing/2014/main" id="{00000000-0008-0000-0000-0000D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41" name="Rectangle 48">
          <a:extLst>
            <a:ext uri="{FF2B5EF4-FFF2-40B4-BE49-F238E27FC236}">
              <a16:creationId xmlns:a16="http://schemas.microsoft.com/office/drawing/2014/main" id="{00000000-0008-0000-0000-0000D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42" name="Rectangle 49">
          <a:extLst>
            <a:ext uri="{FF2B5EF4-FFF2-40B4-BE49-F238E27FC236}">
              <a16:creationId xmlns:a16="http://schemas.microsoft.com/office/drawing/2014/main" id="{00000000-0008-0000-0000-0000D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43" name="Rectangle 50">
          <a:extLst>
            <a:ext uri="{FF2B5EF4-FFF2-40B4-BE49-F238E27FC236}">
              <a16:creationId xmlns:a16="http://schemas.microsoft.com/office/drawing/2014/main" id="{00000000-0008-0000-0000-0000D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44" name="Rectangle 51">
          <a:extLst>
            <a:ext uri="{FF2B5EF4-FFF2-40B4-BE49-F238E27FC236}">
              <a16:creationId xmlns:a16="http://schemas.microsoft.com/office/drawing/2014/main" id="{00000000-0008-0000-0000-0000D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45" name="Rectangle 52">
          <a:extLst>
            <a:ext uri="{FF2B5EF4-FFF2-40B4-BE49-F238E27FC236}">
              <a16:creationId xmlns:a16="http://schemas.microsoft.com/office/drawing/2014/main" id="{00000000-0008-0000-0000-0000D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46" name="Rectangle 53">
          <a:extLst>
            <a:ext uri="{FF2B5EF4-FFF2-40B4-BE49-F238E27FC236}">
              <a16:creationId xmlns:a16="http://schemas.microsoft.com/office/drawing/2014/main" id="{00000000-0008-0000-0000-0000D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47" name="Rectangle 54">
          <a:extLst>
            <a:ext uri="{FF2B5EF4-FFF2-40B4-BE49-F238E27FC236}">
              <a16:creationId xmlns:a16="http://schemas.microsoft.com/office/drawing/2014/main" id="{00000000-0008-0000-0000-0000D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48" name="Rectangle 55">
          <a:extLst>
            <a:ext uri="{FF2B5EF4-FFF2-40B4-BE49-F238E27FC236}">
              <a16:creationId xmlns:a16="http://schemas.microsoft.com/office/drawing/2014/main" id="{00000000-0008-0000-0000-0000D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49" name="Rectangle 57">
          <a:extLst>
            <a:ext uri="{FF2B5EF4-FFF2-40B4-BE49-F238E27FC236}">
              <a16:creationId xmlns:a16="http://schemas.microsoft.com/office/drawing/2014/main" id="{00000000-0008-0000-0000-0000D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50" name="Rectangle 58">
          <a:extLst>
            <a:ext uri="{FF2B5EF4-FFF2-40B4-BE49-F238E27FC236}">
              <a16:creationId xmlns:a16="http://schemas.microsoft.com/office/drawing/2014/main" id="{00000000-0008-0000-0000-0000D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51" name="Rectangle 59">
          <a:extLst>
            <a:ext uri="{FF2B5EF4-FFF2-40B4-BE49-F238E27FC236}">
              <a16:creationId xmlns:a16="http://schemas.microsoft.com/office/drawing/2014/main" id="{00000000-0008-0000-0000-0000D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52" name="Rectangle 60">
          <a:extLst>
            <a:ext uri="{FF2B5EF4-FFF2-40B4-BE49-F238E27FC236}">
              <a16:creationId xmlns:a16="http://schemas.microsoft.com/office/drawing/2014/main" id="{00000000-0008-0000-0000-0000E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53" name="Rectangle 61">
          <a:extLst>
            <a:ext uri="{FF2B5EF4-FFF2-40B4-BE49-F238E27FC236}">
              <a16:creationId xmlns:a16="http://schemas.microsoft.com/office/drawing/2014/main" id="{00000000-0008-0000-0000-0000E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54" name="Rectangle 62">
          <a:extLst>
            <a:ext uri="{FF2B5EF4-FFF2-40B4-BE49-F238E27FC236}">
              <a16:creationId xmlns:a16="http://schemas.microsoft.com/office/drawing/2014/main" id="{00000000-0008-0000-0000-0000E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55" name="Rectangle 18">
          <a:extLst>
            <a:ext uri="{FF2B5EF4-FFF2-40B4-BE49-F238E27FC236}">
              <a16:creationId xmlns:a16="http://schemas.microsoft.com/office/drawing/2014/main" id="{00000000-0008-0000-0000-0000E3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56" name="Rectangle 20">
          <a:extLst>
            <a:ext uri="{FF2B5EF4-FFF2-40B4-BE49-F238E27FC236}">
              <a16:creationId xmlns:a16="http://schemas.microsoft.com/office/drawing/2014/main" id="{00000000-0008-0000-0000-0000E4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57" name="Rectangle 21">
          <a:extLst>
            <a:ext uri="{FF2B5EF4-FFF2-40B4-BE49-F238E27FC236}">
              <a16:creationId xmlns:a16="http://schemas.microsoft.com/office/drawing/2014/main" id="{00000000-0008-0000-0000-0000E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58" name="Rectangle 22">
          <a:extLst>
            <a:ext uri="{FF2B5EF4-FFF2-40B4-BE49-F238E27FC236}">
              <a16:creationId xmlns:a16="http://schemas.microsoft.com/office/drawing/2014/main" id="{00000000-0008-0000-0000-0000E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59" name="Rectangle 23">
          <a:extLst>
            <a:ext uri="{FF2B5EF4-FFF2-40B4-BE49-F238E27FC236}">
              <a16:creationId xmlns:a16="http://schemas.microsoft.com/office/drawing/2014/main" id="{00000000-0008-0000-0000-0000E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60" name="Rectangle 24">
          <a:extLst>
            <a:ext uri="{FF2B5EF4-FFF2-40B4-BE49-F238E27FC236}">
              <a16:creationId xmlns:a16="http://schemas.microsoft.com/office/drawing/2014/main" id="{00000000-0008-0000-0000-0000E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61" name="Rectangle 25">
          <a:extLst>
            <a:ext uri="{FF2B5EF4-FFF2-40B4-BE49-F238E27FC236}">
              <a16:creationId xmlns:a16="http://schemas.microsoft.com/office/drawing/2014/main" id="{00000000-0008-0000-0000-0000E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62" name="Rectangle 26">
          <a:extLst>
            <a:ext uri="{FF2B5EF4-FFF2-40B4-BE49-F238E27FC236}">
              <a16:creationId xmlns:a16="http://schemas.microsoft.com/office/drawing/2014/main" id="{00000000-0008-0000-0000-0000E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63" name="Rectangle 31">
          <a:extLst>
            <a:ext uri="{FF2B5EF4-FFF2-40B4-BE49-F238E27FC236}">
              <a16:creationId xmlns:a16="http://schemas.microsoft.com/office/drawing/2014/main" id="{00000000-0008-0000-0000-0000E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64" name="Rectangle 32">
          <a:extLst>
            <a:ext uri="{FF2B5EF4-FFF2-40B4-BE49-F238E27FC236}">
              <a16:creationId xmlns:a16="http://schemas.microsoft.com/office/drawing/2014/main" id="{00000000-0008-0000-0000-0000E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65" name="Rectangle 33">
          <a:extLst>
            <a:ext uri="{FF2B5EF4-FFF2-40B4-BE49-F238E27FC236}">
              <a16:creationId xmlns:a16="http://schemas.microsoft.com/office/drawing/2014/main" id="{00000000-0008-0000-0000-0000E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66" name="Rectangle 34">
          <a:extLst>
            <a:ext uri="{FF2B5EF4-FFF2-40B4-BE49-F238E27FC236}">
              <a16:creationId xmlns:a16="http://schemas.microsoft.com/office/drawing/2014/main" id="{00000000-0008-0000-0000-0000E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67" name="Rectangle 35">
          <a:extLst>
            <a:ext uri="{FF2B5EF4-FFF2-40B4-BE49-F238E27FC236}">
              <a16:creationId xmlns:a16="http://schemas.microsoft.com/office/drawing/2014/main" id="{00000000-0008-0000-0000-0000E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68" name="Rectangle 36">
          <a:extLst>
            <a:ext uri="{FF2B5EF4-FFF2-40B4-BE49-F238E27FC236}">
              <a16:creationId xmlns:a16="http://schemas.microsoft.com/office/drawing/2014/main" id="{00000000-0008-0000-0000-0000F0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69" name="Rectangle 37">
          <a:extLst>
            <a:ext uri="{FF2B5EF4-FFF2-40B4-BE49-F238E27FC236}">
              <a16:creationId xmlns:a16="http://schemas.microsoft.com/office/drawing/2014/main" id="{00000000-0008-0000-0000-0000F1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70" name="Rectangle 40">
          <a:extLst>
            <a:ext uri="{FF2B5EF4-FFF2-40B4-BE49-F238E27FC236}">
              <a16:creationId xmlns:a16="http://schemas.microsoft.com/office/drawing/2014/main" id="{00000000-0008-0000-0000-0000F2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771" name="Rectangle 41">
          <a:extLst>
            <a:ext uri="{FF2B5EF4-FFF2-40B4-BE49-F238E27FC236}">
              <a16:creationId xmlns:a16="http://schemas.microsoft.com/office/drawing/2014/main" id="{00000000-0008-0000-0000-0000F3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772" name="Rectangle 42">
          <a:extLst>
            <a:ext uri="{FF2B5EF4-FFF2-40B4-BE49-F238E27FC236}">
              <a16:creationId xmlns:a16="http://schemas.microsoft.com/office/drawing/2014/main" id="{00000000-0008-0000-0000-0000F422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73" name="Rectangle 43">
          <a:extLst>
            <a:ext uri="{FF2B5EF4-FFF2-40B4-BE49-F238E27FC236}">
              <a16:creationId xmlns:a16="http://schemas.microsoft.com/office/drawing/2014/main" id="{00000000-0008-0000-0000-0000F5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74" name="Rectangle 44">
          <a:extLst>
            <a:ext uri="{FF2B5EF4-FFF2-40B4-BE49-F238E27FC236}">
              <a16:creationId xmlns:a16="http://schemas.microsoft.com/office/drawing/2014/main" id="{00000000-0008-0000-0000-0000F6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75" name="Rectangle 45">
          <a:extLst>
            <a:ext uri="{FF2B5EF4-FFF2-40B4-BE49-F238E27FC236}">
              <a16:creationId xmlns:a16="http://schemas.microsoft.com/office/drawing/2014/main" id="{00000000-0008-0000-0000-0000F7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76" name="Rectangle 46">
          <a:extLst>
            <a:ext uri="{FF2B5EF4-FFF2-40B4-BE49-F238E27FC236}">
              <a16:creationId xmlns:a16="http://schemas.microsoft.com/office/drawing/2014/main" id="{00000000-0008-0000-0000-0000F8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77" name="Rectangle 47">
          <a:extLst>
            <a:ext uri="{FF2B5EF4-FFF2-40B4-BE49-F238E27FC236}">
              <a16:creationId xmlns:a16="http://schemas.microsoft.com/office/drawing/2014/main" id="{00000000-0008-0000-0000-0000F9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78" name="Rectangle 48">
          <a:extLst>
            <a:ext uri="{FF2B5EF4-FFF2-40B4-BE49-F238E27FC236}">
              <a16:creationId xmlns:a16="http://schemas.microsoft.com/office/drawing/2014/main" id="{00000000-0008-0000-0000-0000FA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79" name="Rectangle 49">
          <a:extLst>
            <a:ext uri="{FF2B5EF4-FFF2-40B4-BE49-F238E27FC236}">
              <a16:creationId xmlns:a16="http://schemas.microsoft.com/office/drawing/2014/main" id="{00000000-0008-0000-0000-0000FB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80" name="Rectangle 50">
          <a:extLst>
            <a:ext uri="{FF2B5EF4-FFF2-40B4-BE49-F238E27FC236}">
              <a16:creationId xmlns:a16="http://schemas.microsoft.com/office/drawing/2014/main" id="{00000000-0008-0000-0000-0000FC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81" name="Rectangle 51">
          <a:extLst>
            <a:ext uri="{FF2B5EF4-FFF2-40B4-BE49-F238E27FC236}">
              <a16:creationId xmlns:a16="http://schemas.microsoft.com/office/drawing/2014/main" id="{00000000-0008-0000-0000-0000FD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82" name="Rectangle 52">
          <a:extLst>
            <a:ext uri="{FF2B5EF4-FFF2-40B4-BE49-F238E27FC236}">
              <a16:creationId xmlns:a16="http://schemas.microsoft.com/office/drawing/2014/main" id="{00000000-0008-0000-0000-0000FE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83" name="Rectangle 53">
          <a:extLst>
            <a:ext uri="{FF2B5EF4-FFF2-40B4-BE49-F238E27FC236}">
              <a16:creationId xmlns:a16="http://schemas.microsoft.com/office/drawing/2014/main" id="{00000000-0008-0000-0000-0000FF22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84" name="Rectangle 54">
          <a:extLst>
            <a:ext uri="{FF2B5EF4-FFF2-40B4-BE49-F238E27FC236}">
              <a16:creationId xmlns:a16="http://schemas.microsoft.com/office/drawing/2014/main" id="{00000000-0008-0000-0000-00000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85" name="Rectangle 55">
          <a:extLst>
            <a:ext uri="{FF2B5EF4-FFF2-40B4-BE49-F238E27FC236}">
              <a16:creationId xmlns:a16="http://schemas.microsoft.com/office/drawing/2014/main" id="{00000000-0008-0000-0000-00000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86" name="Rectangle 57">
          <a:extLst>
            <a:ext uri="{FF2B5EF4-FFF2-40B4-BE49-F238E27FC236}">
              <a16:creationId xmlns:a16="http://schemas.microsoft.com/office/drawing/2014/main" id="{00000000-0008-0000-0000-00000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87" name="Rectangle 58">
          <a:extLst>
            <a:ext uri="{FF2B5EF4-FFF2-40B4-BE49-F238E27FC236}">
              <a16:creationId xmlns:a16="http://schemas.microsoft.com/office/drawing/2014/main" id="{00000000-0008-0000-0000-00000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88" name="Rectangle 59">
          <a:extLst>
            <a:ext uri="{FF2B5EF4-FFF2-40B4-BE49-F238E27FC236}">
              <a16:creationId xmlns:a16="http://schemas.microsoft.com/office/drawing/2014/main" id="{00000000-0008-0000-0000-00000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89" name="Rectangle 60">
          <a:extLst>
            <a:ext uri="{FF2B5EF4-FFF2-40B4-BE49-F238E27FC236}">
              <a16:creationId xmlns:a16="http://schemas.microsoft.com/office/drawing/2014/main" id="{00000000-0008-0000-0000-00000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90" name="Rectangle 61">
          <a:extLst>
            <a:ext uri="{FF2B5EF4-FFF2-40B4-BE49-F238E27FC236}">
              <a16:creationId xmlns:a16="http://schemas.microsoft.com/office/drawing/2014/main" id="{00000000-0008-0000-0000-00000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91" name="Rectangle 62">
          <a:extLst>
            <a:ext uri="{FF2B5EF4-FFF2-40B4-BE49-F238E27FC236}">
              <a16:creationId xmlns:a16="http://schemas.microsoft.com/office/drawing/2014/main" id="{00000000-0008-0000-0000-00000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92" name="Rectangle 18">
          <a:extLst>
            <a:ext uri="{FF2B5EF4-FFF2-40B4-BE49-F238E27FC236}">
              <a16:creationId xmlns:a16="http://schemas.microsoft.com/office/drawing/2014/main" id="{00000000-0008-0000-0000-00000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93" name="Rectangle 20">
          <a:extLst>
            <a:ext uri="{FF2B5EF4-FFF2-40B4-BE49-F238E27FC236}">
              <a16:creationId xmlns:a16="http://schemas.microsoft.com/office/drawing/2014/main" id="{00000000-0008-0000-0000-00000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94" name="Rectangle 21">
          <a:extLst>
            <a:ext uri="{FF2B5EF4-FFF2-40B4-BE49-F238E27FC236}">
              <a16:creationId xmlns:a16="http://schemas.microsoft.com/office/drawing/2014/main" id="{00000000-0008-0000-0000-00000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95" name="Rectangle 22">
          <a:extLst>
            <a:ext uri="{FF2B5EF4-FFF2-40B4-BE49-F238E27FC236}">
              <a16:creationId xmlns:a16="http://schemas.microsoft.com/office/drawing/2014/main" id="{00000000-0008-0000-0000-00000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96" name="Rectangle 23">
          <a:extLst>
            <a:ext uri="{FF2B5EF4-FFF2-40B4-BE49-F238E27FC236}">
              <a16:creationId xmlns:a16="http://schemas.microsoft.com/office/drawing/2014/main" id="{00000000-0008-0000-0000-00000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97" name="Rectangle 24">
          <a:extLst>
            <a:ext uri="{FF2B5EF4-FFF2-40B4-BE49-F238E27FC236}">
              <a16:creationId xmlns:a16="http://schemas.microsoft.com/office/drawing/2014/main" id="{00000000-0008-0000-0000-00000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98" name="Rectangle 25">
          <a:extLst>
            <a:ext uri="{FF2B5EF4-FFF2-40B4-BE49-F238E27FC236}">
              <a16:creationId xmlns:a16="http://schemas.microsoft.com/office/drawing/2014/main" id="{00000000-0008-0000-0000-00000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799" name="Rectangle 26">
          <a:extLst>
            <a:ext uri="{FF2B5EF4-FFF2-40B4-BE49-F238E27FC236}">
              <a16:creationId xmlns:a16="http://schemas.microsoft.com/office/drawing/2014/main" id="{00000000-0008-0000-0000-00000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00" name="Rectangle 31">
          <a:extLst>
            <a:ext uri="{FF2B5EF4-FFF2-40B4-BE49-F238E27FC236}">
              <a16:creationId xmlns:a16="http://schemas.microsoft.com/office/drawing/2014/main" id="{00000000-0008-0000-0000-00001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01" name="Rectangle 32">
          <a:extLst>
            <a:ext uri="{FF2B5EF4-FFF2-40B4-BE49-F238E27FC236}">
              <a16:creationId xmlns:a16="http://schemas.microsoft.com/office/drawing/2014/main" id="{00000000-0008-0000-0000-00001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02" name="Rectangle 33">
          <a:extLst>
            <a:ext uri="{FF2B5EF4-FFF2-40B4-BE49-F238E27FC236}">
              <a16:creationId xmlns:a16="http://schemas.microsoft.com/office/drawing/2014/main" id="{00000000-0008-0000-0000-00001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03" name="Rectangle 34">
          <a:extLst>
            <a:ext uri="{FF2B5EF4-FFF2-40B4-BE49-F238E27FC236}">
              <a16:creationId xmlns:a16="http://schemas.microsoft.com/office/drawing/2014/main" id="{00000000-0008-0000-0000-00001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04" name="Rectangle 35">
          <a:extLst>
            <a:ext uri="{FF2B5EF4-FFF2-40B4-BE49-F238E27FC236}">
              <a16:creationId xmlns:a16="http://schemas.microsoft.com/office/drawing/2014/main" id="{00000000-0008-0000-0000-00001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05" name="Rectangle 36">
          <a:extLst>
            <a:ext uri="{FF2B5EF4-FFF2-40B4-BE49-F238E27FC236}">
              <a16:creationId xmlns:a16="http://schemas.microsoft.com/office/drawing/2014/main" id="{00000000-0008-0000-0000-00001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06" name="Rectangle 37">
          <a:extLst>
            <a:ext uri="{FF2B5EF4-FFF2-40B4-BE49-F238E27FC236}">
              <a16:creationId xmlns:a16="http://schemas.microsoft.com/office/drawing/2014/main" id="{00000000-0008-0000-0000-00001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07" name="Rectangle 40">
          <a:extLst>
            <a:ext uri="{FF2B5EF4-FFF2-40B4-BE49-F238E27FC236}">
              <a16:creationId xmlns:a16="http://schemas.microsoft.com/office/drawing/2014/main" id="{00000000-0008-0000-0000-00001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808" name="Rectangle 41">
          <a:extLst>
            <a:ext uri="{FF2B5EF4-FFF2-40B4-BE49-F238E27FC236}">
              <a16:creationId xmlns:a16="http://schemas.microsoft.com/office/drawing/2014/main" id="{00000000-0008-0000-0000-000018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809" name="Rectangle 42">
          <a:extLst>
            <a:ext uri="{FF2B5EF4-FFF2-40B4-BE49-F238E27FC236}">
              <a16:creationId xmlns:a16="http://schemas.microsoft.com/office/drawing/2014/main" id="{00000000-0008-0000-0000-000019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10" name="Rectangle 43">
          <a:extLst>
            <a:ext uri="{FF2B5EF4-FFF2-40B4-BE49-F238E27FC236}">
              <a16:creationId xmlns:a16="http://schemas.microsoft.com/office/drawing/2014/main" id="{00000000-0008-0000-0000-00001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11" name="Rectangle 44">
          <a:extLst>
            <a:ext uri="{FF2B5EF4-FFF2-40B4-BE49-F238E27FC236}">
              <a16:creationId xmlns:a16="http://schemas.microsoft.com/office/drawing/2014/main" id="{00000000-0008-0000-0000-00001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12" name="Rectangle 45">
          <a:extLst>
            <a:ext uri="{FF2B5EF4-FFF2-40B4-BE49-F238E27FC236}">
              <a16:creationId xmlns:a16="http://schemas.microsoft.com/office/drawing/2014/main" id="{00000000-0008-0000-0000-00001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13" name="Rectangle 46">
          <a:extLst>
            <a:ext uri="{FF2B5EF4-FFF2-40B4-BE49-F238E27FC236}">
              <a16:creationId xmlns:a16="http://schemas.microsoft.com/office/drawing/2014/main" id="{00000000-0008-0000-0000-00001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14" name="Rectangle 47">
          <a:extLst>
            <a:ext uri="{FF2B5EF4-FFF2-40B4-BE49-F238E27FC236}">
              <a16:creationId xmlns:a16="http://schemas.microsoft.com/office/drawing/2014/main" id="{00000000-0008-0000-0000-00001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15" name="Rectangle 48">
          <a:extLst>
            <a:ext uri="{FF2B5EF4-FFF2-40B4-BE49-F238E27FC236}">
              <a16:creationId xmlns:a16="http://schemas.microsoft.com/office/drawing/2014/main" id="{00000000-0008-0000-0000-00001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16" name="Rectangle 49">
          <a:extLst>
            <a:ext uri="{FF2B5EF4-FFF2-40B4-BE49-F238E27FC236}">
              <a16:creationId xmlns:a16="http://schemas.microsoft.com/office/drawing/2014/main" id="{00000000-0008-0000-0000-00002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17" name="Rectangle 50">
          <a:extLst>
            <a:ext uri="{FF2B5EF4-FFF2-40B4-BE49-F238E27FC236}">
              <a16:creationId xmlns:a16="http://schemas.microsoft.com/office/drawing/2014/main" id="{00000000-0008-0000-0000-00002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18" name="Rectangle 51">
          <a:extLst>
            <a:ext uri="{FF2B5EF4-FFF2-40B4-BE49-F238E27FC236}">
              <a16:creationId xmlns:a16="http://schemas.microsoft.com/office/drawing/2014/main" id="{00000000-0008-0000-0000-00002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19" name="Rectangle 52">
          <a:extLst>
            <a:ext uri="{FF2B5EF4-FFF2-40B4-BE49-F238E27FC236}">
              <a16:creationId xmlns:a16="http://schemas.microsoft.com/office/drawing/2014/main" id="{00000000-0008-0000-0000-00002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20" name="Rectangle 53">
          <a:extLst>
            <a:ext uri="{FF2B5EF4-FFF2-40B4-BE49-F238E27FC236}">
              <a16:creationId xmlns:a16="http://schemas.microsoft.com/office/drawing/2014/main" id="{00000000-0008-0000-0000-00002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21" name="Rectangle 54">
          <a:extLst>
            <a:ext uri="{FF2B5EF4-FFF2-40B4-BE49-F238E27FC236}">
              <a16:creationId xmlns:a16="http://schemas.microsoft.com/office/drawing/2014/main" id="{00000000-0008-0000-0000-00002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22" name="Rectangle 55">
          <a:extLst>
            <a:ext uri="{FF2B5EF4-FFF2-40B4-BE49-F238E27FC236}">
              <a16:creationId xmlns:a16="http://schemas.microsoft.com/office/drawing/2014/main" id="{00000000-0008-0000-0000-00002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23" name="Rectangle 57">
          <a:extLst>
            <a:ext uri="{FF2B5EF4-FFF2-40B4-BE49-F238E27FC236}">
              <a16:creationId xmlns:a16="http://schemas.microsoft.com/office/drawing/2014/main" id="{00000000-0008-0000-0000-00002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24" name="Rectangle 58">
          <a:extLst>
            <a:ext uri="{FF2B5EF4-FFF2-40B4-BE49-F238E27FC236}">
              <a16:creationId xmlns:a16="http://schemas.microsoft.com/office/drawing/2014/main" id="{00000000-0008-0000-0000-00002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25" name="Rectangle 59">
          <a:extLst>
            <a:ext uri="{FF2B5EF4-FFF2-40B4-BE49-F238E27FC236}">
              <a16:creationId xmlns:a16="http://schemas.microsoft.com/office/drawing/2014/main" id="{00000000-0008-0000-0000-00002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26" name="Rectangle 60">
          <a:extLst>
            <a:ext uri="{FF2B5EF4-FFF2-40B4-BE49-F238E27FC236}">
              <a16:creationId xmlns:a16="http://schemas.microsoft.com/office/drawing/2014/main" id="{00000000-0008-0000-0000-00002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27" name="Rectangle 61">
          <a:extLst>
            <a:ext uri="{FF2B5EF4-FFF2-40B4-BE49-F238E27FC236}">
              <a16:creationId xmlns:a16="http://schemas.microsoft.com/office/drawing/2014/main" id="{00000000-0008-0000-0000-00002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28" name="Rectangle 62">
          <a:extLst>
            <a:ext uri="{FF2B5EF4-FFF2-40B4-BE49-F238E27FC236}">
              <a16:creationId xmlns:a16="http://schemas.microsoft.com/office/drawing/2014/main" id="{00000000-0008-0000-0000-00002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29" name="Rectangle 18">
          <a:extLst>
            <a:ext uri="{FF2B5EF4-FFF2-40B4-BE49-F238E27FC236}">
              <a16:creationId xmlns:a16="http://schemas.microsoft.com/office/drawing/2014/main" id="{00000000-0008-0000-0000-00002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30" name="Rectangle 20">
          <a:extLst>
            <a:ext uri="{FF2B5EF4-FFF2-40B4-BE49-F238E27FC236}">
              <a16:creationId xmlns:a16="http://schemas.microsoft.com/office/drawing/2014/main" id="{00000000-0008-0000-0000-00002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31" name="Rectangle 21">
          <a:extLst>
            <a:ext uri="{FF2B5EF4-FFF2-40B4-BE49-F238E27FC236}">
              <a16:creationId xmlns:a16="http://schemas.microsoft.com/office/drawing/2014/main" id="{00000000-0008-0000-0000-00002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32" name="Rectangle 22">
          <a:extLst>
            <a:ext uri="{FF2B5EF4-FFF2-40B4-BE49-F238E27FC236}">
              <a16:creationId xmlns:a16="http://schemas.microsoft.com/office/drawing/2014/main" id="{00000000-0008-0000-0000-00003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33" name="Rectangle 23">
          <a:extLst>
            <a:ext uri="{FF2B5EF4-FFF2-40B4-BE49-F238E27FC236}">
              <a16:creationId xmlns:a16="http://schemas.microsoft.com/office/drawing/2014/main" id="{00000000-0008-0000-0000-00003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34" name="Rectangle 24">
          <a:extLst>
            <a:ext uri="{FF2B5EF4-FFF2-40B4-BE49-F238E27FC236}">
              <a16:creationId xmlns:a16="http://schemas.microsoft.com/office/drawing/2014/main" id="{00000000-0008-0000-0000-00003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35" name="Rectangle 25">
          <a:extLst>
            <a:ext uri="{FF2B5EF4-FFF2-40B4-BE49-F238E27FC236}">
              <a16:creationId xmlns:a16="http://schemas.microsoft.com/office/drawing/2014/main" id="{00000000-0008-0000-0000-00003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36" name="Rectangle 26">
          <a:extLst>
            <a:ext uri="{FF2B5EF4-FFF2-40B4-BE49-F238E27FC236}">
              <a16:creationId xmlns:a16="http://schemas.microsoft.com/office/drawing/2014/main" id="{00000000-0008-0000-0000-00003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37" name="Rectangle 31">
          <a:extLst>
            <a:ext uri="{FF2B5EF4-FFF2-40B4-BE49-F238E27FC236}">
              <a16:creationId xmlns:a16="http://schemas.microsoft.com/office/drawing/2014/main" id="{00000000-0008-0000-0000-00003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38" name="Rectangle 32">
          <a:extLst>
            <a:ext uri="{FF2B5EF4-FFF2-40B4-BE49-F238E27FC236}">
              <a16:creationId xmlns:a16="http://schemas.microsoft.com/office/drawing/2014/main" id="{00000000-0008-0000-0000-00003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39" name="Rectangle 33">
          <a:extLst>
            <a:ext uri="{FF2B5EF4-FFF2-40B4-BE49-F238E27FC236}">
              <a16:creationId xmlns:a16="http://schemas.microsoft.com/office/drawing/2014/main" id="{00000000-0008-0000-0000-00003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40" name="Rectangle 34">
          <a:extLst>
            <a:ext uri="{FF2B5EF4-FFF2-40B4-BE49-F238E27FC236}">
              <a16:creationId xmlns:a16="http://schemas.microsoft.com/office/drawing/2014/main" id="{00000000-0008-0000-0000-00003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41" name="Rectangle 35">
          <a:extLst>
            <a:ext uri="{FF2B5EF4-FFF2-40B4-BE49-F238E27FC236}">
              <a16:creationId xmlns:a16="http://schemas.microsoft.com/office/drawing/2014/main" id="{00000000-0008-0000-0000-00003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42" name="Rectangle 36">
          <a:extLst>
            <a:ext uri="{FF2B5EF4-FFF2-40B4-BE49-F238E27FC236}">
              <a16:creationId xmlns:a16="http://schemas.microsoft.com/office/drawing/2014/main" id="{00000000-0008-0000-0000-00003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43" name="Rectangle 37">
          <a:extLst>
            <a:ext uri="{FF2B5EF4-FFF2-40B4-BE49-F238E27FC236}">
              <a16:creationId xmlns:a16="http://schemas.microsoft.com/office/drawing/2014/main" id="{00000000-0008-0000-0000-00003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44" name="Rectangle 40">
          <a:extLst>
            <a:ext uri="{FF2B5EF4-FFF2-40B4-BE49-F238E27FC236}">
              <a16:creationId xmlns:a16="http://schemas.microsoft.com/office/drawing/2014/main" id="{00000000-0008-0000-0000-00003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845" name="Rectangle 41">
          <a:extLst>
            <a:ext uri="{FF2B5EF4-FFF2-40B4-BE49-F238E27FC236}">
              <a16:creationId xmlns:a16="http://schemas.microsoft.com/office/drawing/2014/main" id="{00000000-0008-0000-0000-00003D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846" name="Rectangle 42">
          <a:extLst>
            <a:ext uri="{FF2B5EF4-FFF2-40B4-BE49-F238E27FC236}">
              <a16:creationId xmlns:a16="http://schemas.microsoft.com/office/drawing/2014/main" id="{00000000-0008-0000-0000-00003E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47" name="Rectangle 43">
          <a:extLst>
            <a:ext uri="{FF2B5EF4-FFF2-40B4-BE49-F238E27FC236}">
              <a16:creationId xmlns:a16="http://schemas.microsoft.com/office/drawing/2014/main" id="{00000000-0008-0000-0000-00003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48" name="Rectangle 44">
          <a:extLst>
            <a:ext uri="{FF2B5EF4-FFF2-40B4-BE49-F238E27FC236}">
              <a16:creationId xmlns:a16="http://schemas.microsoft.com/office/drawing/2014/main" id="{00000000-0008-0000-0000-00004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49" name="Rectangle 45">
          <a:extLst>
            <a:ext uri="{FF2B5EF4-FFF2-40B4-BE49-F238E27FC236}">
              <a16:creationId xmlns:a16="http://schemas.microsoft.com/office/drawing/2014/main" id="{00000000-0008-0000-0000-00004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50" name="Rectangle 46">
          <a:extLst>
            <a:ext uri="{FF2B5EF4-FFF2-40B4-BE49-F238E27FC236}">
              <a16:creationId xmlns:a16="http://schemas.microsoft.com/office/drawing/2014/main" id="{00000000-0008-0000-0000-00004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51" name="Rectangle 47">
          <a:extLst>
            <a:ext uri="{FF2B5EF4-FFF2-40B4-BE49-F238E27FC236}">
              <a16:creationId xmlns:a16="http://schemas.microsoft.com/office/drawing/2014/main" id="{00000000-0008-0000-0000-00004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52" name="Rectangle 48">
          <a:extLst>
            <a:ext uri="{FF2B5EF4-FFF2-40B4-BE49-F238E27FC236}">
              <a16:creationId xmlns:a16="http://schemas.microsoft.com/office/drawing/2014/main" id="{00000000-0008-0000-0000-00004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53" name="Rectangle 49">
          <a:extLst>
            <a:ext uri="{FF2B5EF4-FFF2-40B4-BE49-F238E27FC236}">
              <a16:creationId xmlns:a16="http://schemas.microsoft.com/office/drawing/2014/main" id="{00000000-0008-0000-0000-00004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54" name="Rectangle 50">
          <a:extLst>
            <a:ext uri="{FF2B5EF4-FFF2-40B4-BE49-F238E27FC236}">
              <a16:creationId xmlns:a16="http://schemas.microsoft.com/office/drawing/2014/main" id="{00000000-0008-0000-0000-00004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55" name="Rectangle 51">
          <a:extLst>
            <a:ext uri="{FF2B5EF4-FFF2-40B4-BE49-F238E27FC236}">
              <a16:creationId xmlns:a16="http://schemas.microsoft.com/office/drawing/2014/main" id="{00000000-0008-0000-0000-00004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56" name="Rectangle 52">
          <a:extLst>
            <a:ext uri="{FF2B5EF4-FFF2-40B4-BE49-F238E27FC236}">
              <a16:creationId xmlns:a16="http://schemas.microsoft.com/office/drawing/2014/main" id="{00000000-0008-0000-0000-00004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57" name="Rectangle 53">
          <a:extLst>
            <a:ext uri="{FF2B5EF4-FFF2-40B4-BE49-F238E27FC236}">
              <a16:creationId xmlns:a16="http://schemas.microsoft.com/office/drawing/2014/main" id="{00000000-0008-0000-0000-00004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58" name="Rectangle 54">
          <a:extLst>
            <a:ext uri="{FF2B5EF4-FFF2-40B4-BE49-F238E27FC236}">
              <a16:creationId xmlns:a16="http://schemas.microsoft.com/office/drawing/2014/main" id="{00000000-0008-0000-0000-00004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59" name="Rectangle 55">
          <a:extLst>
            <a:ext uri="{FF2B5EF4-FFF2-40B4-BE49-F238E27FC236}">
              <a16:creationId xmlns:a16="http://schemas.microsoft.com/office/drawing/2014/main" id="{00000000-0008-0000-0000-00004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60" name="Rectangle 57">
          <a:extLst>
            <a:ext uri="{FF2B5EF4-FFF2-40B4-BE49-F238E27FC236}">
              <a16:creationId xmlns:a16="http://schemas.microsoft.com/office/drawing/2014/main" id="{00000000-0008-0000-0000-00004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61" name="Rectangle 58">
          <a:extLst>
            <a:ext uri="{FF2B5EF4-FFF2-40B4-BE49-F238E27FC236}">
              <a16:creationId xmlns:a16="http://schemas.microsoft.com/office/drawing/2014/main" id="{00000000-0008-0000-0000-00004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62" name="Rectangle 59">
          <a:extLst>
            <a:ext uri="{FF2B5EF4-FFF2-40B4-BE49-F238E27FC236}">
              <a16:creationId xmlns:a16="http://schemas.microsoft.com/office/drawing/2014/main" id="{00000000-0008-0000-0000-00004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63" name="Rectangle 60">
          <a:extLst>
            <a:ext uri="{FF2B5EF4-FFF2-40B4-BE49-F238E27FC236}">
              <a16:creationId xmlns:a16="http://schemas.microsoft.com/office/drawing/2014/main" id="{00000000-0008-0000-0000-00004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64" name="Rectangle 61">
          <a:extLst>
            <a:ext uri="{FF2B5EF4-FFF2-40B4-BE49-F238E27FC236}">
              <a16:creationId xmlns:a16="http://schemas.microsoft.com/office/drawing/2014/main" id="{00000000-0008-0000-0000-00005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65" name="Rectangle 62">
          <a:extLst>
            <a:ext uri="{FF2B5EF4-FFF2-40B4-BE49-F238E27FC236}">
              <a16:creationId xmlns:a16="http://schemas.microsoft.com/office/drawing/2014/main" id="{00000000-0008-0000-0000-00005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66" name="Rectangle 18">
          <a:extLst>
            <a:ext uri="{FF2B5EF4-FFF2-40B4-BE49-F238E27FC236}">
              <a16:creationId xmlns:a16="http://schemas.microsoft.com/office/drawing/2014/main" id="{00000000-0008-0000-0000-00005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67" name="Rectangle 20">
          <a:extLst>
            <a:ext uri="{FF2B5EF4-FFF2-40B4-BE49-F238E27FC236}">
              <a16:creationId xmlns:a16="http://schemas.microsoft.com/office/drawing/2014/main" id="{00000000-0008-0000-0000-00005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68" name="Rectangle 21">
          <a:extLst>
            <a:ext uri="{FF2B5EF4-FFF2-40B4-BE49-F238E27FC236}">
              <a16:creationId xmlns:a16="http://schemas.microsoft.com/office/drawing/2014/main" id="{00000000-0008-0000-0000-00005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69" name="Rectangle 22">
          <a:extLst>
            <a:ext uri="{FF2B5EF4-FFF2-40B4-BE49-F238E27FC236}">
              <a16:creationId xmlns:a16="http://schemas.microsoft.com/office/drawing/2014/main" id="{00000000-0008-0000-0000-00005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70" name="Rectangle 23">
          <a:extLst>
            <a:ext uri="{FF2B5EF4-FFF2-40B4-BE49-F238E27FC236}">
              <a16:creationId xmlns:a16="http://schemas.microsoft.com/office/drawing/2014/main" id="{00000000-0008-0000-0000-00005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71" name="Rectangle 24">
          <a:extLst>
            <a:ext uri="{FF2B5EF4-FFF2-40B4-BE49-F238E27FC236}">
              <a16:creationId xmlns:a16="http://schemas.microsoft.com/office/drawing/2014/main" id="{00000000-0008-0000-0000-00005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72" name="Rectangle 25">
          <a:extLst>
            <a:ext uri="{FF2B5EF4-FFF2-40B4-BE49-F238E27FC236}">
              <a16:creationId xmlns:a16="http://schemas.microsoft.com/office/drawing/2014/main" id="{00000000-0008-0000-0000-00005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73" name="Rectangle 26">
          <a:extLst>
            <a:ext uri="{FF2B5EF4-FFF2-40B4-BE49-F238E27FC236}">
              <a16:creationId xmlns:a16="http://schemas.microsoft.com/office/drawing/2014/main" id="{00000000-0008-0000-0000-00005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74" name="Rectangle 31">
          <a:extLst>
            <a:ext uri="{FF2B5EF4-FFF2-40B4-BE49-F238E27FC236}">
              <a16:creationId xmlns:a16="http://schemas.microsoft.com/office/drawing/2014/main" id="{00000000-0008-0000-0000-00005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75" name="Rectangle 32">
          <a:extLst>
            <a:ext uri="{FF2B5EF4-FFF2-40B4-BE49-F238E27FC236}">
              <a16:creationId xmlns:a16="http://schemas.microsoft.com/office/drawing/2014/main" id="{00000000-0008-0000-0000-00005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76" name="Rectangle 33">
          <a:extLst>
            <a:ext uri="{FF2B5EF4-FFF2-40B4-BE49-F238E27FC236}">
              <a16:creationId xmlns:a16="http://schemas.microsoft.com/office/drawing/2014/main" id="{00000000-0008-0000-0000-00005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77" name="Rectangle 34">
          <a:extLst>
            <a:ext uri="{FF2B5EF4-FFF2-40B4-BE49-F238E27FC236}">
              <a16:creationId xmlns:a16="http://schemas.microsoft.com/office/drawing/2014/main" id="{00000000-0008-0000-0000-00005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78" name="Rectangle 35">
          <a:extLst>
            <a:ext uri="{FF2B5EF4-FFF2-40B4-BE49-F238E27FC236}">
              <a16:creationId xmlns:a16="http://schemas.microsoft.com/office/drawing/2014/main" id="{00000000-0008-0000-0000-00005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79" name="Rectangle 36">
          <a:extLst>
            <a:ext uri="{FF2B5EF4-FFF2-40B4-BE49-F238E27FC236}">
              <a16:creationId xmlns:a16="http://schemas.microsoft.com/office/drawing/2014/main" id="{00000000-0008-0000-0000-00005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80" name="Rectangle 37">
          <a:extLst>
            <a:ext uri="{FF2B5EF4-FFF2-40B4-BE49-F238E27FC236}">
              <a16:creationId xmlns:a16="http://schemas.microsoft.com/office/drawing/2014/main" id="{00000000-0008-0000-0000-00006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81" name="Rectangle 40">
          <a:extLst>
            <a:ext uri="{FF2B5EF4-FFF2-40B4-BE49-F238E27FC236}">
              <a16:creationId xmlns:a16="http://schemas.microsoft.com/office/drawing/2014/main" id="{00000000-0008-0000-0000-00006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882" name="Rectangle 41">
          <a:extLst>
            <a:ext uri="{FF2B5EF4-FFF2-40B4-BE49-F238E27FC236}">
              <a16:creationId xmlns:a16="http://schemas.microsoft.com/office/drawing/2014/main" id="{00000000-0008-0000-0000-000062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883" name="Rectangle 42">
          <a:extLst>
            <a:ext uri="{FF2B5EF4-FFF2-40B4-BE49-F238E27FC236}">
              <a16:creationId xmlns:a16="http://schemas.microsoft.com/office/drawing/2014/main" id="{00000000-0008-0000-0000-000063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84" name="Rectangle 43">
          <a:extLst>
            <a:ext uri="{FF2B5EF4-FFF2-40B4-BE49-F238E27FC236}">
              <a16:creationId xmlns:a16="http://schemas.microsoft.com/office/drawing/2014/main" id="{00000000-0008-0000-0000-00006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85" name="Rectangle 44">
          <a:extLst>
            <a:ext uri="{FF2B5EF4-FFF2-40B4-BE49-F238E27FC236}">
              <a16:creationId xmlns:a16="http://schemas.microsoft.com/office/drawing/2014/main" id="{00000000-0008-0000-0000-00006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86" name="Rectangle 45">
          <a:extLst>
            <a:ext uri="{FF2B5EF4-FFF2-40B4-BE49-F238E27FC236}">
              <a16:creationId xmlns:a16="http://schemas.microsoft.com/office/drawing/2014/main" id="{00000000-0008-0000-0000-00006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87" name="Rectangle 46">
          <a:extLst>
            <a:ext uri="{FF2B5EF4-FFF2-40B4-BE49-F238E27FC236}">
              <a16:creationId xmlns:a16="http://schemas.microsoft.com/office/drawing/2014/main" id="{00000000-0008-0000-0000-00006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88" name="Rectangle 47">
          <a:extLst>
            <a:ext uri="{FF2B5EF4-FFF2-40B4-BE49-F238E27FC236}">
              <a16:creationId xmlns:a16="http://schemas.microsoft.com/office/drawing/2014/main" id="{00000000-0008-0000-0000-00006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89" name="Rectangle 48">
          <a:extLst>
            <a:ext uri="{FF2B5EF4-FFF2-40B4-BE49-F238E27FC236}">
              <a16:creationId xmlns:a16="http://schemas.microsoft.com/office/drawing/2014/main" id="{00000000-0008-0000-0000-00006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90" name="Rectangle 49">
          <a:extLst>
            <a:ext uri="{FF2B5EF4-FFF2-40B4-BE49-F238E27FC236}">
              <a16:creationId xmlns:a16="http://schemas.microsoft.com/office/drawing/2014/main" id="{00000000-0008-0000-0000-00006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91" name="Rectangle 50">
          <a:extLst>
            <a:ext uri="{FF2B5EF4-FFF2-40B4-BE49-F238E27FC236}">
              <a16:creationId xmlns:a16="http://schemas.microsoft.com/office/drawing/2014/main" id="{00000000-0008-0000-0000-00006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92" name="Rectangle 51">
          <a:extLst>
            <a:ext uri="{FF2B5EF4-FFF2-40B4-BE49-F238E27FC236}">
              <a16:creationId xmlns:a16="http://schemas.microsoft.com/office/drawing/2014/main" id="{00000000-0008-0000-0000-00006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93" name="Rectangle 52">
          <a:extLst>
            <a:ext uri="{FF2B5EF4-FFF2-40B4-BE49-F238E27FC236}">
              <a16:creationId xmlns:a16="http://schemas.microsoft.com/office/drawing/2014/main" id="{00000000-0008-0000-0000-00006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94" name="Rectangle 53">
          <a:extLst>
            <a:ext uri="{FF2B5EF4-FFF2-40B4-BE49-F238E27FC236}">
              <a16:creationId xmlns:a16="http://schemas.microsoft.com/office/drawing/2014/main" id="{00000000-0008-0000-0000-00006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95" name="Rectangle 54">
          <a:extLst>
            <a:ext uri="{FF2B5EF4-FFF2-40B4-BE49-F238E27FC236}">
              <a16:creationId xmlns:a16="http://schemas.microsoft.com/office/drawing/2014/main" id="{00000000-0008-0000-0000-00006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96" name="Rectangle 55">
          <a:extLst>
            <a:ext uri="{FF2B5EF4-FFF2-40B4-BE49-F238E27FC236}">
              <a16:creationId xmlns:a16="http://schemas.microsoft.com/office/drawing/2014/main" id="{00000000-0008-0000-0000-00007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97" name="Rectangle 57">
          <a:extLst>
            <a:ext uri="{FF2B5EF4-FFF2-40B4-BE49-F238E27FC236}">
              <a16:creationId xmlns:a16="http://schemas.microsoft.com/office/drawing/2014/main" id="{00000000-0008-0000-0000-00007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98" name="Rectangle 58">
          <a:extLst>
            <a:ext uri="{FF2B5EF4-FFF2-40B4-BE49-F238E27FC236}">
              <a16:creationId xmlns:a16="http://schemas.microsoft.com/office/drawing/2014/main" id="{00000000-0008-0000-0000-00007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899" name="Rectangle 59">
          <a:extLst>
            <a:ext uri="{FF2B5EF4-FFF2-40B4-BE49-F238E27FC236}">
              <a16:creationId xmlns:a16="http://schemas.microsoft.com/office/drawing/2014/main" id="{00000000-0008-0000-0000-00007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00" name="Rectangle 60">
          <a:extLst>
            <a:ext uri="{FF2B5EF4-FFF2-40B4-BE49-F238E27FC236}">
              <a16:creationId xmlns:a16="http://schemas.microsoft.com/office/drawing/2014/main" id="{00000000-0008-0000-0000-00007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01" name="Rectangle 61">
          <a:extLst>
            <a:ext uri="{FF2B5EF4-FFF2-40B4-BE49-F238E27FC236}">
              <a16:creationId xmlns:a16="http://schemas.microsoft.com/office/drawing/2014/main" id="{00000000-0008-0000-0000-00007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02" name="Rectangle 62">
          <a:extLst>
            <a:ext uri="{FF2B5EF4-FFF2-40B4-BE49-F238E27FC236}">
              <a16:creationId xmlns:a16="http://schemas.microsoft.com/office/drawing/2014/main" id="{00000000-0008-0000-0000-00007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03" name="Rectangle 18">
          <a:extLst>
            <a:ext uri="{FF2B5EF4-FFF2-40B4-BE49-F238E27FC236}">
              <a16:creationId xmlns:a16="http://schemas.microsoft.com/office/drawing/2014/main" id="{00000000-0008-0000-0000-00007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04" name="Rectangle 20">
          <a:extLst>
            <a:ext uri="{FF2B5EF4-FFF2-40B4-BE49-F238E27FC236}">
              <a16:creationId xmlns:a16="http://schemas.microsoft.com/office/drawing/2014/main" id="{00000000-0008-0000-0000-00007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05" name="Rectangle 21">
          <a:extLst>
            <a:ext uri="{FF2B5EF4-FFF2-40B4-BE49-F238E27FC236}">
              <a16:creationId xmlns:a16="http://schemas.microsoft.com/office/drawing/2014/main" id="{00000000-0008-0000-0000-00007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06" name="Rectangle 22">
          <a:extLst>
            <a:ext uri="{FF2B5EF4-FFF2-40B4-BE49-F238E27FC236}">
              <a16:creationId xmlns:a16="http://schemas.microsoft.com/office/drawing/2014/main" id="{00000000-0008-0000-0000-00007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07" name="Rectangle 23">
          <a:extLst>
            <a:ext uri="{FF2B5EF4-FFF2-40B4-BE49-F238E27FC236}">
              <a16:creationId xmlns:a16="http://schemas.microsoft.com/office/drawing/2014/main" id="{00000000-0008-0000-0000-00007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08" name="Rectangle 24">
          <a:extLst>
            <a:ext uri="{FF2B5EF4-FFF2-40B4-BE49-F238E27FC236}">
              <a16:creationId xmlns:a16="http://schemas.microsoft.com/office/drawing/2014/main" id="{00000000-0008-0000-0000-00007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09" name="Rectangle 25">
          <a:extLst>
            <a:ext uri="{FF2B5EF4-FFF2-40B4-BE49-F238E27FC236}">
              <a16:creationId xmlns:a16="http://schemas.microsoft.com/office/drawing/2014/main" id="{00000000-0008-0000-0000-00007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10" name="Rectangle 26">
          <a:extLst>
            <a:ext uri="{FF2B5EF4-FFF2-40B4-BE49-F238E27FC236}">
              <a16:creationId xmlns:a16="http://schemas.microsoft.com/office/drawing/2014/main" id="{00000000-0008-0000-0000-00007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11" name="Rectangle 31">
          <a:extLst>
            <a:ext uri="{FF2B5EF4-FFF2-40B4-BE49-F238E27FC236}">
              <a16:creationId xmlns:a16="http://schemas.microsoft.com/office/drawing/2014/main" id="{00000000-0008-0000-0000-00007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12" name="Rectangle 32">
          <a:extLst>
            <a:ext uri="{FF2B5EF4-FFF2-40B4-BE49-F238E27FC236}">
              <a16:creationId xmlns:a16="http://schemas.microsoft.com/office/drawing/2014/main" id="{00000000-0008-0000-0000-00008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13" name="Rectangle 33">
          <a:extLst>
            <a:ext uri="{FF2B5EF4-FFF2-40B4-BE49-F238E27FC236}">
              <a16:creationId xmlns:a16="http://schemas.microsoft.com/office/drawing/2014/main" id="{00000000-0008-0000-0000-00008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14" name="Rectangle 34">
          <a:extLst>
            <a:ext uri="{FF2B5EF4-FFF2-40B4-BE49-F238E27FC236}">
              <a16:creationId xmlns:a16="http://schemas.microsoft.com/office/drawing/2014/main" id="{00000000-0008-0000-0000-00008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15" name="Rectangle 35">
          <a:extLst>
            <a:ext uri="{FF2B5EF4-FFF2-40B4-BE49-F238E27FC236}">
              <a16:creationId xmlns:a16="http://schemas.microsoft.com/office/drawing/2014/main" id="{00000000-0008-0000-0000-00008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16" name="Rectangle 36">
          <a:extLst>
            <a:ext uri="{FF2B5EF4-FFF2-40B4-BE49-F238E27FC236}">
              <a16:creationId xmlns:a16="http://schemas.microsoft.com/office/drawing/2014/main" id="{00000000-0008-0000-0000-00008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17" name="Rectangle 37">
          <a:extLst>
            <a:ext uri="{FF2B5EF4-FFF2-40B4-BE49-F238E27FC236}">
              <a16:creationId xmlns:a16="http://schemas.microsoft.com/office/drawing/2014/main" id="{00000000-0008-0000-0000-00008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18" name="Rectangle 40">
          <a:extLst>
            <a:ext uri="{FF2B5EF4-FFF2-40B4-BE49-F238E27FC236}">
              <a16:creationId xmlns:a16="http://schemas.microsoft.com/office/drawing/2014/main" id="{00000000-0008-0000-0000-00008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919" name="Rectangle 41">
          <a:extLst>
            <a:ext uri="{FF2B5EF4-FFF2-40B4-BE49-F238E27FC236}">
              <a16:creationId xmlns:a16="http://schemas.microsoft.com/office/drawing/2014/main" id="{00000000-0008-0000-0000-000087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920" name="Rectangle 42">
          <a:extLst>
            <a:ext uri="{FF2B5EF4-FFF2-40B4-BE49-F238E27FC236}">
              <a16:creationId xmlns:a16="http://schemas.microsoft.com/office/drawing/2014/main" id="{00000000-0008-0000-0000-000088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21" name="Rectangle 43">
          <a:extLst>
            <a:ext uri="{FF2B5EF4-FFF2-40B4-BE49-F238E27FC236}">
              <a16:creationId xmlns:a16="http://schemas.microsoft.com/office/drawing/2014/main" id="{00000000-0008-0000-0000-00008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22" name="Rectangle 44">
          <a:extLst>
            <a:ext uri="{FF2B5EF4-FFF2-40B4-BE49-F238E27FC236}">
              <a16:creationId xmlns:a16="http://schemas.microsoft.com/office/drawing/2014/main" id="{00000000-0008-0000-0000-00008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23" name="Rectangle 45">
          <a:extLst>
            <a:ext uri="{FF2B5EF4-FFF2-40B4-BE49-F238E27FC236}">
              <a16:creationId xmlns:a16="http://schemas.microsoft.com/office/drawing/2014/main" id="{00000000-0008-0000-0000-00008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24" name="Rectangle 46">
          <a:extLst>
            <a:ext uri="{FF2B5EF4-FFF2-40B4-BE49-F238E27FC236}">
              <a16:creationId xmlns:a16="http://schemas.microsoft.com/office/drawing/2014/main" id="{00000000-0008-0000-0000-00008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25" name="Rectangle 47">
          <a:extLst>
            <a:ext uri="{FF2B5EF4-FFF2-40B4-BE49-F238E27FC236}">
              <a16:creationId xmlns:a16="http://schemas.microsoft.com/office/drawing/2014/main" id="{00000000-0008-0000-0000-00008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26" name="Rectangle 48">
          <a:extLst>
            <a:ext uri="{FF2B5EF4-FFF2-40B4-BE49-F238E27FC236}">
              <a16:creationId xmlns:a16="http://schemas.microsoft.com/office/drawing/2014/main" id="{00000000-0008-0000-0000-00008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27" name="Rectangle 49">
          <a:extLst>
            <a:ext uri="{FF2B5EF4-FFF2-40B4-BE49-F238E27FC236}">
              <a16:creationId xmlns:a16="http://schemas.microsoft.com/office/drawing/2014/main" id="{00000000-0008-0000-0000-00008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28" name="Rectangle 50">
          <a:extLst>
            <a:ext uri="{FF2B5EF4-FFF2-40B4-BE49-F238E27FC236}">
              <a16:creationId xmlns:a16="http://schemas.microsoft.com/office/drawing/2014/main" id="{00000000-0008-0000-0000-00009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29" name="Rectangle 51">
          <a:extLst>
            <a:ext uri="{FF2B5EF4-FFF2-40B4-BE49-F238E27FC236}">
              <a16:creationId xmlns:a16="http://schemas.microsoft.com/office/drawing/2014/main" id="{00000000-0008-0000-0000-00009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30" name="Rectangle 52">
          <a:extLst>
            <a:ext uri="{FF2B5EF4-FFF2-40B4-BE49-F238E27FC236}">
              <a16:creationId xmlns:a16="http://schemas.microsoft.com/office/drawing/2014/main" id="{00000000-0008-0000-0000-00009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31" name="Rectangle 53">
          <a:extLst>
            <a:ext uri="{FF2B5EF4-FFF2-40B4-BE49-F238E27FC236}">
              <a16:creationId xmlns:a16="http://schemas.microsoft.com/office/drawing/2014/main" id="{00000000-0008-0000-0000-00009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32" name="Rectangle 54">
          <a:extLst>
            <a:ext uri="{FF2B5EF4-FFF2-40B4-BE49-F238E27FC236}">
              <a16:creationId xmlns:a16="http://schemas.microsoft.com/office/drawing/2014/main" id="{00000000-0008-0000-0000-00009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33" name="Rectangle 55">
          <a:extLst>
            <a:ext uri="{FF2B5EF4-FFF2-40B4-BE49-F238E27FC236}">
              <a16:creationId xmlns:a16="http://schemas.microsoft.com/office/drawing/2014/main" id="{00000000-0008-0000-0000-00009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34" name="Rectangle 57">
          <a:extLst>
            <a:ext uri="{FF2B5EF4-FFF2-40B4-BE49-F238E27FC236}">
              <a16:creationId xmlns:a16="http://schemas.microsoft.com/office/drawing/2014/main" id="{00000000-0008-0000-0000-00009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35" name="Rectangle 58">
          <a:extLst>
            <a:ext uri="{FF2B5EF4-FFF2-40B4-BE49-F238E27FC236}">
              <a16:creationId xmlns:a16="http://schemas.microsoft.com/office/drawing/2014/main" id="{00000000-0008-0000-0000-00009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36" name="Rectangle 59">
          <a:extLst>
            <a:ext uri="{FF2B5EF4-FFF2-40B4-BE49-F238E27FC236}">
              <a16:creationId xmlns:a16="http://schemas.microsoft.com/office/drawing/2014/main" id="{00000000-0008-0000-0000-00009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37" name="Rectangle 60">
          <a:extLst>
            <a:ext uri="{FF2B5EF4-FFF2-40B4-BE49-F238E27FC236}">
              <a16:creationId xmlns:a16="http://schemas.microsoft.com/office/drawing/2014/main" id="{00000000-0008-0000-0000-00009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38" name="Rectangle 61">
          <a:extLst>
            <a:ext uri="{FF2B5EF4-FFF2-40B4-BE49-F238E27FC236}">
              <a16:creationId xmlns:a16="http://schemas.microsoft.com/office/drawing/2014/main" id="{00000000-0008-0000-0000-00009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39" name="Rectangle 62">
          <a:extLst>
            <a:ext uri="{FF2B5EF4-FFF2-40B4-BE49-F238E27FC236}">
              <a16:creationId xmlns:a16="http://schemas.microsoft.com/office/drawing/2014/main" id="{00000000-0008-0000-0000-00009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40" name="Rectangle 18">
          <a:extLst>
            <a:ext uri="{FF2B5EF4-FFF2-40B4-BE49-F238E27FC236}">
              <a16:creationId xmlns:a16="http://schemas.microsoft.com/office/drawing/2014/main" id="{00000000-0008-0000-0000-00009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41" name="Rectangle 20">
          <a:extLst>
            <a:ext uri="{FF2B5EF4-FFF2-40B4-BE49-F238E27FC236}">
              <a16:creationId xmlns:a16="http://schemas.microsoft.com/office/drawing/2014/main" id="{00000000-0008-0000-0000-00009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42" name="Rectangle 21">
          <a:extLst>
            <a:ext uri="{FF2B5EF4-FFF2-40B4-BE49-F238E27FC236}">
              <a16:creationId xmlns:a16="http://schemas.microsoft.com/office/drawing/2014/main" id="{00000000-0008-0000-0000-00009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43" name="Rectangle 22">
          <a:extLst>
            <a:ext uri="{FF2B5EF4-FFF2-40B4-BE49-F238E27FC236}">
              <a16:creationId xmlns:a16="http://schemas.microsoft.com/office/drawing/2014/main" id="{00000000-0008-0000-0000-00009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44" name="Rectangle 23">
          <a:extLst>
            <a:ext uri="{FF2B5EF4-FFF2-40B4-BE49-F238E27FC236}">
              <a16:creationId xmlns:a16="http://schemas.microsoft.com/office/drawing/2014/main" id="{00000000-0008-0000-0000-0000A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45" name="Rectangle 24">
          <a:extLst>
            <a:ext uri="{FF2B5EF4-FFF2-40B4-BE49-F238E27FC236}">
              <a16:creationId xmlns:a16="http://schemas.microsoft.com/office/drawing/2014/main" id="{00000000-0008-0000-0000-0000A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46" name="Rectangle 25">
          <a:extLst>
            <a:ext uri="{FF2B5EF4-FFF2-40B4-BE49-F238E27FC236}">
              <a16:creationId xmlns:a16="http://schemas.microsoft.com/office/drawing/2014/main" id="{00000000-0008-0000-0000-0000A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47" name="Rectangle 26">
          <a:extLst>
            <a:ext uri="{FF2B5EF4-FFF2-40B4-BE49-F238E27FC236}">
              <a16:creationId xmlns:a16="http://schemas.microsoft.com/office/drawing/2014/main" id="{00000000-0008-0000-0000-0000A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48" name="Rectangle 31">
          <a:extLst>
            <a:ext uri="{FF2B5EF4-FFF2-40B4-BE49-F238E27FC236}">
              <a16:creationId xmlns:a16="http://schemas.microsoft.com/office/drawing/2014/main" id="{00000000-0008-0000-0000-0000A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49" name="Rectangle 32">
          <a:extLst>
            <a:ext uri="{FF2B5EF4-FFF2-40B4-BE49-F238E27FC236}">
              <a16:creationId xmlns:a16="http://schemas.microsoft.com/office/drawing/2014/main" id="{00000000-0008-0000-0000-0000A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50" name="Rectangle 33">
          <a:extLst>
            <a:ext uri="{FF2B5EF4-FFF2-40B4-BE49-F238E27FC236}">
              <a16:creationId xmlns:a16="http://schemas.microsoft.com/office/drawing/2014/main" id="{00000000-0008-0000-0000-0000A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51" name="Rectangle 34">
          <a:extLst>
            <a:ext uri="{FF2B5EF4-FFF2-40B4-BE49-F238E27FC236}">
              <a16:creationId xmlns:a16="http://schemas.microsoft.com/office/drawing/2014/main" id="{00000000-0008-0000-0000-0000A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52" name="Rectangle 35">
          <a:extLst>
            <a:ext uri="{FF2B5EF4-FFF2-40B4-BE49-F238E27FC236}">
              <a16:creationId xmlns:a16="http://schemas.microsoft.com/office/drawing/2014/main" id="{00000000-0008-0000-0000-0000A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53" name="Rectangle 36">
          <a:extLst>
            <a:ext uri="{FF2B5EF4-FFF2-40B4-BE49-F238E27FC236}">
              <a16:creationId xmlns:a16="http://schemas.microsoft.com/office/drawing/2014/main" id="{00000000-0008-0000-0000-0000A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54" name="Rectangle 37">
          <a:extLst>
            <a:ext uri="{FF2B5EF4-FFF2-40B4-BE49-F238E27FC236}">
              <a16:creationId xmlns:a16="http://schemas.microsoft.com/office/drawing/2014/main" id="{00000000-0008-0000-0000-0000A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55" name="Rectangle 40">
          <a:extLst>
            <a:ext uri="{FF2B5EF4-FFF2-40B4-BE49-F238E27FC236}">
              <a16:creationId xmlns:a16="http://schemas.microsoft.com/office/drawing/2014/main" id="{00000000-0008-0000-0000-0000A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956" name="Rectangle 41">
          <a:extLst>
            <a:ext uri="{FF2B5EF4-FFF2-40B4-BE49-F238E27FC236}">
              <a16:creationId xmlns:a16="http://schemas.microsoft.com/office/drawing/2014/main" id="{00000000-0008-0000-0000-0000AC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957" name="Rectangle 42">
          <a:extLst>
            <a:ext uri="{FF2B5EF4-FFF2-40B4-BE49-F238E27FC236}">
              <a16:creationId xmlns:a16="http://schemas.microsoft.com/office/drawing/2014/main" id="{00000000-0008-0000-0000-0000AD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58" name="Rectangle 43">
          <a:extLst>
            <a:ext uri="{FF2B5EF4-FFF2-40B4-BE49-F238E27FC236}">
              <a16:creationId xmlns:a16="http://schemas.microsoft.com/office/drawing/2014/main" id="{00000000-0008-0000-0000-0000A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59" name="Rectangle 44">
          <a:extLst>
            <a:ext uri="{FF2B5EF4-FFF2-40B4-BE49-F238E27FC236}">
              <a16:creationId xmlns:a16="http://schemas.microsoft.com/office/drawing/2014/main" id="{00000000-0008-0000-0000-0000A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60" name="Rectangle 45">
          <a:extLst>
            <a:ext uri="{FF2B5EF4-FFF2-40B4-BE49-F238E27FC236}">
              <a16:creationId xmlns:a16="http://schemas.microsoft.com/office/drawing/2014/main" id="{00000000-0008-0000-0000-0000B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61" name="Rectangle 46">
          <a:extLst>
            <a:ext uri="{FF2B5EF4-FFF2-40B4-BE49-F238E27FC236}">
              <a16:creationId xmlns:a16="http://schemas.microsoft.com/office/drawing/2014/main" id="{00000000-0008-0000-0000-0000B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62" name="Rectangle 47">
          <a:extLst>
            <a:ext uri="{FF2B5EF4-FFF2-40B4-BE49-F238E27FC236}">
              <a16:creationId xmlns:a16="http://schemas.microsoft.com/office/drawing/2014/main" id="{00000000-0008-0000-0000-0000B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63" name="Rectangle 48">
          <a:extLst>
            <a:ext uri="{FF2B5EF4-FFF2-40B4-BE49-F238E27FC236}">
              <a16:creationId xmlns:a16="http://schemas.microsoft.com/office/drawing/2014/main" id="{00000000-0008-0000-0000-0000B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64" name="Rectangle 49">
          <a:extLst>
            <a:ext uri="{FF2B5EF4-FFF2-40B4-BE49-F238E27FC236}">
              <a16:creationId xmlns:a16="http://schemas.microsoft.com/office/drawing/2014/main" id="{00000000-0008-0000-0000-0000B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65" name="Rectangle 50">
          <a:extLst>
            <a:ext uri="{FF2B5EF4-FFF2-40B4-BE49-F238E27FC236}">
              <a16:creationId xmlns:a16="http://schemas.microsoft.com/office/drawing/2014/main" id="{00000000-0008-0000-0000-0000B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66" name="Rectangle 51">
          <a:extLst>
            <a:ext uri="{FF2B5EF4-FFF2-40B4-BE49-F238E27FC236}">
              <a16:creationId xmlns:a16="http://schemas.microsoft.com/office/drawing/2014/main" id="{00000000-0008-0000-0000-0000B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67" name="Rectangle 52">
          <a:extLst>
            <a:ext uri="{FF2B5EF4-FFF2-40B4-BE49-F238E27FC236}">
              <a16:creationId xmlns:a16="http://schemas.microsoft.com/office/drawing/2014/main" id="{00000000-0008-0000-0000-0000B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68" name="Rectangle 53">
          <a:extLst>
            <a:ext uri="{FF2B5EF4-FFF2-40B4-BE49-F238E27FC236}">
              <a16:creationId xmlns:a16="http://schemas.microsoft.com/office/drawing/2014/main" id="{00000000-0008-0000-0000-0000B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69" name="Rectangle 54">
          <a:extLst>
            <a:ext uri="{FF2B5EF4-FFF2-40B4-BE49-F238E27FC236}">
              <a16:creationId xmlns:a16="http://schemas.microsoft.com/office/drawing/2014/main" id="{00000000-0008-0000-0000-0000B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70" name="Rectangle 55">
          <a:extLst>
            <a:ext uri="{FF2B5EF4-FFF2-40B4-BE49-F238E27FC236}">
              <a16:creationId xmlns:a16="http://schemas.microsoft.com/office/drawing/2014/main" id="{00000000-0008-0000-0000-0000B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71" name="Rectangle 57">
          <a:extLst>
            <a:ext uri="{FF2B5EF4-FFF2-40B4-BE49-F238E27FC236}">
              <a16:creationId xmlns:a16="http://schemas.microsoft.com/office/drawing/2014/main" id="{00000000-0008-0000-0000-0000B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72" name="Rectangle 58">
          <a:extLst>
            <a:ext uri="{FF2B5EF4-FFF2-40B4-BE49-F238E27FC236}">
              <a16:creationId xmlns:a16="http://schemas.microsoft.com/office/drawing/2014/main" id="{00000000-0008-0000-0000-0000B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73" name="Rectangle 59">
          <a:extLst>
            <a:ext uri="{FF2B5EF4-FFF2-40B4-BE49-F238E27FC236}">
              <a16:creationId xmlns:a16="http://schemas.microsoft.com/office/drawing/2014/main" id="{00000000-0008-0000-0000-0000B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74" name="Rectangle 60">
          <a:extLst>
            <a:ext uri="{FF2B5EF4-FFF2-40B4-BE49-F238E27FC236}">
              <a16:creationId xmlns:a16="http://schemas.microsoft.com/office/drawing/2014/main" id="{00000000-0008-0000-0000-0000B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75" name="Rectangle 61">
          <a:extLst>
            <a:ext uri="{FF2B5EF4-FFF2-40B4-BE49-F238E27FC236}">
              <a16:creationId xmlns:a16="http://schemas.microsoft.com/office/drawing/2014/main" id="{00000000-0008-0000-0000-0000B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76" name="Rectangle 62">
          <a:extLst>
            <a:ext uri="{FF2B5EF4-FFF2-40B4-BE49-F238E27FC236}">
              <a16:creationId xmlns:a16="http://schemas.microsoft.com/office/drawing/2014/main" id="{00000000-0008-0000-0000-0000C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77" name="Rectangle 18">
          <a:extLst>
            <a:ext uri="{FF2B5EF4-FFF2-40B4-BE49-F238E27FC236}">
              <a16:creationId xmlns:a16="http://schemas.microsoft.com/office/drawing/2014/main" id="{00000000-0008-0000-0000-0000C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78" name="Rectangle 20">
          <a:extLst>
            <a:ext uri="{FF2B5EF4-FFF2-40B4-BE49-F238E27FC236}">
              <a16:creationId xmlns:a16="http://schemas.microsoft.com/office/drawing/2014/main" id="{00000000-0008-0000-0000-0000C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79" name="Rectangle 21">
          <a:extLst>
            <a:ext uri="{FF2B5EF4-FFF2-40B4-BE49-F238E27FC236}">
              <a16:creationId xmlns:a16="http://schemas.microsoft.com/office/drawing/2014/main" id="{00000000-0008-0000-0000-0000C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80" name="Rectangle 22">
          <a:extLst>
            <a:ext uri="{FF2B5EF4-FFF2-40B4-BE49-F238E27FC236}">
              <a16:creationId xmlns:a16="http://schemas.microsoft.com/office/drawing/2014/main" id="{00000000-0008-0000-0000-0000C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81" name="Rectangle 23">
          <a:extLst>
            <a:ext uri="{FF2B5EF4-FFF2-40B4-BE49-F238E27FC236}">
              <a16:creationId xmlns:a16="http://schemas.microsoft.com/office/drawing/2014/main" id="{00000000-0008-0000-0000-0000C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82" name="Rectangle 24">
          <a:extLst>
            <a:ext uri="{FF2B5EF4-FFF2-40B4-BE49-F238E27FC236}">
              <a16:creationId xmlns:a16="http://schemas.microsoft.com/office/drawing/2014/main" id="{00000000-0008-0000-0000-0000C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83" name="Rectangle 25">
          <a:extLst>
            <a:ext uri="{FF2B5EF4-FFF2-40B4-BE49-F238E27FC236}">
              <a16:creationId xmlns:a16="http://schemas.microsoft.com/office/drawing/2014/main" id="{00000000-0008-0000-0000-0000C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84" name="Rectangle 26">
          <a:extLst>
            <a:ext uri="{FF2B5EF4-FFF2-40B4-BE49-F238E27FC236}">
              <a16:creationId xmlns:a16="http://schemas.microsoft.com/office/drawing/2014/main" id="{00000000-0008-0000-0000-0000C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85" name="Rectangle 31">
          <a:extLst>
            <a:ext uri="{FF2B5EF4-FFF2-40B4-BE49-F238E27FC236}">
              <a16:creationId xmlns:a16="http://schemas.microsoft.com/office/drawing/2014/main" id="{00000000-0008-0000-0000-0000C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86" name="Rectangle 32">
          <a:extLst>
            <a:ext uri="{FF2B5EF4-FFF2-40B4-BE49-F238E27FC236}">
              <a16:creationId xmlns:a16="http://schemas.microsoft.com/office/drawing/2014/main" id="{00000000-0008-0000-0000-0000C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87" name="Rectangle 33">
          <a:extLst>
            <a:ext uri="{FF2B5EF4-FFF2-40B4-BE49-F238E27FC236}">
              <a16:creationId xmlns:a16="http://schemas.microsoft.com/office/drawing/2014/main" id="{00000000-0008-0000-0000-0000C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88" name="Rectangle 34">
          <a:extLst>
            <a:ext uri="{FF2B5EF4-FFF2-40B4-BE49-F238E27FC236}">
              <a16:creationId xmlns:a16="http://schemas.microsoft.com/office/drawing/2014/main" id="{00000000-0008-0000-0000-0000C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89" name="Rectangle 35">
          <a:extLst>
            <a:ext uri="{FF2B5EF4-FFF2-40B4-BE49-F238E27FC236}">
              <a16:creationId xmlns:a16="http://schemas.microsoft.com/office/drawing/2014/main" id="{00000000-0008-0000-0000-0000C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90" name="Rectangle 36">
          <a:extLst>
            <a:ext uri="{FF2B5EF4-FFF2-40B4-BE49-F238E27FC236}">
              <a16:creationId xmlns:a16="http://schemas.microsoft.com/office/drawing/2014/main" id="{00000000-0008-0000-0000-0000C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91" name="Rectangle 37">
          <a:extLst>
            <a:ext uri="{FF2B5EF4-FFF2-40B4-BE49-F238E27FC236}">
              <a16:creationId xmlns:a16="http://schemas.microsoft.com/office/drawing/2014/main" id="{00000000-0008-0000-0000-0000C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92" name="Rectangle 40">
          <a:extLst>
            <a:ext uri="{FF2B5EF4-FFF2-40B4-BE49-F238E27FC236}">
              <a16:creationId xmlns:a16="http://schemas.microsoft.com/office/drawing/2014/main" id="{00000000-0008-0000-0000-0000D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993" name="Rectangle 41">
          <a:extLst>
            <a:ext uri="{FF2B5EF4-FFF2-40B4-BE49-F238E27FC236}">
              <a16:creationId xmlns:a16="http://schemas.microsoft.com/office/drawing/2014/main" id="{00000000-0008-0000-0000-0000D1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8994" name="Rectangle 42">
          <a:extLst>
            <a:ext uri="{FF2B5EF4-FFF2-40B4-BE49-F238E27FC236}">
              <a16:creationId xmlns:a16="http://schemas.microsoft.com/office/drawing/2014/main" id="{00000000-0008-0000-0000-0000D2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95" name="Rectangle 43">
          <a:extLst>
            <a:ext uri="{FF2B5EF4-FFF2-40B4-BE49-F238E27FC236}">
              <a16:creationId xmlns:a16="http://schemas.microsoft.com/office/drawing/2014/main" id="{00000000-0008-0000-0000-0000D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96" name="Rectangle 44">
          <a:extLst>
            <a:ext uri="{FF2B5EF4-FFF2-40B4-BE49-F238E27FC236}">
              <a16:creationId xmlns:a16="http://schemas.microsoft.com/office/drawing/2014/main" id="{00000000-0008-0000-0000-0000D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97" name="Rectangle 45">
          <a:extLst>
            <a:ext uri="{FF2B5EF4-FFF2-40B4-BE49-F238E27FC236}">
              <a16:creationId xmlns:a16="http://schemas.microsoft.com/office/drawing/2014/main" id="{00000000-0008-0000-0000-0000D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98" name="Rectangle 46">
          <a:extLst>
            <a:ext uri="{FF2B5EF4-FFF2-40B4-BE49-F238E27FC236}">
              <a16:creationId xmlns:a16="http://schemas.microsoft.com/office/drawing/2014/main" id="{00000000-0008-0000-0000-0000D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8999" name="Rectangle 47">
          <a:extLst>
            <a:ext uri="{FF2B5EF4-FFF2-40B4-BE49-F238E27FC236}">
              <a16:creationId xmlns:a16="http://schemas.microsoft.com/office/drawing/2014/main" id="{00000000-0008-0000-0000-0000D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00" name="Rectangle 48">
          <a:extLst>
            <a:ext uri="{FF2B5EF4-FFF2-40B4-BE49-F238E27FC236}">
              <a16:creationId xmlns:a16="http://schemas.microsoft.com/office/drawing/2014/main" id="{00000000-0008-0000-0000-0000D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01" name="Rectangle 49">
          <a:extLst>
            <a:ext uri="{FF2B5EF4-FFF2-40B4-BE49-F238E27FC236}">
              <a16:creationId xmlns:a16="http://schemas.microsoft.com/office/drawing/2014/main" id="{00000000-0008-0000-0000-0000D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02" name="Rectangle 50">
          <a:extLst>
            <a:ext uri="{FF2B5EF4-FFF2-40B4-BE49-F238E27FC236}">
              <a16:creationId xmlns:a16="http://schemas.microsoft.com/office/drawing/2014/main" id="{00000000-0008-0000-0000-0000D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03" name="Rectangle 51">
          <a:extLst>
            <a:ext uri="{FF2B5EF4-FFF2-40B4-BE49-F238E27FC236}">
              <a16:creationId xmlns:a16="http://schemas.microsoft.com/office/drawing/2014/main" id="{00000000-0008-0000-0000-0000D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04" name="Rectangle 52">
          <a:extLst>
            <a:ext uri="{FF2B5EF4-FFF2-40B4-BE49-F238E27FC236}">
              <a16:creationId xmlns:a16="http://schemas.microsoft.com/office/drawing/2014/main" id="{00000000-0008-0000-0000-0000D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05" name="Rectangle 53">
          <a:extLst>
            <a:ext uri="{FF2B5EF4-FFF2-40B4-BE49-F238E27FC236}">
              <a16:creationId xmlns:a16="http://schemas.microsoft.com/office/drawing/2014/main" id="{00000000-0008-0000-0000-0000D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06" name="Rectangle 54">
          <a:extLst>
            <a:ext uri="{FF2B5EF4-FFF2-40B4-BE49-F238E27FC236}">
              <a16:creationId xmlns:a16="http://schemas.microsoft.com/office/drawing/2014/main" id="{00000000-0008-0000-0000-0000D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07" name="Rectangle 55">
          <a:extLst>
            <a:ext uri="{FF2B5EF4-FFF2-40B4-BE49-F238E27FC236}">
              <a16:creationId xmlns:a16="http://schemas.microsoft.com/office/drawing/2014/main" id="{00000000-0008-0000-0000-0000D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08" name="Rectangle 57">
          <a:extLst>
            <a:ext uri="{FF2B5EF4-FFF2-40B4-BE49-F238E27FC236}">
              <a16:creationId xmlns:a16="http://schemas.microsoft.com/office/drawing/2014/main" id="{00000000-0008-0000-0000-0000E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09" name="Rectangle 58">
          <a:extLst>
            <a:ext uri="{FF2B5EF4-FFF2-40B4-BE49-F238E27FC236}">
              <a16:creationId xmlns:a16="http://schemas.microsoft.com/office/drawing/2014/main" id="{00000000-0008-0000-0000-0000E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10" name="Rectangle 59">
          <a:extLst>
            <a:ext uri="{FF2B5EF4-FFF2-40B4-BE49-F238E27FC236}">
              <a16:creationId xmlns:a16="http://schemas.microsoft.com/office/drawing/2014/main" id="{00000000-0008-0000-0000-0000E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11" name="Rectangle 60">
          <a:extLst>
            <a:ext uri="{FF2B5EF4-FFF2-40B4-BE49-F238E27FC236}">
              <a16:creationId xmlns:a16="http://schemas.microsoft.com/office/drawing/2014/main" id="{00000000-0008-0000-0000-0000E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12" name="Rectangle 61">
          <a:extLst>
            <a:ext uri="{FF2B5EF4-FFF2-40B4-BE49-F238E27FC236}">
              <a16:creationId xmlns:a16="http://schemas.microsoft.com/office/drawing/2014/main" id="{00000000-0008-0000-0000-0000E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13" name="Rectangle 62">
          <a:extLst>
            <a:ext uri="{FF2B5EF4-FFF2-40B4-BE49-F238E27FC236}">
              <a16:creationId xmlns:a16="http://schemas.microsoft.com/office/drawing/2014/main" id="{00000000-0008-0000-0000-0000E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14" name="Rectangle 18">
          <a:extLst>
            <a:ext uri="{FF2B5EF4-FFF2-40B4-BE49-F238E27FC236}">
              <a16:creationId xmlns:a16="http://schemas.microsoft.com/office/drawing/2014/main" id="{00000000-0008-0000-0000-0000E6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15" name="Rectangle 20">
          <a:extLst>
            <a:ext uri="{FF2B5EF4-FFF2-40B4-BE49-F238E27FC236}">
              <a16:creationId xmlns:a16="http://schemas.microsoft.com/office/drawing/2014/main" id="{00000000-0008-0000-0000-0000E7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16" name="Rectangle 21">
          <a:extLst>
            <a:ext uri="{FF2B5EF4-FFF2-40B4-BE49-F238E27FC236}">
              <a16:creationId xmlns:a16="http://schemas.microsoft.com/office/drawing/2014/main" id="{00000000-0008-0000-0000-0000E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17" name="Rectangle 22">
          <a:extLst>
            <a:ext uri="{FF2B5EF4-FFF2-40B4-BE49-F238E27FC236}">
              <a16:creationId xmlns:a16="http://schemas.microsoft.com/office/drawing/2014/main" id="{00000000-0008-0000-0000-0000E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18" name="Rectangle 23">
          <a:extLst>
            <a:ext uri="{FF2B5EF4-FFF2-40B4-BE49-F238E27FC236}">
              <a16:creationId xmlns:a16="http://schemas.microsoft.com/office/drawing/2014/main" id="{00000000-0008-0000-0000-0000E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19" name="Rectangle 24">
          <a:extLst>
            <a:ext uri="{FF2B5EF4-FFF2-40B4-BE49-F238E27FC236}">
              <a16:creationId xmlns:a16="http://schemas.microsoft.com/office/drawing/2014/main" id="{00000000-0008-0000-0000-0000E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20" name="Rectangle 25">
          <a:extLst>
            <a:ext uri="{FF2B5EF4-FFF2-40B4-BE49-F238E27FC236}">
              <a16:creationId xmlns:a16="http://schemas.microsoft.com/office/drawing/2014/main" id="{00000000-0008-0000-0000-0000E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21" name="Rectangle 26">
          <a:extLst>
            <a:ext uri="{FF2B5EF4-FFF2-40B4-BE49-F238E27FC236}">
              <a16:creationId xmlns:a16="http://schemas.microsoft.com/office/drawing/2014/main" id="{00000000-0008-0000-0000-0000E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22" name="Rectangle 31">
          <a:extLst>
            <a:ext uri="{FF2B5EF4-FFF2-40B4-BE49-F238E27FC236}">
              <a16:creationId xmlns:a16="http://schemas.microsoft.com/office/drawing/2014/main" id="{00000000-0008-0000-0000-0000E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23" name="Rectangle 32">
          <a:extLst>
            <a:ext uri="{FF2B5EF4-FFF2-40B4-BE49-F238E27FC236}">
              <a16:creationId xmlns:a16="http://schemas.microsoft.com/office/drawing/2014/main" id="{00000000-0008-0000-0000-0000E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24" name="Rectangle 33">
          <a:extLst>
            <a:ext uri="{FF2B5EF4-FFF2-40B4-BE49-F238E27FC236}">
              <a16:creationId xmlns:a16="http://schemas.microsoft.com/office/drawing/2014/main" id="{00000000-0008-0000-0000-0000F0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25" name="Rectangle 34">
          <a:extLst>
            <a:ext uri="{FF2B5EF4-FFF2-40B4-BE49-F238E27FC236}">
              <a16:creationId xmlns:a16="http://schemas.microsoft.com/office/drawing/2014/main" id="{00000000-0008-0000-0000-0000F1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26" name="Rectangle 35">
          <a:extLst>
            <a:ext uri="{FF2B5EF4-FFF2-40B4-BE49-F238E27FC236}">
              <a16:creationId xmlns:a16="http://schemas.microsoft.com/office/drawing/2014/main" id="{00000000-0008-0000-0000-0000F2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27" name="Rectangle 36">
          <a:extLst>
            <a:ext uri="{FF2B5EF4-FFF2-40B4-BE49-F238E27FC236}">
              <a16:creationId xmlns:a16="http://schemas.microsoft.com/office/drawing/2014/main" id="{00000000-0008-0000-0000-0000F3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28" name="Rectangle 37">
          <a:extLst>
            <a:ext uri="{FF2B5EF4-FFF2-40B4-BE49-F238E27FC236}">
              <a16:creationId xmlns:a16="http://schemas.microsoft.com/office/drawing/2014/main" id="{00000000-0008-0000-0000-0000F4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29" name="Rectangle 40">
          <a:extLst>
            <a:ext uri="{FF2B5EF4-FFF2-40B4-BE49-F238E27FC236}">
              <a16:creationId xmlns:a16="http://schemas.microsoft.com/office/drawing/2014/main" id="{00000000-0008-0000-0000-0000F5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9030" name="Rectangle 41">
          <a:extLst>
            <a:ext uri="{FF2B5EF4-FFF2-40B4-BE49-F238E27FC236}">
              <a16:creationId xmlns:a16="http://schemas.microsoft.com/office/drawing/2014/main" id="{00000000-0008-0000-0000-0000F6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9031" name="Rectangle 42">
          <a:extLst>
            <a:ext uri="{FF2B5EF4-FFF2-40B4-BE49-F238E27FC236}">
              <a16:creationId xmlns:a16="http://schemas.microsoft.com/office/drawing/2014/main" id="{00000000-0008-0000-0000-0000F723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32" name="Rectangle 43">
          <a:extLst>
            <a:ext uri="{FF2B5EF4-FFF2-40B4-BE49-F238E27FC236}">
              <a16:creationId xmlns:a16="http://schemas.microsoft.com/office/drawing/2014/main" id="{00000000-0008-0000-0000-0000F8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33" name="Rectangle 44">
          <a:extLst>
            <a:ext uri="{FF2B5EF4-FFF2-40B4-BE49-F238E27FC236}">
              <a16:creationId xmlns:a16="http://schemas.microsoft.com/office/drawing/2014/main" id="{00000000-0008-0000-0000-0000F9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34" name="Rectangle 45">
          <a:extLst>
            <a:ext uri="{FF2B5EF4-FFF2-40B4-BE49-F238E27FC236}">
              <a16:creationId xmlns:a16="http://schemas.microsoft.com/office/drawing/2014/main" id="{00000000-0008-0000-0000-0000FA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35" name="Rectangle 46">
          <a:extLst>
            <a:ext uri="{FF2B5EF4-FFF2-40B4-BE49-F238E27FC236}">
              <a16:creationId xmlns:a16="http://schemas.microsoft.com/office/drawing/2014/main" id="{00000000-0008-0000-0000-0000FB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36" name="Rectangle 47">
          <a:extLst>
            <a:ext uri="{FF2B5EF4-FFF2-40B4-BE49-F238E27FC236}">
              <a16:creationId xmlns:a16="http://schemas.microsoft.com/office/drawing/2014/main" id="{00000000-0008-0000-0000-0000FC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37" name="Rectangle 48">
          <a:extLst>
            <a:ext uri="{FF2B5EF4-FFF2-40B4-BE49-F238E27FC236}">
              <a16:creationId xmlns:a16="http://schemas.microsoft.com/office/drawing/2014/main" id="{00000000-0008-0000-0000-0000FD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38" name="Rectangle 49">
          <a:extLst>
            <a:ext uri="{FF2B5EF4-FFF2-40B4-BE49-F238E27FC236}">
              <a16:creationId xmlns:a16="http://schemas.microsoft.com/office/drawing/2014/main" id="{00000000-0008-0000-0000-0000FE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39" name="Rectangle 50">
          <a:extLst>
            <a:ext uri="{FF2B5EF4-FFF2-40B4-BE49-F238E27FC236}">
              <a16:creationId xmlns:a16="http://schemas.microsoft.com/office/drawing/2014/main" id="{00000000-0008-0000-0000-0000FF23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40" name="Rectangle 51">
          <a:extLst>
            <a:ext uri="{FF2B5EF4-FFF2-40B4-BE49-F238E27FC236}">
              <a16:creationId xmlns:a16="http://schemas.microsoft.com/office/drawing/2014/main" id="{00000000-0008-0000-0000-000000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41" name="Rectangle 52">
          <a:extLst>
            <a:ext uri="{FF2B5EF4-FFF2-40B4-BE49-F238E27FC236}">
              <a16:creationId xmlns:a16="http://schemas.microsoft.com/office/drawing/2014/main" id="{00000000-0008-0000-0000-000001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42" name="Rectangle 53">
          <a:extLst>
            <a:ext uri="{FF2B5EF4-FFF2-40B4-BE49-F238E27FC236}">
              <a16:creationId xmlns:a16="http://schemas.microsoft.com/office/drawing/2014/main" id="{00000000-0008-0000-0000-000002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43" name="Rectangle 54">
          <a:extLst>
            <a:ext uri="{FF2B5EF4-FFF2-40B4-BE49-F238E27FC236}">
              <a16:creationId xmlns:a16="http://schemas.microsoft.com/office/drawing/2014/main" id="{00000000-0008-0000-0000-000003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44" name="Rectangle 55">
          <a:extLst>
            <a:ext uri="{FF2B5EF4-FFF2-40B4-BE49-F238E27FC236}">
              <a16:creationId xmlns:a16="http://schemas.microsoft.com/office/drawing/2014/main" id="{00000000-0008-0000-0000-000004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45" name="Rectangle 57">
          <a:extLst>
            <a:ext uri="{FF2B5EF4-FFF2-40B4-BE49-F238E27FC236}">
              <a16:creationId xmlns:a16="http://schemas.microsoft.com/office/drawing/2014/main" id="{00000000-0008-0000-0000-000005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46" name="Rectangle 58">
          <a:extLst>
            <a:ext uri="{FF2B5EF4-FFF2-40B4-BE49-F238E27FC236}">
              <a16:creationId xmlns:a16="http://schemas.microsoft.com/office/drawing/2014/main" id="{00000000-0008-0000-0000-000006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47" name="Rectangle 59">
          <a:extLst>
            <a:ext uri="{FF2B5EF4-FFF2-40B4-BE49-F238E27FC236}">
              <a16:creationId xmlns:a16="http://schemas.microsoft.com/office/drawing/2014/main" id="{00000000-0008-0000-0000-000007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48" name="Rectangle 60">
          <a:extLst>
            <a:ext uri="{FF2B5EF4-FFF2-40B4-BE49-F238E27FC236}">
              <a16:creationId xmlns:a16="http://schemas.microsoft.com/office/drawing/2014/main" id="{00000000-0008-0000-0000-000008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49" name="Rectangle 61">
          <a:extLst>
            <a:ext uri="{FF2B5EF4-FFF2-40B4-BE49-F238E27FC236}">
              <a16:creationId xmlns:a16="http://schemas.microsoft.com/office/drawing/2014/main" id="{00000000-0008-0000-0000-000009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50" name="Rectangle 62">
          <a:extLst>
            <a:ext uri="{FF2B5EF4-FFF2-40B4-BE49-F238E27FC236}">
              <a16:creationId xmlns:a16="http://schemas.microsoft.com/office/drawing/2014/main" id="{00000000-0008-0000-0000-00000A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51" name="Rectangle 18">
          <a:extLst>
            <a:ext uri="{FF2B5EF4-FFF2-40B4-BE49-F238E27FC236}">
              <a16:creationId xmlns:a16="http://schemas.microsoft.com/office/drawing/2014/main" id="{00000000-0008-0000-0000-00000B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52" name="Rectangle 20">
          <a:extLst>
            <a:ext uri="{FF2B5EF4-FFF2-40B4-BE49-F238E27FC236}">
              <a16:creationId xmlns:a16="http://schemas.microsoft.com/office/drawing/2014/main" id="{00000000-0008-0000-0000-00000C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53" name="Rectangle 21">
          <a:extLst>
            <a:ext uri="{FF2B5EF4-FFF2-40B4-BE49-F238E27FC236}">
              <a16:creationId xmlns:a16="http://schemas.microsoft.com/office/drawing/2014/main" id="{00000000-0008-0000-0000-00000D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54" name="Rectangle 22">
          <a:extLst>
            <a:ext uri="{FF2B5EF4-FFF2-40B4-BE49-F238E27FC236}">
              <a16:creationId xmlns:a16="http://schemas.microsoft.com/office/drawing/2014/main" id="{00000000-0008-0000-0000-00000E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55" name="Rectangle 23">
          <a:extLst>
            <a:ext uri="{FF2B5EF4-FFF2-40B4-BE49-F238E27FC236}">
              <a16:creationId xmlns:a16="http://schemas.microsoft.com/office/drawing/2014/main" id="{00000000-0008-0000-0000-00000F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56" name="Rectangle 24">
          <a:extLst>
            <a:ext uri="{FF2B5EF4-FFF2-40B4-BE49-F238E27FC236}">
              <a16:creationId xmlns:a16="http://schemas.microsoft.com/office/drawing/2014/main" id="{00000000-0008-0000-0000-000010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57" name="Rectangle 25">
          <a:extLst>
            <a:ext uri="{FF2B5EF4-FFF2-40B4-BE49-F238E27FC236}">
              <a16:creationId xmlns:a16="http://schemas.microsoft.com/office/drawing/2014/main" id="{00000000-0008-0000-0000-000011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58" name="Rectangle 26">
          <a:extLst>
            <a:ext uri="{FF2B5EF4-FFF2-40B4-BE49-F238E27FC236}">
              <a16:creationId xmlns:a16="http://schemas.microsoft.com/office/drawing/2014/main" id="{00000000-0008-0000-0000-000012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59" name="Rectangle 31">
          <a:extLst>
            <a:ext uri="{FF2B5EF4-FFF2-40B4-BE49-F238E27FC236}">
              <a16:creationId xmlns:a16="http://schemas.microsoft.com/office/drawing/2014/main" id="{00000000-0008-0000-0000-000013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60" name="Rectangle 32">
          <a:extLst>
            <a:ext uri="{FF2B5EF4-FFF2-40B4-BE49-F238E27FC236}">
              <a16:creationId xmlns:a16="http://schemas.microsoft.com/office/drawing/2014/main" id="{00000000-0008-0000-0000-000014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61" name="Rectangle 33">
          <a:extLst>
            <a:ext uri="{FF2B5EF4-FFF2-40B4-BE49-F238E27FC236}">
              <a16:creationId xmlns:a16="http://schemas.microsoft.com/office/drawing/2014/main" id="{00000000-0008-0000-0000-000015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62" name="Rectangle 34">
          <a:extLst>
            <a:ext uri="{FF2B5EF4-FFF2-40B4-BE49-F238E27FC236}">
              <a16:creationId xmlns:a16="http://schemas.microsoft.com/office/drawing/2014/main" id="{00000000-0008-0000-0000-000016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63" name="Rectangle 35">
          <a:extLst>
            <a:ext uri="{FF2B5EF4-FFF2-40B4-BE49-F238E27FC236}">
              <a16:creationId xmlns:a16="http://schemas.microsoft.com/office/drawing/2014/main" id="{00000000-0008-0000-0000-000017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64" name="Rectangle 36">
          <a:extLst>
            <a:ext uri="{FF2B5EF4-FFF2-40B4-BE49-F238E27FC236}">
              <a16:creationId xmlns:a16="http://schemas.microsoft.com/office/drawing/2014/main" id="{00000000-0008-0000-0000-000018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65" name="Rectangle 37">
          <a:extLst>
            <a:ext uri="{FF2B5EF4-FFF2-40B4-BE49-F238E27FC236}">
              <a16:creationId xmlns:a16="http://schemas.microsoft.com/office/drawing/2014/main" id="{00000000-0008-0000-0000-000019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66" name="Rectangle 40">
          <a:extLst>
            <a:ext uri="{FF2B5EF4-FFF2-40B4-BE49-F238E27FC236}">
              <a16:creationId xmlns:a16="http://schemas.microsoft.com/office/drawing/2014/main" id="{00000000-0008-0000-0000-00001A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9067" name="Rectangle 41">
          <a:extLst>
            <a:ext uri="{FF2B5EF4-FFF2-40B4-BE49-F238E27FC236}">
              <a16:creationId xmlns:a16="http://schemas.microsoft.com/office/drawing/2014/main" id="{00000000-0008-0000-0000-00001B24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114300</xdr:colOff>
      <xdr:row>7158</xdr:row>
      <xdr:rowOff>0</xdr:rowOff>
    </xdr:from>
    <xdr:to>
      <xdr:col>1</xdr:col>
      <xdr:colOff>123825</xdr:colOff>
      <xdr:row>7161</xdr:row>
      <xdr:rowOff>3031</xdr:rowOff>
    </xdr:to>
    <xdr:sp macro="" textlink="">
      <xdr:nvSpPr>
        <xdr:cNvPr id="599068" name="Rectangle 42">
          <a:extLst>
            <a:ext uri="{FF2B5EF4-FFF2-40B4-BE49-F238E27FC236}">
              <a16:creationId xmlns:a16="http://schemas.microsoft.com/office/drawing/2014/main" id="{00000000-0008-0000-0000-00001C240900}"/>
            </a:ext>
          </a:extLst>
        </xdr:cNvPr>
        <xdr:cNvSpPr>
          <a:spLocks noChangeArrowheads="1"/>
        </xdr:cNvSpPr>
      </xdr:nvSpPr>
      <xdr:spPr bwMode="auto">
        <a:xfrm>
          <a:off x="4476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69" name="Rectangle 43">
          <a:extLst>
            <a:ext uri="{FF2B5EF4-FFF2-40B4-BE49-F238E27FC236}">
              <a16:creationId xmlns:a16="http://schemas.microsoft.com/office/drawing/2014/main" id="{00000000-0008-0000-0000-00001D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70" name="Rectangle 44">
          <a:extLst>
            <a:ext uri="{FF2B5EF4-FFF2-40B4-BE49-F238E27FC236}">
              <a16:creationId xmlns:a16="http://schemas.microsoft.com/office/drawing/2014/main" id="{00000000-0008-0000-0000-00001E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71" name="Rectangle 45">
          <a:extLst>
            <a:ext uri="{FF2B5EF4-FFF2-40B4-BE49-F238E27FC236}">
              <a16:creationId xmlns:a16="http://schemas.microsoft.com/office/drawing/2014/main" id="{00000000-0008-0000-0000-00001F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72" name="Rectangle 46">
          <a:extLst>
            <a:ext uri="{FF2B5EF4-FFF2-40B4-BE49-F238E27FC236}">
              <a16:creationId xmlns:a16="http://schemas.microsoft.com/office/drawing/2014/main" id="{00000000-0008-0000-0000-000020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73" name="Rectangle 47">
          <a:extLst>
            <a:ext uri="{FF2B5EF4-FFF2-40B4-BE49-F238E27FC236}">
              <a16:creationId xmlns:a16="http://schemas.microsoft.com/office/drawing/2014/main" id="{00000000-0008-0000-0000-000021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74" name="Rectangle 48">
          <a:extLst>
            <a:ext uri="{FF2B5EF4-FFF2-40B4-BE49-F238E27FC236}">
              <a16:creationId xmlns:a16="http://schemas.microsoft.com/office/drawing/2014/main" id="{00000000-0008-0000-0000-000022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75" name="Rectangle 49">
          <a:extLst>
            <a:ext uri="{FF2B5EF4-FFF2-40B4-BE49-F238E27FC236}">
              <a16:creationId xmlns:a16="http://schemas.microsoft.com/office/drawing/2014/main" id="{00000000-0008-0000-0000-000023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76" name="Rectangle 50">
          <a:extLst>
            <a:ext uri="{FF2B5EF4-FFF2-40B4-BE49-F238E27FC236}">
              <a16:creationId xmlns:a16="http://schemas.microsoft.com/office/drawing/2014/main" id="{00000000-0008-0000-0000-000024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77" name="Rectangle 51">
          <a:extLst>
            <a:ext uri="{FF2B5EF4-FFF2-40B4-BE49-F238E27FC236}">
              <a16:creationId xmlns:a16="http://schemas.microsoft.com/office/drawing/2014/main" id="{00000000-0008-0000-0000-000025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78" name="Rectangle 52">
          <a:extLst>
            <a:ext uri="{FF2B5EF4-FFF2-40B4-BE49-F238E27FC236}">
              <a16:creationId xmlns:a16="http://schemas.microsoft.com/office/drawing/2014/main" id="{00000000-0008-0000-0000-000026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79" name="Rectangle 53">
          <a:extLst>
            <a:ext uri="{FF2B5EF4-FFF2-40B4-BE49-F238E27FC236}">
              <a16:creationId xmlns:a16="http://schemas.microsoft.com/office/drawing/2014/main" id="{00000000-0008-0000-0000-000027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80" name="Rectangle 54">
          <a:extLst>
            <a:ext uri="{FF2B5EF4-FFF2-40B4-BE49-F238E27FC236}">
              <a16:creationId xmlns:a16="http://schemas.microsoft.com/office/drawing/2014/main" id="{00000000-0008-0000-0000-000028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81" name="Rectangle 55">
          <a:extLst>
            <a:ext uri="{FF2B5EF4-FFF2-40B4-BE49-F238E27FC236}">
              <a16:creationId xmlns:a16="http://schemas.microsoft.com/office/drawing/2014/main" id="{00000000-0008-0000-0000-000029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82" name="Rectangle 57">
          <a:extLst>
            <a:ext uri="{FF2B5EF4-FFF2-40B4-BE49-F238E27FC236}">
              <a16:creationId xmlns:a16="http://schemas.microsoft.com/office/drawing/2014/main" id="{00000000-0008-0000-0000-00002A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83" name="Rectangle 58">
          <a:extLst>
            <a:ext uri="{FF2B5EF4-FFF2-40B4-BE49-F238E27FC236}">
              <a16:creationId xmlns:a16="http://schemas.microsoft.com/office/drawing/2014/main" id="{00000000-0008-0000-0000-00002B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84" name="Rectangle 59">
          <a:extLst>
            <a:ext uri="{FF2B5EF4-FFF2-40B4-BE49-F238E27FC236}">
              <a16:creationId xmlns:a16="http://schemas.microsoft.com/office/drawing/2014/main" id="{00000000-0008-0000-0000-00002C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85" name="Rectangle 60">
          <a:extLst>
            <a:ext uri="{FF2B5EF4-FFF2-40B4-BE49-F238E27FC236}">
              <a16:creationId xmlns:a16="http://schemas.microsoft.com/office/drawing/2014/main" id="{00000000-0008-0000-0000-00002D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86" name="Rectangle 61">
          <a:extLst>
            <a:ext uri="{FF2B5EF4-FFF2-40B4-BE49-F238E27FC236}">
              <a16:creationId xmlns:a16="http://schemas.microsoft.com/office/drawing/2014/main" id="{00000000-0008-0000-0000-00002E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7158</xdr:row>
      <xdr:rowOff>0</xdr:rowOff>
    </xdr:from>
    <xdr:to>
      <xdr:col>1</xdr:col>
      <xdr:colOff>85725</xdr:colOff>
      <xdr:row>7161</xdr:row>
      <xdr:rowOff>3031</xdr:rowOff>
    </xdr:to>
    <xdr:sp macro="" textlink="">
      <xdr:nvSpPr>
        <xdr:cNvPr id="599087" name="Rectangle 62">
          <a:extLst>
            <a:ext uri="{FF2B5EF4-FFF2-40B4-BE49-F238E27FC236}">
              <a16:creationId xmlns:a16="http://schemas.microsoft.com/office/drawing/2014/main" id="{00000000-0008-0000-0000-00002F240900}"/>
            </a:ext>
          </a:extLst>
        </xdr:cNvPr>
        <xdr:cNvSpPr>
          <a:spLocks noChangeArrowheads="1"/>
        </xdr:cNvSpPr>
      </xdr:nvSpPr>
      <xdr:spPr bwMode="auto">
        <a:xfrm>
          <a:off x="409575" y="1160697450"/>
          <a:ext cx="95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2703830</xdr:colOff>
      <xdr:row>498</xdr:row>
      <xdr:rowOff>2117</xdr:rowOff>
    </xdr:from>
    <xdr:ext cx="28854" cy="132665"/>
    <xdr:sp macro="" textlink="">
      <xdr:nvSpPr>
        <xdr:cNvPr id="2" name="Rectangle 269">
          <a:extLst>
            <a:ext uri="{FF2B5EF4-FFF2-40B4-BE49-F238E27FC236}">
              <a16:creationId xmlns:a16="http://schemas.microsoft.com/office/drawing/2014/main" id="{00000000-0008-0000-0100-000002000000}"/>
            </a:ext>
          </a:extLst>
        </xdr:cNvPr>
        <xdr:cNvSpPr>
          <a:spLocks noChangeArrowheads="1"/>
        </xdr:cNvSpPr>
      </xdr:nvSpPr>
      <xdr:spPr bwMode="auto">
        <a:xfrm>
          <a:off x="3037205" y="195664667"/>
          <a:ext cx="28854" cy="132665"/>
        </a:xfrm>
        <a:prstGeom prst="rect">
          <a:avLst/>
        </a:prstGeom>
        <a:noFill/>
        <a:ln w="9525">
          <a:noFill/>
          <a:miter lim="800000"/>
          <a:headEnd/>
          <a:tailEnd/>
        </a:ln>
      </xdr:spPr>
      <xdr:txBody>
        <a:bodyPr wrap="none" lIns="0" tIns="0" rIns="0" bIns="0" anchor="t" upright="1">
          <a:spAutoFit/>
        </a:bodyPr>
        <a:lstStyle/>
        <a:p>
          <a:pPr algn="l" rtl="0">
            <a:defRPr sz="1000"/>
          </a:pPr>
          <a:r>
            <a:rPr lang="hr-HR" sz="900" b="0" i="0" u="none" strike="noStrike" baseline="0">
              <a:solidFill>
                <a:srgbClr val="000000"/>
              </a:solidFill>
              <a:latin typeface="Times New Roman"/>
              <a:cs typeface="Times New Roman"/>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47625</xdr:colOff>
      <xdr:row>1025</xdr:row>
      <xdr:rowOff>0</xdr:rowOff>
    </xdr:from>
    <xdr:to>
      <xdr:col>4</xdr:col>
      <xdr:colOff>352425</xdr:colOff>
      <xdr:row>1026</xdr:row>
      <xdr:rowOff>142875</xdr:rowOff>
    </xdr:to>
    <xdr:sp macro="" textlink="">
      <xdr:nvSpPr>
        <xdr:cNvPr id="18760" name="AutoShape 1" descr="image.png">
          <a:extLst>
            <a:ext uri="{FF2B5EF4-FFF2-40B4-BE49-F238E27FC236}">
              <a16:creationId xmlns:a16="http://schemas.microsoft.com/office/drawing/2014/main" id="{00000000-0008-0000-0200-000048490000}"/>
            </a:ext>
          </a:extLst>
        </xdr:cNvPr>
        <xdr:cNvSpPr>
          <a:spLocks noChangeAspect="1" noChangeArrowheads="1"/>
        </xdr:cNvSpPr>
      </xdr:nvSpPr>
      <xdr:spPr bwMode="auto">
        <a:xfrm>
          <a:off x="5457825" y="166830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1</xdr:col>
          <xdr:colOff>38100</xdr:colOff>
          <xdr:row>101</xdr:row>
          <xdr:rowOff>57150</xdr:rowOff>
        </xdr:from>
        <xdr:to>
          <xdr:col>3</xdr:col>
          <xdr:colOff>400050</xdr:colOff>
          <xdr:row>102</xdr:row>
          <xdr:rowOff>9525</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102</xdr:row>
          <xdr:rowOff>57150</xdr:rowOff>
        </xdr:from>
        <xdr:to>
          <xdr:col>3</xdr:col>
          <xdr:colOff>419100</xdr:colOff>
          <xdr:row>102</xdr:row>
          <xdr:rowOff>3524250</xdr:rowOff>
        </xdr:to>
        <xdr:sp macro="" textlink="">
          <xdr:nvSpPr>
            <xdr:cNvPr id="3075" name="Object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103</xdr:row>
          <xdr:rowOff>66675</xdr:rowOff>
        </xdr:from>
        <xdr:to>
          <xdr:col>3</xdr:col>
          <xdr:colOff>419100</xdr:colOff>
          <xdr:row>103</xdr:row>
          <xdr:rowOff>1266825</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356</xdr:row>
          <xdr:rowOff>47625</xdr:rowOff>
        </xdr:from>
        <xdr:to>
          <xdr:col>3</xdr:col>
          <xdr:colOff>285750</xdr:colOff>
          <xdr:row>356</xdr:row>
          <xdr:rowOff>1885950</xdr:rowOff>
        </xdr:to>
        <xdr:sp macro="" textlink="">
          <xdr:nvSpPr>
            <xdr:cNvPr id="3078" name="Object 6" hidden="1">
              <a:extLst>
                <a:ext uri="{63B3BB69-23CF-44E3-9099-C40C66FF867C}">
                  <a14:compatExt spid="_x0000_s3078"/>
                </a:ext>
                <a:ext uri="{FF2B5EF4-FFF2-40B4-BE49-F238E27FC236}">
                  <a16:creationId xmlns:a16="http://schemas.microsoft.com/office/drawing/2014/main" id="{00000000-0008-0000-0200-000006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47625</xdr:colOff>
          <xdr:row>355</xdr:row>
          <xdr:rowOff>85725</xdr:rowOff>
        </xdr:from>
        <xdr:to>
          <xdr:col>3</xdr:col>
          <xdr:colOff>85725</xdr:colOff>
          <xdr:row>356</xdr:row>
          <xdr:rowOff>28575</xdr:rowOff>
        </xdr:to>
        <xdr:sp macro="" textlink="">
          <xdr:nvSpPr>
            <xdr:cNvPr id="3079" name="Object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357</xdr:row>
          <xdr:rowOff>57150</xdr:rowOff>
        </xdr:from>
        <xdr:to>
          <xdr:col>3</xdr:col>
          <xdr:colOff>304800</xdr:colOff>
          <xdr:row>358</xdr:row>
          <xdr:rowOff>0</xdr:rowOff>
        </xdr:to>
        <xdr:sp macro="" textlink="">
          <xdr:nvSpPr>
            <xdr:cNvPr id="3080" name="Object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352</xdr:row>
          <xdr:rowOff>47625</xdr:rowOff>
        </xdr:from>
        <xdr:to>
          <xdr:col>3</xdr:col>
          <xdr:colOff>104775</xdr:colOff>
          <xdr:row>353</xdr:row>
          <xdr:rowOff>38100</xdr:rowOff>
        </xdr:to>
        <xdr:sp macro="" textlink="">
          <xdr:nvSpPr>
            <xdr:cNvPr id="3081" name="Object 9" hidden="1">
              <a:extLst>
                <a:ext uri="{63B3BB69-23CF-44E3-9099-C40C66FF867C}">
                  <a14:compatExt spid="_x0000_s3081"/>
                </a:ext>
                <a:ext uri="{FF2B5EF4-FFF2-40B4-BE49-F238E27FC236}">
                  <a16:creationId xmlns:a16="http://schemas.microsoft.com/office/drawing/2014/main" id="{00000000-0008-0000-0200-000009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353</xdr:row>
          <xdr:rowOff>47625</xdr:rowOff>
        </xdr:from>
        <xdr:to>
          <xdr:col>3</xdr:col>
          <xdr:colOff>85725</xdr:colOff>
          <xdr:row>353</xdr:row>
          <xdr:rowOff>2581275</xdr:rowOff>
        </xdr:to>
        <xdr:sp macro="" textlink="">
          <xdr:nvSpPr>
            <xdr:cNvPr id="3082" name="Object 10" hidden="1">
              <a:extLst>
                <a:ext uri="{63B3BB69-23CF-44E3-9099-C40C66FF867C}">
                  <a14:compatExt spid="_x0000_s3082"/>
                </a:ext>
                <a:ext uri="{FF2B5EF4-FFF2-40B4-BE49-F238E27FC236}">
                  <a16:creationId xmlns:a16="http://schemas.microsoft.com/office/drawing/2014/main" id="{00000000-0008-0000-0200-00000A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354</xdr:row>
          <xdr:rowOff>57150</xdr:rowOff>
        </xdr:from>
        <xdr:to>
          <xdr:col>3</xdr:col>
          <xdr:colOff>390525</xdr:colOff>
          <xdr:row>355</xdr:row>
          <xdr:rowOff>0</xdr:rowOff>
        </xdr:to>
        <xdr:sp macro="" textlink="">
          <xdr:nvSpPr>
            <xdr:cNvPr id="3083" name="Object 11" hidden="1">
              <a:extLst>
                <a:ext uri="{63B3BB69-23CF-44E3-9099-C40C66FF867C}">
                  <a14:compatExt spid="_x0000_s3083"/>
                </a:ext>
                <a:ext uri="{FF2B5EF4-FFF2-40B4-BE49-F238E27FC236}">
                  <a16:creationId xmlns:a16="http://schemas.microsoft.com/office/drawing/2014/main" id="{00000000-0008-0000-0200-00000B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358</xdr:row>
          <xdr:rowOff>28575</xdr:rowOff>
        </xdr:from>
        <xdr:to>
          <xdr:col>3</xdr:col>
          <xdr:colOff>247650</xdr:colOff>
          <xdr:row>359</xdr:row>
          <xdr:rowOff>0</xdr:rowOff>
        </xdr:to>
        <xdr:sp macro="" textlink="">
          <xdr:nvSpPr>
            <xdr:cNvPr id="3084" name="Object 12" hidden="1">
              <a:extLst>
                <a:ext uri="{63B3BB69-23CF-44E3-9099-C40C66FF867C}">
                  <a14:compatExt spid="_x0000_s3084"/>
                </a:ext>
                <a:ext uri="{FF2B5EF4-FFF2-40B4-BE49-F238E27FC236}">
                  <a16:creationId xmlns:a16="http://schemas.microsoft.com/office/drawing/2014/main" id="{00000000-0008-0000-0200-00000C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66675</xdr:colOff>
          <xdr:row>358</xdr:row>
          <xdr:rowOff>4533900</xdr:rowOff>
        </xdr:from>
        <xdr:to>
          <xdr:col>3</xdr:col>
          <xdr:colOff>228600</xdr:colOff>
          <xdr:row>359</xdr:row>
          <xdr:rowOff>1790700</xdr:rowOff>
        </xdr:to>
        <xdr:sp macro="" textlink="">
          <xdr:nvSpPr>
            <xdr:cNvPr id="3085" name="Object 13" hidden="1">
              <a:extLst>
                <a:ext uri="{63B3BB69-23CF-44E3-9099-C40C66FF867C}">
                  <a14:compatExt spid="_x0000_s3085"/>
                </a:ext>
                <a:ext uri="{FF2B5EF4-FFF2-40B4-BE49-F238E27FC236}">
                  <a16:creationId xmlns:a16="http://schemas.microsoft.com/office/drawing/2014/main" id="{00000000-0008-0000-0200-00000D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ackage" Target="../embeddings/Microsoft_Word_Document2.docx"/><Relationship Id="rId13" Type="http://schemas.openxmlformats.org/officeDocument/2006/relationships/image" Target="../media/image5.emf"/><Relationship Id="rId18" Type="http://schemas.openxmlformats.org/officeDocument/2006/relationships/package" Target="../embeddings/Microsoft_Word_Document7.docx"/><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package" Target="../embeddings/Microsoft_Word_Document4.docx"/><Relationship Id="rId17" Type="http://schemas.openxmlformats.org/officeDocument/2006/relationships/image" Target="../media/image7.emf"/><Relationship Id="rId25" Type="http://schemas.openxmlformats.org/officeDocument/2006/relationships/image" Target="../media/image11.emf"/><Relationship Id="rId2" Type="http://schemas.openxmlformats.org/officeDocument/2006/relationships/drawing" Target="../drawings/drawing3.xml"/><Relationship Id="rId16" Type="http://schemas.openxmlformats.org/officeDocument/2006/relationships/package" Target="../embeddings/Microsoft_Word_Document6.docx"/><Relationship Id="rId20" Type="http://schemas.openxmlformats.org/officeDocument/2006/relationships/package" Target="../embeddings/Microsoft_Word_Document8.docx"/><Relationship Id="rId1" Type="http://schemas.openxmlformats.org/officeDocument/2006/relationships/printerSettings" Target="../printerSettings/printerSettings3.bin"/><Relationship Id="rId6" Type="http://schemas.openxmlformats.org/officeDocument/2006/relationships/package" Target="../embeddings/Microsoft_Word_Document1.docx"/><Relationship Id="rId11" Type="http://schemas.openxmlformats.org/officeDocument/2006/relationships/image" Target="../media/image4.emf"/><Relationship Id="rId24" Type="http://schemas.openxmlformats.org/officeDocument/2006/relationships/package" Target="../embeddings/Microsoft_Word_Document10.docx"/><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10" Type="http://schemas.openxmlformats.org/officeDocument/2006/relationships/package" Target="../embeddings/Microsoft_Word_Document3.docx"/><Relationship Id="rId19" Type="http://schemas.openxmlformats.org/officeDocument/2006/relationships/image" Target="../media/image8.emf"/><Relationship Id="rId4" Type="http://schemas.openxmlformats.org/officeDocument/2006/relationships/package" Target="../embeddings/Microsoft_Word_Document.docx"/><Relationship Id="rId9" Type="http://schemas.openxmlformats.org/officeDocument/2006/relationships/image" Target="../media/image3.emf"/><Relationship Id="rId14" Type="http://schemas.openxmlformats.org/officeDocument/2006/relationships/package" Target="../embeddings/Microsoft_Word_Document5.docx"/><Relationship Id="rId22" Type="http://schemas.openxmlformats.org/officeDocument/2006/relationships/package" Target="../embeddings/Microsoft_Word_Document9.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51469-9C7C-43FD-AAF5-0D15B0C65AEB}">
  <sheetPr>
    <pageSetUpPr fitToPage="1"/>
  </sheetPr>
  <dimension ref="A1:H700"/>
  <sheetViews>
    <sheetView showZeros="0" view="pageBreakPreview" topLeftCell="A23" zoomScale="130" zoomScaleNormal="100" zoomScaleSheetLayoutView="130" zoomScalePageLayoutView="80" workbookViewId="0">
      <selection activeCell="E37" sqref="E37"/>
    </sheetView>
  </sheetViews>
  <sheetFormatPr defaultColWidth="9.140625" defaultRowHeight="12.75"/>
  <cols>
    <col min="1" max="1" width="5" style="10" customWidth="1"/>
    <col min="2" max="2" width="56.85546875" style="4" customWidth="1"/>
    <col min="3" max="3" width="7.42578125" style="62" customWidth="1"/>
    <col min="4" max="4" width="11.85546875" style="11" customWidth="1"/>
    <col min="5" max="5" width="12.42578125" style="12" customWidth="1"/>
    <col min="6" max="6" width="14.42578125" style="9" customWidth="1"/>
    <col min="7" max="16384" width="9.140625" style="4"/>
  </cols>
  <sheetData>
    <row r="1" spans="1:8">
      <c r="E1" s="13"/>
    </row>
    <row r="2" spans="1:8">
      <c r="E2" s="13"/>
    </row>
    <row r="3" spans="1:8">
      <c r="E3" s="13"/>
    </row>
    <row r="4" spans="1:8">
      <c r="B4" s="14" t="s">
        <v>0</v>
      </c>
      <c r="E4" s="13"/>
    </row>
    <row r="5" spans="1:8">
      <c r="E5" s="13"/>
    </row>
    <row r="6" spans="1:8" ht="51" customHeight="1">
      <c r="A6" s="15"/>
      <c r="B6" s="4" t="s">
        <v>701</v>
      </c>
      <c r="D6" s="110"/>
      <c r="E6"/>
      <c r="F6" s="43"/>
    </row>
    <row r="7" spans="1:8">
      <c r="B7" s="16"/>
      <c r="E7" s="13"/>
    </row>
    <row r="8" spans="1:8">
      <c r="B8" s="14" t="s">
        <v>1</v>
      </c>
      <c r="E8" s="13"/>
    </row>
    <row r="9" spans="1:8">
      <c r="B9" s="8"/>
      <c r="E9" s="13"/>
    </row>
    <row r="10" spans="1:8">
      <c r="B10" s="3" t="s">
        <v>702</v>
      </c>
      <c r="E10" s="13"/>
    </row>
    <row r="11" spans="1:8">
      <c r="A11" s="15"/>
      <c r="B11" s="17" t="s">
        <v>703</v>
      </c>
      <c r="C11" s="51"/>
      <c r="D11" s="18"/>
      <c r="E11" s="19"/>
      <c r="F11" s="131"/>
    </row>
    <row r="12" spans="1:8">
      <c r="A12" s="15"/>
      <c r="B12" s="17"/>
      <c r="C12" s="51"/>
      <c r="D12" s="18"/>
      <c r="E12" s="19"/>
      <c r="F12" s="131"/>
    </row>
    <row r="13" spans="1:8">
      <c r="B13" s="14" t="s">
        <v>2</v>
      </c>
      <c r="E13" s="13"/>
    </row>
    <row r="14" spans="1:8">
      <c r="B14" s="59" t="s">
        <v>704</v>
      </c>
      <c r="C14" s="61"/>
      <c r="D14" s="45"/>
      <c r="E14"/>
      <c r="F14" s="43"/>
      <c r="G14"/>
      <c r="H14" s="47"/>
    </row>
    <row r="15" spans="1:8">
      <c r="A15" s="15"/>
      <c r="B15" s="25"/>
      <c r="C15" s="61"/>
      <c r="D15" s="42"/>
      <c r="E15"/>
      <c r="F15" s="43"/>
    </row>
    <row r="16" spans="1:8">
      <c r="B16" s="25"/>
      <c r="E16" s="13"/>
    </row>
    <row r="17" spans="1:6">
      <c r="B17" s="355"/>
      <c r="E17" s="13"/>
    </row>
    <row r="18" spans="1:6">
      <c r="B18" s="5"/>
      <c r="E18" s="13"/>
    </row>
    <row r="19" spans="1:6">
      <c r="B19" s="5" t="s">
        <v>705</v>
      </c>
      <c r="E19" s="13"/>
    </row>
    <row r="20" spans="1:6">
      <c r="E20" s="13"/>
    </row>
    <row r="21" spans="1:6">
      <c r="E21" s="13"/>
    </row>
    <row r="22" spans="1:6">
      <c r="E22" s="13"/>
    </row>
    <row r="23" spans="1:6" ht="39.75" customHeight="1">
      <c r="A23" s="20"/>
      <c r="B23" s="496" t="s">
        <v>707</v>
      </c>
      <c r="C23" s="497"/>
      <c r="D23" s="497"/>
      <c r="E23" s="497"/>
      <c r="F23" s="498"/>
    </row>
    <row r="24" spans="1:6">
      <c r="A24" s="20"/>
      <c r="B24" s="501" t="s">
        <v>708</v>
      </c>
      <c r="C24" s="501"/>
      <c r="D24" s="501"/>
      <c r="E24" s="501"/>
      <c r="F24" s="501"/>
    </row>
    <row r="25" spans="1:6">
      <c r="A25" s="20"/>
    </row>
    <row r="26" spans="1:6">
      <c r="B26" s="499" t="s">
        <v>3</v>
      </c>
      <c r="C26" s="499"/>
      <c r="D26" s="499"/>
      <c r="E26" s="499"/>
      <c r="F26" s="499"/>
    </row>
    <row r="28" spans="1:6">
      <c r="E28" s="13"/>
    </row>
    <row r="29" spans="1:6">
      <c r="A29" s="21"/>
      <c r="B29" s="5" t="s">
        <v>4</v>
      </c>
      <c r="D29" s="122" t="s">
        <v>1018</v>
      </c>
      <c r="E29" s="73"/>
    </row>
    <row r="30" spans="1:6">
      <c r="A30" s="21"/>
      <c r="D30" s="9"/>
      <c r="E30" s="119"/>
      <c r="F30" s="121"/>
    </row>
    <row r="31" spans="1:6">
      <c r="A31" s="21"/>
      <c r="C31" s="51"/>
      <c r="D31" s="122"/>
      <c r="E31" s="139"/>
      <c r="F31" s="122"/>
    </row>
    <row r="32" spans="1:6">
      <c r="A32" s="20"/>
      <c r="C32" s="51"/>
      <c r="D32" s="122"/>
      <c r="E32" s="139"/>
      <c r="F32" s="122"/>
    </row>
    <row r="33" spans="1:6">
      <c r="A33" s="22"/>
      <c r="B33" s="333" t="s">
        <v>5</v>
      </c>
      <c r="C33" s="66" t="s">
        <v>6</v>
      </c>
      <c r="D33" s="140" t="s">
        <v>7</v>
      </c>
      <c r="E33" s="141"/>
      <c r="F33" s="132"/>
    </row>
    <row r="34" spans="1:6" s="1" customFormat="1">
      <c r="A34" s="22"/>
      <c r="B34" s="25"/>
      <c r="C34" s="66"/>
      <c r="D34" s="142" t="s">
        <v>1019</v>
      </c>
      <c r="E34" s="143"/>
      <c r="F34" s="133"/>
    </row>
    <row r="35" spans="1:6" s="1" customFormat="1">
      <c r="A35" s="22"/>
      <c r="B35" s="25"/>
      <c r="C35" s="66"/>
      <c r="D35" s="142"/>
      <c r="E35" s="143"/>
      <c r="F35" s="133"/>
    </row>
    <row r="36" spans="1:6" s="1" customFormat="1">
      <c r="A36" s="26"/>
      <c r="B36" s="23"/>
      <c r="C36" s="145"/>
      <c r="D36" s="500"/>
      <c r="E36" s="500"/>
      <c r="F36" s="500"/>
    </row>
    <row r="37" spans="1:6" s="1" customFormat="1">
      <c r="A37" s="26"/>
      <c r="B37" s="23"/>
      <c r="C37" s="145"/>
      <c r="D37" s="142"/>
      <c r="E37" s="144"/>
      <c r="F37" s="134"/>
    </row>
    <row r="38" spans="1:6" s="1" customFormat="1">
      <c r="A38" s="26"/>
      <c r="B38" s="23"/>
      <c r="C38" s="145"/>
      <c r="D38" s="142"/>
      <c r="E38" s="144"/>
      <c r="F38" s="134"/>
    </row>
    <row r="39" spans="1:6" s="1" customFormat="1">
      <c r="A39" s="26"/>
      <c r="B39" s="23"/>
      <c r="C39" s="66"/>
      <c r="D39" s="140"/>
      <c r="E39" s="141"/>
      <c r="F39" s="132"/>
    </row>
    <row r="40" spans="1:6" s="1" customFormat="1" ht="12.75" customHeight="1">
      <c r="A40" s="26"/>
      <c r="B40" s="23"/>
      <c r="C40" s="145"/>
      <c r="D40" s="142"/>
      <c r="E40" s="141"/>
      <c r="F40" s="132"/>
    </row>
    <row r="41" spans="1:6" s="1" customFormat="1">
      <c r="A41" s="26"/>
      <c r="B41" s="23"/>
      <c r="C41" s="145"/>
      <c r="D41" s="142"/>
      <c r="E41" s="141"/>
      <c r="F41" s="132"/>
    </row>
    <row r="42" spans="1:6" s="1" customFormat="1" ht="12.75" customHeight="1">
      <c r="A42" s="26"/>
      <c r="B42" s="23"/>
      <c r="C42" s="66"/>
      <c r="D42" s="140"/>
      <c r="E42" s="141"/>
      <c r="F42" s="132"/>
    </row>
    <row r="43" spans="1:6" s="1" customFormat="1">
      <c r="A43" s="26"/>
      <c r="B43" s="23"/>
      <c r="C43" s="145"/>
      <c r="D43" s="142"/>
      <c r="E43" s="141"/>
      <c r="F43" s="132"/>
    </row>
    <row r="44" spans="1:6" s="1" customFormat="1" ht="12.75" customHeight="1">
      <c r="A44" s="26"/>
      <c r="B44" s="23"/>
      <c r="C44" s="66"/>
      <c r="D44" s="140"/>
      <c r="E44" s="141"/>
      <c r="F44" s="132"/>
    </row>
    <row r="45" spans="1:6" s="1" customFormat="1">
      <c r="A45" s="26"/>
      <c r="B45" s="23"/>
      <c r="C45" s="66"/>
      <c r="D45" s="142"/>
      <c r="E45" s="141"/>
      <c r="F45" s="132"/>
    </row>
    <row r="46" spans="1:6" s="1" customFormat="1" ht="12.75" customHeight="1">
      <c r="A46" s="26"/>
      <c r="B46" s="23"/>
      <c r="C46" s="66"/>
      <c r="D46" s="140"/>
      <c r="E46" s="141"/>
      <c r="F46" s="132"/>
    </row>
    <row r="47" spans="1:6" s="1" customFormat="1">
      <c r="A47" s="26"/>
      <c r="B47" s="23"/>
      <c r="C47" s="145"/>
      <c r="D47" s="142"/>
      <c r="E47" s="141"/>
      <c r="F47" s="132"/>
    </row>
    <row r="48" spans="1:6" s="1" customFormat="1">
      <c r="A48" s="26"/>
      <c r="B48" s="23"/>
      <c r="C48" s="66"/>
      <c r="D48" s="27"/>
      <c r="E48" s="24"/>
      <c r="F48" s="132"/>
    </row>
    <row r="49" spans="2:4">
      <c r="C49" s="67"/>
      <c r="D49" s="27"/>
    </row>
    <row r="50" spans="2:4">
      <c r="C50" s="67"/>
      <c r="D50" s="27"/>
    </row>
    <row r="51" spans="2:4">
      <c r="B51" s="4" t="s">
        <v>706</v>
      </c>
      <c r="C51" s="67"/>
      <c r="D51" s="28"/>
    </row>
    <row r="52" spans="2:4">
      <c r="B52" s="5"/>
      <c r="C52" s="67"/>
      <c r="D52" s="28"/>
    </row>
    <row r="53" spans="2:4">
      <c r="B53" s="5"/>
      <c r="C53" s="67"/>
      <c r="D53" s="28"/>
    </row>
    <row r="54" spans="2:4">
      <c r="B54" s="5"/>
      <c r="C54" s="67"/>
      <c r="D54" s="28"/>
    </row>
    <row r="699" spans="2:6">
      <c r="B699" s="108"/>
      <c r="C699" s="153"/>
      <c r="D699" s="104"/>
      <c r="E699" s="105"/>
      <c r="F699" s="130"/>
    </row>
    <row r="700" spans="2:6">
      <c r="B700" s="108"/>
      <c r="C700" s="153"/>
      <c r="D700" s="104"/>
      <c r="E700" s="105"/>
      <c r="F700" s="130"/>
    </row>
  </sheetData>
  <protectedRanges>
    <protectedRange sqref="E46:E47 E38:E43 E33:E37" name="Range1_19"/>
    <protectedRange sqref="E699:E700" name="Range1_20"/>
  </protectedRanges>
  <mergeCells count="4">
    <mergeCell ref="B23:F23"/>
    <mergeCell ref="B26:F26"/>
    <mergeCell ref="D36:F36"/>
    <mergeCell ref="B24:F24"/>
  </mergeCells>
  <phoneticPr fontId="5" type="noConversion"/>
  <pageMargins left="0.51181102362204722" right="0.39370078740157483" top="0.47244094488188981" bottom="0.9055118110236221" header="0.19685039370078741" footer="0.55118110236220474"/>
  <pageSetup paperSize="9" scale="88" fitToHeight="0" orientation="portrait" cellComments="asDisplayed" r:id="rId1"/>
  <headerFooter alignWithMargins="0">
    <oddHeader xml:space="preserve">&amp;C&amp;"Arial,Bold Italic"
</oddHeader>
  </headerFooter>
  <rowBreaks count="150" manualBreakCount="150">
    <brk id="54" max="16383" man="1"/>
    <brk id="72" max="5" man="1"/>
    <brk id="95" max="5" man="1"/>
    <brk id="423" max="16383" man="1"/>
    <brk id="465" max="16383" man="1"/>
    <brk id="492" max="16383" man="1"/>
    <brk id="564" max="16383" man="1"/>
    <brk id="587" max="5" man="1"/>
    <brk id="698" max="16383" man="1"/>
    <brk id="737" max="5" man="1"/>
    <brk id="762" max="5" man="1"/>
    <brk id="779" max="16383" man="1"/>
    <brk id="806" max="5" man="1"/>
    <brk id="841" max="5" man="1"/>
    <brk id="878" max="5" man="1"/>
    <brk id="905" max="5" man="1"/>
    <brk id="941" max="5" man="1"/>
    <brk id="967" max="5" man="1"/>
    <brk id="993" max="5" man="1"/>
    <brk id="1023" max="5" man="1"/>
    <brk id="1060" max="5" man="1"/>
    <brk id="1089" max="5" man="1"/>
    <brk id="1115" max="16383" man="1"/>
    <brk id="1139" max="5" man="1"/>
    <brk id="1150" max="5" man="1"/>
    <brk id="1182" max="5" man="1"/>
    <brk id="1204" max="5" man="1"/>
    <brk id="1224" max="5" man="1"/>
    <brk id="1245" max="5" man="1"/>
    <brk id="1264" max="5" man="1"/>
    <brk id="1286" max="5" man="1"/>
    <brk id="1315" max="5" man="1"/>
    <brk id="1344" max="5" man="1"/>
    <brk id="1393" max="5" man="1"/>
    <brk id="1424" max="5" man="1"/>
    <brk id="1458" max="5" man="1"/>
    <brk id="1484" max="16383" man="1"/>
    <brk id="1503" max="5" man="1"/>
    <brk id="1519" max="5" man="1"/>
    <brk id="1533" max="5" man="1"/>
    <brk id="1541" max="16383" man="1"/>
    <brk id="1594" max="5" man="1"/>
    <brk id="1610" max="5" man="1"/>
    <brk id="1648" max="16383" man="1"/>
    <brk id="1679" max="5" man="1"/>
    <brk id="1692" max="5" man="1"/>
    <brk id="1713" max="5" man="1"/>
    <brk id="1737" max="5" man="1"/>
    <brk id="1796" max="5" man="1"/>
    <brk id="1805" max="16383" man="1"/>
    <brk id="1822" max="16383" man="1"/>
    <brk id="1863" max="5" man="1"/>
    <brk id="1899" max="5" man="1"/>
    <brk id="1920" max="16383" man="1"/>
    <brk id="1952" max="5" man="1"/>
    <brk id="1980" max="5" man="1"/>
    <brk id="2009" max="5" man="1"/>
    <brk id="2045" max="5" man="1"/>
    <brk id="2071" max="5" man="1"/>
    <brk id="2107" max="5" man="1"/>
    <brk id="2131" max="5" man="1"/>
    <brk id="2153" max="5" man="1"/>
    <brk id="2175" max="5" man="1"/>
    <brk id="2197" max="5" man="1"/>
    <brk id="2219" max="5" man="1"/>
    <brk id="2245" max="5" man="1"/>
    <brk id="2271" max="5" man="1"/>
    <brk id="2298" max="5" man="1"/>
    <brk id="2320" max="5" man="1"/>
    <brk id="2345" max="5" man="1"/>
    <brk id="2368" max="5" man="1"/>
    <brk id="2396" max="5" man="1"/>
    <brk id="2424" max="5" man="1"/>
    <brk id="2451" max="5" man="1"/>
    <brk id="2473" max="5" man="1"/>
    <brk id="2497" max="5" man="1"/>
    <brk id="2536" max="5" man="1"/>
    <brk id="2567" max="5" man="1"/>
    <brk id="2592" max="16383" man="1"/>
    <brk id="2612" max="5" man="1"/>
    <brk id="2631" max="16383" man="1"/>
    <brk id="2648" max="16383" man="1"/>
    <brk id="2679" max="5" man="1"/>
    <brk id="2694" max="5" man="1"/>
    <brk id="2716" max="5" man="1"/>
    <brk id="2736" max="5" man="1"/>
    <brk id="2765" max="5" man="1"/>
    <brk id="2780" max="16383" man="1"/>
    <brk id="2809" max="5" man="1"/>
    <brk id="2820" max="16383" man="1"/>
    <brk id="2880" max="5" man="1"/>
    <brk id="2893" max="16383" man="1"/>
    <brk id="2915" max="5" man="1"/>
    <brk id="2939" max="5" man="1"/>
    <brk id="2972" max="16383" man="1"/>
    <brk id="2985" max="5" man="1"/>
    <brk id="3036" max="16383" man="1"/>
    <brk id="3054" max="16383" man="1"/>
    <brk id="3081" max="16383" man="1"/>
    <brk id="3114" max="5" man="1"/>
    <brk id="3123" max="16383" man="1"/>
    <brk id="3154" max="16383" man="1"/>
    <brk id="3166" max="16383" man="1"/>
    <brk id="3188" max="5" man="1"/>
    <brk id="3253" max="5" man="1"/>
    <brk id="3263" max="16383" man="1"/>
    <brk id="3277" max="16383" man="1"/>
    <brk id="3304" max="16383" man="1"/>
    <brk id="3332" max="5" man="1"/>
    <brk id="3364" max="5" man="1"/>
    <brk id="3408" max="16383" man="1"/>
    <brk id="3473" max="5" man="1"/>
    <brk id="3515" max="5" man="1"/>
    <brk id="3682" max="16383" man="1"/>
    <brk id="3908" max="16383" man="1"/>
    <brk id="3961" max="5" man="1"/>
    <brk id="3971" max="16383" man="1"/>
    <brk id="4102" max="16383" man="1"/>
    <brk id="4137" max="16383" man="1"/>
    <brk id="4179" max="16383" man="1"/>
    <brk id="4189" max="16383" man="1"/>
    <brk id="4455" max="16383" man="1"/>
    <brk id="5134" max="16383" man="1"/>
    <brk id="5257" max="16383" man="1"/>
    <brk id="5368" max="16383" man="1"/>
    <brk id="5378" max="5" man="1"/>
    <brk id="5435" max="16383" man="1"/>
    <brk id="5512" max="16383" man="1"/>
    <brk id="5593" max="16383" man="1"/>
    <brk id="5659" max="16383" man="1"/>
    <brk id="5911" max="16383" man="1"/>
    <brk id="6240" max="16383" man="1"/>
    <brk id="6403" max="16383" man="1"/>
    <brk id="6527" max="5" man="1"/>
    <brk id="6541" max="16383" man="1"/>
    <brk id="6568" max="5" man="1"/>
    <brk id="6585" max="5" man="1"/>
    <brk id="6598" max="16383" man="1"/>
    <brk id="6648" max="5" man="1"/>
    <brk id="6703" max="16383" man="1"/>
    <brk id="6727" max="5" man="1"/>
    <brk id="6734" max="16383" man="1"/>
    <brk id="6747" max="16383" man="1"/>
    <brk id="6759" max="16383" man="1"/>
    <brk id="6870" max="16383" man="1"/>
    <brk id="6906" max="16383" man="1"/>
    <brk id="6958" max="16383" man="1"/>
    <brk id="7021" max="16383" man="1"/>
    <brk id="7108" max="16383" man="1"/>
    <brk id="7140"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B303-C6FF-43C4-A211-A1E3F28EF62B}">
  <sheetPr>
    <pageSetUpPr fitToPage="1"/>
  </sheetPr>
  <dimension ref="A1:F535"/>
  <sheetViews>
    <sheetView showZeros="0" view="pageBreakPreview" topLeftCell="A346" zoomScaleNormal="100" zoomScaleSheetLayoutView="100" workbookViewId="0">
      <selection activeCell="C360" sqref="C360"/>
    </sheetView>
  </sheetViews>
  <sheetFormatPr defaultRowHeight="12.75"/>
  <cols>
    <col min="1" max="1" width="5" customWidth="1"/>
    <col min="2" max="2" width="56.85546875" customWidth="1"/>
    <col min="3" max="3" width="7.42578125" customWidth="1"/>
    <col min="4" max="4" width="11.85546875" customWidth="1"/>
    <col min="5" max="5" width="12.42578125" customWidth="1"/>
    <col min="6" max="6" width="14.42578125" customWidth="1"/>
  </cols>
  <sheetData>
    <row r="1" spans="1:6" s="4" customFormat="1" ht="15.75">
      <c r="A1" s="10"/>
      <c r="B1" s="29" t="s">
        <v>10</v>
      </c>
      <c r="C1" s="62"/>
      <c r="D1" s="28"/>
      <c r="E1" s="12"/>
      <c r="F1" s="9"/>
    </row>
    <row r="2" spans="1:6" s="4" customFormat="1">
      <c r="A2" s="10"/>
      <c r="B2" s="5"/>
      <c r="C2" s="67"/>
      <c r="D2" s="28"/>
      <c r="E2" s="12"/>
      <c r="F2" s="9"/>
    </row>
    <row r="3" spans="1:6" s="4" customFormat="1" ht="72">
      <c r="A3" s="10"/>
      <c r="B3" s="30" t="s">
        <v>11</v>
      </c>
      <c r="C3" s="67"/>
      <c r="D3" s="28"/>
      <c r="E3" s="12"/>
      <c r="F3" s="9"/>
    </row>
    <row r="4" spans="1:6" s="4" customFormat="1">
      <c r="A4" s="10"/>
      <c r="B4" s="30"/>
      <c r="C4" s="67"/>
      <c r="D4" s="28"/>
      <c r="E4" s="12"/>
      <c r="F4" s="9"/>
    </row>
    <row r="5" spans="1:6" s="4" customFormat="1">
      <c r="A5" s="10"/>
      <c r="B5" s="30" t="s">
        <v>12</v>
      </c>
      <c r="C5" s="67"/>
      <c r="D5" s="28"/>
      <c r="E5" s="12"/>
      <c r="F5" s="9"/>
    </row>
    <row r="6" spans="1:6" s="4" customFormat="1">
      <c r="A6" s="10"/>
      <c r="B6" s="30"/>
      <c r="C6" s="67"/>
      <c r="D6" s="28"/>
      <c r="E6" s="12"/>
      <c r="F6" s="9"/>
    </row>
    <row r="7" spans="1:6" s="4" customFormat="1" ht="96">
      <c r="A7" s="10"/>
      <c r="B7" s="31" t="s">
        <v>13</v>
      </c>
      <c r="C7" s="67"/>
      <c r="D7" s="28"/>
      <c r="E7" s="12"/>
      <c r="F7" s="9"/>
    </row>
    <row r="8" spans="1:6" s="4" customFormat="1">
      <c r="A8" s="10"/>
      <c r="B8" s="31"/>
      <c r="C8" s="67"/>
      <c r="D8" s="28"/>
      <c r="E8" s="12"/>
      <c r="F8" s="9"/>
    </row>
    <row r="9" spans="1:6" s="4" customFormat="1">
      <c r="A9" s="10"/>
      <c r="B9" s="30" t="s">
        <v>14</v>
      </c>
      <c r="C9" s="67"/>
      <c r="D9" s="28"/>
      <c r="E9" s="12"/>
      <c r="F9" s="9"/>
    </row>
    <row r="10" spans="1:6" s="4" customFormat="1">
      <c r="A10" s="10"/>
      <c r="B10" s="30"/>
      <c r="C10" s="67"/>
      <c r="D10" s="28"/>
      <c r="E10" s="12"/>
      <c r="F10" s="9"/>
    </row>
    <row r="11" spans="1:6" s="4" customFormat="1" ht="60">
      <c r="A11" s="10"/>
      <c r="B11" s="30" t="s">
        <v>15</v>
      </c>
      <c r="C11" s="67"/>
      <c r="D11" s="28"/>
      <c r="E11" s="12"/>
      <c r="F11" s="9"/>
    </row>
    <row r="12" spans="1:6" s="4" customFormat="1" ht="63" customHeight="1">
      <c r="A12" s="10"/>
      <c r="B12" s="31" t="s">
        <v>16</v>
      </c>
      <c r="C12" s="67"/>
      <c r="D12" s="28"/>
      <c r="E12" s="12"/>
      <c r="F12" s="9"/>
    </row>
    <row r="13" spans="1:6" s="4" customFormat="1" ht="85.15" customHeight="1">
      <c r="A13" s="10"/>
      <c r="B13" s="31" t="s">
        <v>17</v>
      </c>
      <c r="C13" s="67"/>
      <c r="D13" s="28"/>
      <c r="E13" s="12"/>
      <c r="F13" s="9"/>
    </row>
    <row r="14" spans="1:6" s="4" customFormat="1" ht="24">
      <c r="A14" s="10"/>
      <c r="B14" s="31" t="s">
        <v>18</v>
      </c>
      <c r="C14" s="67"/>
      <c r="D14" s="28"/>
      <c r="E14" s="12"/>
      <c r="F14" s="9"/>
    </row>
    <row r="15" spans="1:6" s="4" customFormat="1">
      <c r="A15" s="10"/>
      <c r="B15" s="31"/>
      <c r="C15" s="67"/>
      <c r="D15" s="28"/>
      <c r="E15" s="12"/>
      <c r="F15" s="9"/>
    </row>
    <row r="16" spans="1:6" s="4" customFormat="1">
      <c r="A16" s="10"/>
      <c r="B16" s="30" t="s">
        <v>19</v>
      </c>
      <c r="C16" s="67"/>
      <c r="D16" s="28"/>
      <c r="E16" s="12"/>
      <c r="F16" s="9"/>
    </row>
    <row r="17" spans="1:6" s="4" customFormat="1">
      <c r="A17" s="10"/>
      <c r="B17" s="30"/>
      <c r="C17" s="67"/>
      <c r="D17" s="28"/>
      <c r="E17" s="12"/>
      <c r="F17" s="9"/>
    </row>
    <row r="18" spans="1:6" s="4" customFormat="1" ht="24">
      <c r="A18" s="10"/>
      <c r="B18" s="31" t="s">
        <v>336</v>
      </c>
      <c r="C18" s="67"/>
      <c r="D18" s="28"/>
      <c r="E18" s="12"/>
      <c r="F18" s="9"/>
    </row>
    <row r="19" spans="1:6" s="4" customFormat="1">
      <c r="A19" s="10"/>
      <c r="B19" s="31"/>
      <c r="C19" s="67"/>
      <c r="D19" s="28"/>
      <c r="E19" s="12"/>
      <c r="F19" s="9"/>
    </row>
    <row r="20" spans="1:6" s="4" customFormat="1" ht="60">
      <c r="A20" s="10"/>
      <c r="B20" s="31" t="s">
        <v>20</v>
      </c>
      <c r="C20" s="67"/>
      <c r="D20" s="28"/>
      <c r="E20" s="12"/>
      <c r="F20" s="9"/>
    </row>
    <row r="21" spans="1:6" s="4" customFormat="1">
      <c r="A21" s="10"/>
      <c r="B21" s="30"/>
      <c r="C21" s="67"/>
      <c r="D21" s="28"/>
      <c r="E21" s="12"/>
      <c r="F21" s="9"/>
    </row>
    <row r="22" spans="1:6" s="4" customFormat="1" ht="84">
      <c r="A22" s="10"/>
      <c r="B22" s="31" t="s">
        <v>21</v>
      </c>
      <c r="C22" s="67"/>
      <c r="D22" s="28"/>
      <c r="E22" s="12"/>
      <c r="F22" s="9"/>
    </row>
    <row r="23" spans="1:6" s="4" customFormat="1">
      <c r="A23" s="10"/>
      <c r="B23" s="5"/>
      <c r="C23" s="67"/>
      <c r="D23" s="28"/>
      <c r="E23" s="12"/>
      <c r="F23" s="9"/>
    </row>
    <row r="24" spans="1:6" s="4" customFormat="1">
      <c r="A24" s="10"/>
      <c r="C24" s="67"/>
      <c r="D24" s="28"/>
      <c r="E24" s="12"/>
      <c r="F24" s="9"/>
    </row>
    <row r="25" spans="1:6" s="4" customFormat="1">
      <c r="A25" s="32" t="s">
        <v>8</v>
      </c>
      <c r="B25" s="33" t="s">
        <v>9</v>
      </c>
      <c r="C25" s="67"/>
      <c r="D25" s="28"/>
      <c r="E25" s="12"/>
      <c r="F25" s="9"/>
    </row>
    <row r="26" spans="1:6" s="4" customFormat="1">
      <c r="A26" s="10"/>
      <c r="B26" s="5"/>
      <c r="C26" s="67"/>
      <c r="D26" s="28"/>
      <c r="E26" s="12"/>
      <c r="F26" s="9"/>
    </row>
    <row r="27" spans="1:6" s="2" customFormat="1" ht="15">
      <c r="A27" s="34"/>
      <c r="B27" s="3" t="s">
        <v>22</v>
      </c>
      <c r="C27" s="68"/>
      <c r="D27" s="35"/>
      <c r="E27" s="36"/>
      <c r="F27" s="36"/>
    </row>
    <row r="28" spans="1:6" s="2" customFormat="1" ht="15">
      <c r="A28" s="34"/>
      <c r="B28" s="3"/>
      <c r="C28" s="68"/>
      <c r="D28" s="35"/>
      <c r="E28" s="36"/>
      <c r="F28" s="36"/>
    </row>
    <row r="29" spans="1:6" s="2" customFormat="1" ht="63.75">
      <c r="A29" s="34"/>
      <c r="B29" s="3" t="s">
        <v>23</v>
      </c>
      <c r="C29" s="68"/>
      <c r="D29" s="35"/>
      <c r="E29" s="36"/>
      <c r="F29" s="36"/>
    </row>
    <row r="30" spans="1:6" s="2" customFormat="1" ht="38.25">
      <c r="A30" s="34"/>
      <c r="B30" s="3" t="s">
        <v>337</v>
      </c>
      <c r="C30" s="68"/>
      <c r="D30" s="35"/>
      <c r="E30" s="36"/>
      <c r="F30" s="36"/>
    </row>
    <row r="31" spans="1:6" s="2" customFormat="1" ht="25.5">
      <c r="A31" s="34"/>
      <c r="B31" s="3" t="s">
        <v>24</v>
      </c>
      <c r="C31" s="68"/>
      <c r="D31" s="35"/>
      <c r="E31" s="36"/>
      <c r="F31" s="36"/>
    </row>
    <row r="32" spans="1:6" s="2" customFormat="1" ht="15">
      <c r="A32" s="34"/>
      <c r="B32" s="3" t="s">
        <v>25</v>
      </c>
      <c r="C32" s="68"/>
      <c r="D32" s="35"/>
      <c r="E32" s="36"/>
      <c r="F32" s="36"/>
    </row>
    <row r="33" spans="1:6" s="2" customFormat="1" ht="15">
      <c r="A33" s="34"/>
      <c r="B33" s="3" t="s">
        <v>26</v>
      </c>
      <c r="C33" s="68"/>
      <c r="D33" s="35"/>
      <c r="E33" s="36"/>
      <c r="F33" s="36"/>
    </row>
    <row r="34" spans="1:6" s="2" customFormat="1" ht="76.5">
      <c r="A34" s="34"/>
      <c r="B34" s="3" t="s">
        <v>27</v>
      </c>
      <c r="C34" s="68"/>
      <c r="D34" s="35"/>
      <c r="E34" s="36"/>
      <c r="F34" s="36"/>
    </row>
    <row r="35" spans="1:6" s="2" customFormat="1" ht="15">
      <c r="A35" s="34"/>
      <c r="B35" s="3" t="s">
        <v>28</v>
      </c>
      <c r="C35" s="68"/>
      <c r="D35" s="35"/>
      <c r="E35" s="36"/>
      <c r="F35" s="36"/>
    </row>
    <row r="36" spans="1:6" s="2" customFormat="1" ht="127.5">
      <c r="A36" s="34"/>
      <c r="B36" s="3" t="s">
        <v>29</v>
      </c>
      <c r="C36" s="68"/>
      <c r="D36" s="35"/>
      <c r="E36" s="36"/>
      <c r="F36" s="36"/>
    </row>
    <row r="37" spans="1:6" s="2" customFormat="1" ht="15">
      <c r="A37" s="34"/>
      <c r="B37" s="3" t="s">
        <v>30</v>
      </c>
      <c r="C37" s="68"/>
      <c r="D37" s="35"/>
      <c r="E37" s="36"/>
      <c r="F37" s="36"/>
    </row>
    <row r="38" spans="1:6" s="2" customFormat="1" ht="127.5">
      <c r="A38" s="34"/>
      <c r="B38" s="3" t="s">
        <v>31</v>
      </c>
      <c r="C38" s="68"/>
      <c r="D38" s="35"/>
      <c r="E38" s="36"/>
      <c r="F38" s="36"/>
    </row>
    <row r="39" spans="1:6" s="2" customFormat="1" ht="15">
      <c r="A39" s="34"/>
      <c r="B39" s="3" t="s">
        <v>32</v>
      </c>
      <c r="C39" s="68"/>
      <c r="D39" s="35"/>
      <c r="E39" s="36"/>
      <c r="F39" s="36"/>
    </row>
    <row r="40" spans="1:6" s="2" customFormat="1" ht="89.25">
      <c r="A40" s="34"/>
      <c r="B40" s="3" t="s">
        <v>33</v>
      </c>
      <c r="C40" s="68"/>
      <c r="D40" s="35"/>
      <c r="E40" s="36"/>
      <c r="F40" s="36"/>
    </row>
    <row r="41" spans="1:6" s="2" customFormat="1" ht="15">
      <c r="A41" s="34"/>
      <c r="B41" s="3" t="s">
        <v>34</v>
      </c>
      <c r="C41" s="68"/>
      <c r="D41" s="35"/>
      <c r="E41" s="36"/>
      <c r="F41" s="36"/>
    </row>
    <row r="42" spans="1:6" s="2" customFormat="1" ht="38.25">
      <c r="A42" s="34"/>
      <c r="B42" s="3" t="s">
        <v>35</v>
      </c>
      <c r="C42" s="68"/>
      <c r="D42" s="35"/>
      <c r="E42" s="36"/>
      <c r="F42" s="36"/>
    </row>
    <row r="43" spans="1:6" s="2" customFormat="1" ht="15">
      <c r="A43" s="34"/>
      <c r="B43" s="3" t="s">
        <v>36</v>
      </c>
      <c r="C43" s="68"/>
      <c r="D43" s="35"/>
      <c r="E43" s="36"/>
      <c r="F43" s="36"/>
    </row>
    <row r="44" spans="1:6" s="2" customFormat="1" ht="89.25">
      <c r="A44" s="34"/>
      <c r="B44" s="3" t="s">
        <v>37</v>
      </c>
      <c r="C44" s="68"/>
      <c r="D44" s="35"/>
      <c r="E44" s="36"/>
      <c r="F44" s="36"/>
    </row>
    <row r="45" spans="1:6" s="2" customFormat="1" ht="15">
      <c r="A45" s="34"/>
      <c r="B45" s="3" t="s">
        <v>38</v>
      </c>
      <c r="C45" s="68"/>
      <c r="D45" s="35"/>
      <c r="E45" s="36"/>
      <c r="F45" s="36"/>
    </row>
    <row r="46" spans="1:6" s="2" customFormat="1" ht="63.75">
      <c r="A46" s="34"/>
      <c r="B46" s="3" t="s">
        <v>39</v>
      </c>
      <c r="C46" s="68"/>
      <c r="D46" s="35"/>
      <c r="E46" s="36"/>
      <c r="F46" s="36"/>
    </row>
    <row r="47" spans="1:6" s="2" customFormat="1" ht="15">
      <c r="A47" s="34"/>
      <c r="B47" s="3" t="s">
        <v>40</v>
      </c>
      <c r="C47" s="68"/>
      <c r="D47" s="35"/>
      <c r="E47" s="36"/>
      <c r="F47" s="36"/>
    </row>
    <row r="48" spans="1:6" s="2" customFormat="1" ht="25.5">
      <c r="A48" s="34"/>
      <c r="B48" s="3" t="s">
        <v>41</v>
      </c>
      <c r="C48" s="68"/>
      <c r="D48" s="35"/>
      <c r="E48" s="36"/>
      <c r="F48" s="36"/>
    </row>
    <row r="49" spans="1:6" s="2" customFormat="1" ht="15">
      <c r="A49" s="34"/>
      <c r="B49" s="3" t="s">
        <v>42</v>
      </c>
      <c r="C49" s="68"/>
      <c r="D49" s="35"/>
      <c r="E49" s="36"/>
      <c r="F49" s="36"/>
    </row>
    <row r="50" spans="1:6" s="2" customFormat="1" ht="38.25">
      <c r="A50" s="34"/>
      <c r="B50" s="3" t="s">
        <v>43</v>
      </c>
      <c r="C50" s="68"/>
      <c r="D50" s="35"/>
      <c r="E50" s="36"/>
      <c r="F50" s="36"/>
    </row>
    <row r="51" spans="1:6" s="2" customFormat="1" ht="15">
      <c r="A51" s="34"/>
      <c r="B51" s="3" t="s">
        <v>44</v>
      </c>
      <c r="C51" s="68"/>
      <c r="D51" s="35"/>
      <c r="E51" s="36"/>
      <c r="F51" s="36"/>
    </row>
    <row r="52" spans="1:6" s="2" customFormat="1" ht="25.5">
      <c r="A52" s="34"/>
      <c r="B52" s="3" t="s">
        <v>45</v>
      </c>
      <c r="C52" s="68"/>
      <c r="D52" s="35"/>
      <c r="E52" s="36"/>
      <c r="F52" s="36"/>
    </row>
    <row r="53" spans="1:6" s="2" customFormat="1" ht="15">
      <c r="A53" s="34"/>
      <c r="B53" s="3" t="s">
        <v>46</v>
      </c>
      <c r="C53" s="68"/>
      <c r="D53" s="35"/>
      <c r="E53" s="36"/>
      <c r="F53" s="36"/>
    </row>
    <row r="54" spans="1:6" s="2" customFormat="1" ht="15">
      <c r="A54" s="34"/>
      <c r="B54" s="3" t="s">
        <v>47</v>
      </c>
      <c r="C54" s="68"/>
      <c r="D54" s="35"/>
      <c r="E54" s="36"/>
      <c r="F54" s="36"/>
    </row>
    <row r="55" spans="1:6" s="2" customFormat="1" ht="25.5">
      <c r="A55" s="34"/>
      <c r="B55" s="3" t="s">
        <v>48</v>
      </c>
      <c r="C55" s="68"/>
      <c r="D55" s="35"/>
      <c r="E55" s="36"/>
      <c r="F55" s="36"/>
    </row>
    <row r="56" spans="1:6" s="2" customFormat="1" ht="15">
      <c r="A56" s="34"/>
      <c r="B56" s="3" t="s">
        <v>49</v>
      </c>
      <c r="C56" s="68"/>
      <c r="D56" s="35"/>
      <c r="E56" s="36"/>
      <c r="F56" s="36"/>
    </row>
    <row r="57" spans="1:6" s="2" customFormat="1" ht="15">
      <c r="A57" s="34"/>
      <c r="B57" s="3" t="s">
        <v>50</v>
      </c>
      <c r="C57" s="68"/>
      <c r="D57" s="35"/>
      <c r="E57" s="36"/>
      <c r="F57" s="36"/>
    </row>
    <row r="58" spans="1:6" s="2" customFormat="1" ht="25.5">
      <c r="A58" s="34"/>
      <c r="B58" s="3" t="s">
        <v>51</v>
      </c>
      <c r="C58" s="68"/>
      <c r="D58" s="35"/>
      <c r="E58" s="36"/>
      <c r="F58" s="36"/>
    </row>
    <row r="59" spans="1:6" s="2" customFormat="1" ht="38.25">
      <c r="A59" s="34"/>
      <c r="B59" s="3" t="s">
        <v>52</v>
      </c>
      <c r="C59" s="68"/>
      <c r="D59" s="35"/>
      <c r="E59" s="36"/>
      <c r="F59" s="36"/>
    </row>
    <row r="60" spans="1:6" s="2" customFormat="1" ht="51">
      <c r="A60" s="34"/>
      <c r="B60" s="3" t="s">
        <v>53</v>
      </c>
      <c r="C60" s="68"/>
      <c r="D60" s="35"/>
      <c r="E60" s="36"/>
      <c r="F60" s="36"/>
    </row>
    <row r="61" spans="1:6" s="2" customFormat="1" ht="25.5">
      <c r="A61" s="34"/>
      <c r="B61" s="3" t="s">
        <v>54</v>
      </c>
      <c r="C61" s="68"/>
      <c r="D61" s="35"/>
      <c r="E61" s="36"/>
      <c r="F61" s="36"/>
    </row>
    <row r="62" spans="1:6" s="2" customFormat="1" ht="51">
      <c r="A62" s="34"/>
      <c r="B62" s="3" t="s">
        <v>55</v>
      </c>
      <c r="C62" s="68"/>
      <c r="D62" s="35"/>
      <c r="E62" s="36"/>
      <c r="F62" s="36"/>
    </row>
    <row r="63" spans="1:6" s="2" customFormat="1" ht="25.5">
      <c r="A63" s="34"/>
      <c r="B63" s="3" t="s">
        <v>56</v>
      </c>
      <c r="C63" s="68"/>
      <c r="D63" s="35"/>
      <c r="E63" s="36"/>
      <c r="F63" s="36"/>
    </row>
    <row r="64" spans="1:6" s="2" customFormat="1" ht="38.25">
      <c r="A64" s="34"/>
      <c r="B64" s="3" t="s">
        <v>57</v>
      </c>
      <c r="C64" s="68"/>
      <c r="D64" s="35"/>
      <c r="E64" s="36"/>
      <c r="F64" s="36"/>
    </row>
    <row r="65" spans="1:6" s="2" customFormat="1" ht="25.5">
      <c r="A65" s="34"/>
      <c r="B65" s="3" t="s">
        <v>58</v>
      </c>
      <c r="C65" s="68"/>
      <c r="D65" s="35"/>
      <c r="E65" s="36"/>
      <c r="F65" s="36"/>
    </row>
    <row r="66" spans="1:6" s="2" customFormat="1" ht="25.5">
      <c r="A66" s="34"/>
      <c r="B66" s="3" t="s">
        <v>59</v>
      </c>
      <c r="C66" s="68"/>
      <c r="D66" s="35"/>
      <c r="E66" s="36"/>
      <c r="F66" s="36"/>
    </row>
    <row r="67" spans="1:6" s="2" customFormat="1" ht="25.5">
      <c r="A67" s="34"/>
      <c r="B67" s="3" t="s">
        <v>60</v>
      </c>
      <c r="C67" s="68"/>
      <c r="D67" s="35"/>
      <c r="E67" s="36"/>
      <c r="F67" s="36"/>
    </row>
    <row r="68" spans="1:6" s="2" customFormat="1" ht="15">
      <c r="A68" s="34"/>
      <c r="B68" s="3"/>
      <c r="C68" s="68"/>
      <c r="D68" s="35"/>
      <c r="E68" s="36"/>
      <c r="F68" s="36"/>
    </row>
    <row r="69" spans="1:6" s="2" customFormat="1" ht="15">
      <c r="A69" s="34"/>
      <c r="B69" s="3" t="s">
        <v>61</v>
      </c>
      <c r="C69" s="68"/>
      <c r="D69" s="35"/>
      <c r="E69" s="36"/>
      <c r="F69" s="36"/>
    </row>
    <row r="70" spans="1:6" s="2" customFormat="1" ht="25.5">
      <c r="A70" s="34"/>
      <c r="B70" s="3" t="s">
        <v>62</v>
      </c>
      <c r="C70" s="68"/>
      <c r="D70" s="35"/>
      <c r="E70" s="36"/>
      <c r="F70" s="36"/>
    </row>
    <row r="71" spans="1:6" s="2" customFormat="1" ht="51">
      <c r="A71" s="34"/>
      <c r="B71" s="3" t="s">
        <v>63</v>
      </c>
      <c r="C71" s="68"/>
      <c r="D71" s="35"/>
      <c r="E71" s="36"/>
      <c r="F71" s="36"/>
    </row>
    <row r="72" spans="1:6" s="2" customFormat="1" ht="38.25">
      <c r="A72" s="34"/>
      <c r="B72" s="3" t="s">
        <v>64</v>
      </c>
      <c r="C72" s="68"/>
      <c r="D72" s="35"/>
      <c r="E72" s="36"/>
      <c r="F72" s="36"/>
    </row>
    <row r="73" spans="1:6" s="2" customFormat="1" ht="51">
      <c r="A73" s="34"/>
      <c r="B73" s="3" t="s">
        <v>65</v>
      </c>
      <c r="C73" s="68"/>
      <c r="D73" s="35"/>
      <c r="E73" s="36"/>
      <c r="F73" s="36"/>
    </row>
    <row r="74" spans="1:6" s="2" customFormat="1" ht="63.75">
      <c r="A74" s="34"/>
      <c r="B74" s="3" t="s">
        <v>66</v>
      </c>
      <c r="C74" s="68"/>
      <c r="D74" s="35"/>
      <c r="E74" s="36"/>
      <c r="F74" s="36"/>
    </row>
    <row r="75" spans="1:6" s="2" customFormat="1" ht="15">
      <c r="A75" s="34"/>
      <c r="B75" s="3" t="s">
        <v>67</v>
      </c>
      <c r="C75" s="68"/>
      <c r="D75" s="35"/>
      <c r="E75" s="36"/>
      <c r="F75" s="36"/>
    </row>
    <row r="76" spans="1:6" s="2" customFormat="1" ht="15">
      <c r="A76" s="34"/>
      <c r="B76" s="3" t="s">
        <v>68</v>
      </c>
      <c r="C76" s="68"/>
      <c r="D76" s="35"/>
      <c r="E76" s="36"/>
      <c r="F76" s="36"/>
    </row>
    <row r="77" spans="1:6" s="2" customFormat="1" ht="15">
      <c r="A77" s="34"/>
      <c r="B77" s="3" t="s">
        <v>69</v>
      </c>
      <c r="C77" s="68"/>
      <c r="D77" s="35"/>
      <c r="E77" s="36"/>
      <c r="F77" s="36"/>
    </row>
    <row r="78" spans="1:6" s="2" customFormat="1" ht="15">
      <c r="A78" s="34"/>
      <c r="B78" s="3" t="s">
        <v>70</v>
      </c>
      <c r="C78" s="68"/>
      <c r="D78" s="35"/>
      <c r="E78" s="36"/>
      <c r="F78" s="36"/>
    </row>
    <row r="79" spans="1:6" s="2" customFormat="1" ht="15">
      <c r="A79" s="34"/>
      <c r="B79" s="3" t="s">
        <v>71</v>
      </c>
      <c r="C79" s="68"/>
      <c r="D79" s="35"/>
      <c r="E79" s="36"/>
      <c r="F79" s="36"/>
    </row>
    <row r="80" spans="1:6" s="2" customFormat="1" ht="15">
      <c r="A80" s="34"/>
      <c r="B80" s="3" t="s">
        <v>72</v>
      </c>
      <c r="C80" s="68"/>
      <c r="D80" s="35"/>
      <c r="E80" s="36"/>
      <c r="F80" s="36"/>
    </row>
    <row r="81" spans="1:6" s="2" customFormat="1" ht="15">
      <c r="A81" s="34"/>
      <c r="B81" s="3" t="s">
        <v>73</v>
      </c>
      <c r="C81" s="68"/>
      <c r="D81" s="35"/>
      <c r="E81" s="36"/>
      <c r="F81" s="36"/>
    </row>
    <row r="82" spans="1:6" s="2" customFormat="1" ht="15">
      <c r="A82" s="34"/>
      <c r="B82" s="3" t="s">
        <v>74</v>
      </c>
      <c r="C82" s="68"/>
      <c r="D82" s="35"/>
      <c r="E82" s="36"/>
      <c r="F82" s="36"/>
    </row>
    <row r="83" spans="1:6" s="2" customFormat="1" ht="15">
      <c r="A83" s="34"/>
      <c r="B83" s="3" t="s">
        <v>75</v>
      </c>
      <c r="C83" s="68"/>
      <c r="D83" s="35"/>
      <c r="E83" s="36"/>
      <c r="F83" s="36"/>
    </row>
    <row r="84" spans="1:6" s="2" customFormat="1" ht="38.25">
      <c r="A84" s="34"/>
      <c r="B84" s="3" t="s">
        <v>76</v>
      </c>
      <c r="C84" s="68"/>
      <c r="D84" s="35"/>
      <c r="E84" s="36"/>
      <c r="F84" s="36"/>
    </row>
    <row r="85" spans="1:6" s="2" customFormat="1" ht="15">
      <c r="A85" s="34"/>
      <c r="B85" s="7"/>
      <c r="C85" s="68"/>
      <c r="D85" s="35"/>
      <c r="E85" s="36"/>
      <c r="F85" s="36"/>
    </row>
    <row r="86" spans="1:6" s="2" customFormat="1" ht="15">
      <c r="A86" s="34"/>
      <c r="B86" s="7" t="s">
        <v>77</v>
      </c>
      <c r="C86" s="68"/>
      <c r="D86" s="35"/>
      <c r="E86" s="36"/>
      <c r="F86" s="36"/>
    </row>
    <row r="87" spans="1:6" s="2" customFormat="1" ht="51">
      <c r="A87" s="34"/>
      <c r="B87" s="3" t="s">
        <v>78</v>
      </c>
      <c r="C87" s="68"/>
      <c r="D87" s="35"/>
      <c r="E87" s="36"/>
      <c r="F87" s="36"/>
    </row>
    <row r="88" spans="1:6" s="2" customFormat="1" ht="15">
      <c r="A88" s="34"/>
      <c r="B88" s="3" t="s">
        <v>79</v>
      </c>
      <c r="C88" s="68"/>
      <c r="D88" s="35"/>
      <c r="E88" s="36"/>
      <c r="F88" s="36"/>
    </row>
    <row r="89" spans="1:6" s="2" customFormat="1" ht="25.5">
      <c r="A89" s="34"/>
      <c r="B89" s="3" t="s">
        <v>338</v>
      </c>
      <c r="C89" s="68"/>
      <c r="D89" s="35"/>
      <c r="E89" s="36"/>
      <c r="F89" s="36"/>
    </row>
    <row r="90" spans="1:6" s="2" customFormat="1" ht="51">
      <c r="A90" s="34"/>
      <c r="B90" s="3" t="s">
        <v>80</v>
      </c>
      <c r="C90" s="68"/>
      <c r="D90" s="35"/>
      <c r="E90" s="36"/>
      <c r="F90" s="36"/>
    </row>
    <row r="91" spans="1:6" s="2" customFormat="1" ht="38.25">
      <c r="A91" s="34"/>
      <c r="B91" s="3" t="s">
        <v>81</v>
      </c>
      <c r="C91" s="68"/>
      <c r="D91" s="35"/>
      <c r="E91" s="36"/>
      <c r="F91" s="36"/>
    </row>
    <row r="92" spans="1:6" s="2" customFormat="1" ht="15">
      <c r="A92" s="34"/>
      <c r="B92" s="3" t="s">
        <v>82</v>
      </c>
      <c r="C92" s="68"/>
      <c r="D92" s="35"/>
      <c r="E92" s="36"/>
      <c r="F92" s="36"/>
    </row>
    <row r="93" spans="1:6" s="2" customFormat="1" ht="15">
      <c r="A93" s="34"/>
      <c r="B93" s="3" t="s">
        <v>73</v>
      </c>
      <c r="C93" s="68"/>
      <c r="D93" s="35"/>
      <c r="E93" s="36"/>
      <c r="F93" s="36"/>
    </row>
    <row r="94" spans="1:6" s="2" customFormat="1" ht="15">
      <c r="A94" s="34"/>
      <c r="B94" s="3" t="s">
        <v>83</v>
      </c>
      <c r="C94" s="68"/>
      <c r="D94" s="35"/>
      <c r="E94" s="36"/>
      <c r="F94" s="36"/>
    </row>
    <row r="95" spans="1:6" s="2" customFormat="1" ht="25.5">
      <c r="A95" s="34"/>
      <c r="B95" s="3" t="s">
        <v>84</v>
      </c>
      <c r="C95" s="68"/>
      <c r="D95" s="35"/>
      <c r="E95" s="36"/>
      <c r="F95" s="36"/>
    </row>
    <row r="96" spans="1:6" s="2" customFormat="1" ht="25.5">
      <c r="A96" s="34"/>
      <c r="B96" s="3" t="s">
        <v>85</v>
      </c>
      <c r="C96" s="68"/>
      <c r="D96" s="35"/>
      <c r="E96" s="36"/>
      <c r="F96" s="36"/>
    </row>
    <row r="97" spans="1:6" s="2" customFormat="1" ht="15">
      <c r="A97" s="34"/>
      <c r="B97" s="3" t="s">
        <v>86</v>
      </c>
      <c r="C97" s="68"/>
      <c r="D97" s="35"/>
      <c r="E97" s="36"/>
      <c r="F97" s="36"/>
    </row>
    <row r="98" spans="1:6" s="2" customFormat="1" ht="25.5">
      <c r="A98" s="34"/>
      <c r="B98" s="3" t="s">
        <v>87</v>
      </c>
      <c r="C98" s="68"/>
      <c r="D98" s="35"/>
      <c r="E98" s="36"/>
      <c r="F98" s="36"/>
    </row>
    <row r="99" spans="1:6" s="2" customFormat="1" ht="15">
      <c r="A99" s="34"/>
      <c r="B99" s="3" t="s">
        <v>88</v>
      </c>
      <c r="C99" s="68"/>
      <c r="D99" s="35"/>
      <c r="E99" s="36"/>
      <c r="F99" s="36"/>
    </row>
    <row r="100" spans="1:6" s="2" customFormat="1" ht="38.25">
      <c r="A100" s="34"/>
      <c r="B100" s="3" t="s">
        <v>89</v>
      </c>
      <c r="C100" s="68"/>
      <c r="D100" s="35"/>
      <c r="E100" s="36"/>
      <c r="F100" s="36"/>
    </row>
    <row r="101" spans="1:6" s="2" customFormat="1" ht="51">
      <c r="A101" s="34"/>
      <c r="B101" s="3" t="s">
        <v>90</v>
      </c>
      <c r="C101" s="68"/>
      <c r="D101" s="35"/>
      <c r="E101" s="36"/>
      <c r="F101" s="36"/>
    </row>
    <row r="102" spans="1:6" s="2" customFormat="1" ht="76.5">
      <c r="A102" s="34"/>
      <c r="B102" s="3" t="s">
        <v>91</v>
      </c>
      <c r="C102" s="68"/>
      <c r="D102" s="35"/>
      <c r="E102" s="36"/>
      <c r="F102" s="36"/>
    </row>
    <row r="103" spans="1:6" s="2" customFormat="1" ht="15">
      <c r="A103" s="34"/>
      <c r="B103" s="7"/>
      <c r="C103" s="68"/>
      <c r="D103" s="35"/>
      <c r="E103" s="36"/>
      <c r="F103" s="36"/>
    </row>
    <row r="104" spans="1:6" s="2" customFormat="1" ht="15">
      <c r="A104" s="34"/>
      <c r="B104" s="7" t="s">
        <v>92</v>
      </c>
      <c r="C104" s="68"/>
      <c r="D104" s="35"/>
      <c r="E104" s="36"/>
      <c r="F104" s="36"/>
    </row>
    <row r="105" spans="1:6" s="2" customFormat="1" ht="76.5">
      <c r="A105" s="34"/>
      <c r="B105" s="3" t="s">
        <v>93</v>
      </c>
      <c r="C105" s="68"/>
      <c r="D105" s="35"/>
      <c r="E105" s="36"/>
      <c r="F105" s="36"/>
    </row>
    <row r="106" spans="1:6" s="2" customFormat="1" ht="25.5">
      <c r="A106" s="34"/>
      <c r="B106" s="3" t="s">
        <v>94</v>
      </c>
      <c r="C106" s="68"/>
      <c r="D106" s="35"/>
      <c r="E106" s="36"/>
      <c r="F106" s="36"/>
    </row>
    <row r="107" spans="1:6" s="2" customFormat="1" ht="89.25">
      <c r="A107" s="34"/>
      <c r="B107" s="3" t="s">
        <v>95</v>
      </c>
      <c r="C107" s="68"/>
      <c r="D107" s="35"/>
      <c r="E107" s="36"/>
      <c r="F107" s="36"/>
    </row>
    <row r="108" spans="1:6" s="2" customFormat="1" ht="76.5">
      <c r="A108" s="34"/>
      <c r="B108" s="3" t="s">
        <v>96</v>
      </c>
      <c r="C108" s="68"/>
      <c r="D108" s="35"/>
      <c r="E108" s="36"/>
      <c r="F108" s="36"/>
    </row>
    <row r="109" spans="1:6" s="2" customFormat="1" ht="25.5">
      <c r="A109" s="34"/>
      <c r="B109" s="3" t="s">
        <v>97</v>
      </c>
      <c r="C109" s="68"/>
      <c r="D109" s="35"/>
      <c r="E109" s="36"/>
      <c r="F109" s="36"/>
    </row>
    <row r="110" spans="1:6" s="2" customFormat="1" ht="38.25">
      <c r="A110" s="34"/>
      <c r="B110" s="3" t="s">
        <v>98</v>
      </c>
      <c r="C110" s="68"/>
      <c r="D110" s="35"/>
      <c r="E110" s="36"/>
      <c r="F110" s="36"/>
    </row>
    <row r="111" spans="1:6" s="2" customFormat="1" ht="76.5">
      <c r="A111" s="34"/>
      <c r="B111" s="3" t="s">
        <v>99</v>
      </c>
      <c r="C111" s="68"/>
      <c r="D111" s="35"/>
      <c r="E111" s="36"/>
      <c r="F111" s="36"/>
    </row>
    <row r="112" spans="1:6" s="2" customFormat="1" ht="25.5">
      <c r="A112" s="34"/>
      <c r="B112" s="3" t="s">
        <v>100</v>
      </c>
      <c r="C112" s="68"/>
      <c r="D112" s="35"/>
      <c r="E112" s="36"/>
      <c r="F112" s="36"/>
    </row>
    <row r="113" spans="1:6" s="2" customFormat="1" ht="25.5">
      <c r="A113" s="34"/>
      <c r="B113" s="3" t="s">
        <v>101</v>
      </c>
      <c r="C113" s="68"/>
      <c r="D113" s="35"/>
      <c r="E113" s="36"/>
      <c r="F113" s="36"/>
    </row>
    <row r="114" spans="1:6" s="2" customFormat="1" ht="25.5">
      <c r="A114" s="34"/>
      <c r="B114" s="3" t="s">
        <v>102</v>
      </c>
      <c r="C114" s="68"/>
      <c r="D114" s="35"/>
      <c r="E114" s="36"/>
      <c r="F114" s="36"/>
    </row>
    <row r="115" spans="1:6" s="2" customFormat="1" ht="89.25">
      <c r="A115" s="34"/>
      <c r="B115" s="3" t="s">
        <v>103</v>
      </c>
      <c r="C115" s="68"/>
      <c r="D115" s="35"/>
      <c r="E115" s="36"/>
      <c r="F115" s="36"/>
    </row>
    <row r="116" spans="1:6" s="2" customFormat="1" ht="25.5">
      <c r="A116" s="34"/>
      <c r="B116" s="3" t="s">
        <v>104</v>
      </c>
      <c r="C116" s="68"/>
      <c r="D116" s="35"/>
      <c r="E116" s="36"/>
      <c r="F116" s="36"/>
    </row>
    <row r="117" spans="1:6" s="2" customFormat="1" ht="63.75">
      <c r="A117" s="34"/>
      <c r="B117" s="3" t="s">
        <v>105</v>
      </c>
      <c r="C117" s="68"/>
      <c r="D117" s="35"/>
      <c r="E117" s="36"/>
      <c r="F117" s="36"/>
    </row>
    <row r="118" spans="1:6" s="2" customFormat="1" ht="25.5">
      <c r="A118" s="34"/>
      <c r="B118" s="3" t="s">
        <v>106</v>
      </c>
      <c r="C118" s="68"/>
      <c r="D118" s="35"/>
      <c r="E118" s="36"/>
      <c r="F118" s="36"/>
    </row>
    <row r="119" spans="1:6" s="2" customFormat="1" ht="25.5">
      <c r="A119" s="34"/>
      <c r="B119" s="3" t="s">
        <v>107</v>
      </c>
      <c r="C119" s="68"/>
      <c r="D119" s="35"/>
      <c r="E119" s="36"/>
      <c r="F119" s="36"/>
    </row>
    <row r="120" spans="1:6" s="2" customFormat="1" ht="63.75">
      <c r="A120" s="34"/>
      <c r="B120" s="3" t="s">
        <v>108</v>
      </c>
      <c r="C120" s="68"/>
      <c r="D120" s="35"/>
      <c r="E120" s="36"/>
      <c r="F120" s="36"/>
    </row>
    <row r="121" spans="1:6" s="2" customFormat="1" ht="15">
      <c r="A121" s="34"/>
      <c r="B121" s="7"/>
      <c r="C121" s="68"/>
      <c r="D121" s="35"/>
      <c r="E121" s="36"/>
      <c r="F121" s="36"/>
    </row>
    <row r="122" spans="1:6" s="2" customFormat="1" ht="15">
      <c r="A122" s="34"/>
      <c r="B122" s="7" t="s">
        <v>109</v>
      </c>
      <c r="C122" s="68"/>
      <c r="D122" s="35"/>
      <c r="E122" s="36"/>
      <c r="F122" s="36"/>
    </row>
    <row r="123" spans="1:6" s="2" customFormat="1" ht="51">
      <c r="A123" s="34"/>
      <c r="B123" s="4" t="s">
        <v>110</v>
      </c>
      <c r="C123" s="68"/>
      <c r="D123" s="35"/>
      <c r="E123" s="36"/>
      <c r="F123" s="36"/>
    </row>
    <row r="124" spans="1:6" s="2" customFormat="1" ht="51">
      <c r="A124" s="34"/>
      <c r="B124" s="8" t="s">
        <v>111</v>
      </c>
      <c r="C124" s="68"/>
      <c r="D124" s="35"/>
      <c r="E124" s="36"/>
      <c r="F124" s="36"/>
    </row>
    <row r="125" spans="1:6" s="2" customFormat="1" ht="76.5">
      <c r="A125" s="34"/>
      <c r="B125" s="8" t="s">
        <v>112</v>
      </c>
      <c r="C125" s="68"/>
      <c r="D125" s="35"/>
      <c r="E125" s="36"/>
      <c r="F125" s="36"/>
    </row>
    <row r="126" spans="1:6" s="2" customFormat="1" ht="15">
      <c r="A126" s="34"/>
      <c r="B126" s="8" t="s">
        <v>113</v>
      </c>
      <c r="C126" s="68"/>
      <c r="D126" s="35"/>
      <c r="E126" s="36"/>
      <c r="F126" s="36"/>
    </row>
    <row r="127" spans="1:6" s="2" customFormat="1" ht="38.25">
      <c r="A127" s="34"/>
      <c r="B127" s="8" t="s">
        <v>114</v>
      </c>
      <c r="C127" s="68"/>
      <c r="D127" s="35"/>
      <c r="E127" s="36"/>
      <c r="F127" s="36"/>
    </row>
    <row r="128" spans="1:6" s="2" customFormat="1" ht="51">
      <c r="A128" s="34"/>
      <c r="B128" s="8" t="s">
        <v>115</v>
      </c>
      <c r="C128" s="68"/>
      <c r="D128" s="35"/>
      <c r="E128" s="36"/>
      <c r="F128" s="36"/>
    </row>
    <row r="129" spans="1:6" s="2" customFormat="1" ht="15">
      <c r="A129" s="34"/>
      <c r="B129" s="8" t="s">
        <v>116</v>
      </c>
      <c r="C129" s="68"/>
      <c r="D129" s="35"/>
      <c r="E129" s="36"/>
      <c r="F129" s="36"/>
    </row>
    <row r="130" spans="1:6" s="2" customFormat="1" ht="38.25">
      <c r="A130" s="34"/>
      <c r="B130" s="4" t="s">
        <v>345</v>
      </c>
      <c r="C130" s="68"/>
      <c r="D130" s="35"/>
      <c r="E130" s="36"/>
      <c r="F130" s="36"/>
    </row>
    <row r="131" spans="1:6" s="2" customFormat="1" ht="38.25">
      <c r="A131" s="34"/>
      <c r="B131" s="4" t="s">
        <v>346</v>
      </c>
      <c r="C131" s="68"/>
      <c r="D131" s="35"/>
      <c r="E131" s="36"/>
      <c r="F131" s="36"/>
    </row>
    <row r="132" spans="1:6" s="2" customFormat="1" ht="25.5">
      <c r="A132" s="34"/>
      <c r="B132" s="8" t="s">
        <v>117</v>
      </c>
      <c r="C132" s="68"/>
      <c r="D132" s="35"/>
      <c r="E132" s="36"/>
      <c r="F132" s="36"/>
    </row>
    <row r="133" spans="1:6" s="2" customFormat="1" ht="38.25">
      <c r="A133" s="34"/>
      <c r="B133" s="3" t="s">
        <v>118</v>
      </c>
      <c r="C133" s="68"/>
      <c r="D133" s="35"/>
      <c r="E133" s="36"/>
      <c r="F133" s="36"/>
    </row>
    <row r="134" spans="1:6" s="2" customFormat="1" ht="15">
      <c r="A134" s="34"/>
      <c r="B134" s="8" t="s">
        <v>119</v>
      </c>
      <c r="C134" s="68"/>
      <c r="D134" s="35"/>
      <c r="E134" s="36"/>
      <c r="F134" s="36"/>
    </row>
    <row r="135" spans="1:6" s="2" customFormat="1" ht="25.5">
      <c r="A135" s="34"/>
      <c r="B135" s="4" t="s">
        <v>120</v>
      </c>
      <c r="C135" s="68"/>
      <c r="D135" s="35"/>
      <c r="E135" s="36"/>
      <c r="F135" s="36"/>
    </row>
    <row r="136" spans="1:6" s="2" customFormat="1" ht="15">
      <c r="A136" s="34"/>
      <c r="B136" s="17" t="s">
        <v>121</v>
      </c>
      <c r="C136" s="68"/>
      <c r="D136" s="35"/>
      <c r="E136" s="36"/>
      <c r="F136" s="36"/>
    </row>
    <row r="137" spans="1:6" s="2" customFormat="1" ht="38.25">
      <c r="A137" s="34"/>
      <c r="B137" s="8" t="s">
        <v>122</v>
      </c>
      <c r="C137" s="68"/>
      <c r="D137" s="35"/>
      <c r="E137" s="36"/>
      <c r="F137" s="36"/>
    </row>
    <row r="138" spans="1:6" s="2" customFormat="1" ht="25.5">
      <c r="A138" s="34"/>
      <c r="B138" s="8" t="s">
        <v>123</v>
      </c>
      <c r="C138" s="68"/>
      <c r="D138" s="35"/>
      <c r="E138" s="36"/>
      <c r="F138" s="36"/>
    </row>
    <row r="139" spans="1:6" s="2" customFormat="1" ht="25.5">
      <c r="A139" s="34"/>
      <c r="B139" s="8" t="s">
        <v>124</v>
      </c>
      <c r="C139" s="68"/>
      <c r="D139" s="35"/>
      <c r="E139" s="36"/>
      <c r="F139" s="36"/>
    </row>
    <row r="140" spans="1:6" s="2" customFormat="1" ht="15">
      <c r="A140" s="34"/>
      <c r="B140" s="7"/>
      <c r="C140" s="68"/>
      <c r="D140" s="35"/>
      <c r="E140" s="36"/>
      <c r="F140" s="36"/>
    </row>
    <row r="141" spans="1:6" s="2" customFormat="1" ht="15">
      <c r="A141" s="34"/>
      <c r="B141" s="7" t="s">
        <v>125</v>
      </c>
      <c r="C141" s="68"/>
      <c r="D141" s="35"/>
      <c r="E141" s="36"/>
      <c r="F141" s="36"/>
    </row>
    <row r="142" spans="1:6" s="2" customFormat="1" ht="38.25">
      <c r="A142" s="34"/>
      <c r="B142" s="3" t="s">
        <v>126</v>
      </c>
      <c r="C142" s="68"/>
      <c r="D142" s="35"/>
      <c r="E142" s="36"/>
      <c r="F142" s="36"/>
    </row>
    <row r="143" spans="1:6" s="2" customFormat="1" ht="15">
      <c r="A143" s="34"/>
      <c r="B143" s="3" t="s">
        <v>127</v>
      </c>
      <c r="C143" s="68"/>
      <c r="D143" s="35"/>
      <c r="E143" s="36"/>
      <c r="F143" s="36"/>
    </row>
    <row r="144" spans="1:6" s="2" customFormat="1" ht="15">
      <c r="A144" s="34"/>
      <c r="B144" s="3" t="s">
        <v>128</v>
      </c>
      <c r="C144" s="68"/>
      <c r="D144" s="35"/>
      <c r="E144" s="36"/>
      <c r="F144" s="36"/>
    </row>
    <row r="145" spans="1:6" s="2" customFormat="1" ht="15">
      <c r="A145" s="34"/>
      <c r="B145" s="3" t="s">
        <v>129</v>
      </c>
      <c r="C145" s="68"/>
      <c r="D145" s="35"/>
      <c r="E145" s="36"/>
      <c r="F145" s="36"/>
    </row>
    <row r="146" spans="1:6" s="2" customFormat="1" ht="15">
      <c r="A146" s="34"/>
      <c r="B146" s="3" t="s">
        <v>130</v>
      </c>
      <c r="C146" s="68"/>
      <c r="D146" s="35"/>
      <c r="E146" s="36"/>
      <c r="F146" s="36"/>
    </row>
    <row r="147" spans="1:6" s="2" customFormat="1" ht="15">
      <c r="A147" s="34"/>
      <c r="B147" s="3" t="s">
        <v>131</v>
      </c>
      <c r="C147" s="68"/>
      <c r="D147" s="35"/>
      <c r="E147" s="36"/>
      <c r="F147" s="36"/>
    </row>
    <row r="148" spans="1:6" s="2" customFormat="1" ht="15">
      <c r="A148" s="34"/>
      <c r="B148" s="3" t="s">
        <v>132</v>
      </c>
      <c r="C148" s="68"/>
      <c r="D148" s="35"/>
      <c r="E148" s="36"/>
      <c r="F148" s="36"/>
    </row>
    <row r="149" spans="1:6" s="2" customFormat="1" ht="15">
      <c r="A149" s="34"/>
      <c r="B149" s="3" t="s">
        <v>133</v>
      </c>
      <c r="C149" s="68"/>
      <c r="D149" s="35"/>
      <c r="E149" s="36"/>
      <c r="F149" s="36"/>
    </row>
    <row r="150" spans="1:6" s="2" customFormat="1" ht="15">
      <c r="A150" s="34"/>
      <c r="B150" s="3" t="s">
        <v>134</v>
      </c>
      <c r="C150" s="68"/>
      <c r="D150" s="35"/>
      <c r="E150" s="36"/>
      <c r="F150" s="36"/>
    </row>
    <row r="151" spans="1:6" s="2" customFormat="1" ht="15">
      <c r="A151" s="34"/>
      <c r="B151" s="3" t="s">
        <v>135</v>
      </c>
      <c r="C151" s="68"/>
      <c r="D151" s="35"/>
      <c r="E151" s="36"/>
      <c r="F151" s="36"/>
    </row>
    <row r="152" spans="1:6" s="2" customFormat="1" ht="15">
      <c r="A152" s="34"/>
      <c r="B152" s="3" t="s">
        <v>136</v>
      </c>
      <c r="C152" s="68"/>
      <c r="D152" s="35"/>
      <c r="E152" s="36"/>
      <c r="F152" s="36"/>
    </row>
    <row r="153" spans="1:6" s="2" customFormat="1" ht="15">
      <c r="A153" s="34"/>
      <c r="B153" s="3" t="s">
        <v>133</v>
      </c>
      <c r="C153" s="68"/>
      <c r="D153" s="35"/>
      <c r="E153" s="36"/>
      <c r="F153" s="36"/>
    </row>
    <row r="154" spans="1:6" s="2" customFormat="1" ht="15">
      <c r="A154" s="34"/>
      <c r="B154" s="3" t="s">
        <v>137</v>
      </c>
      <c r="C154" s="68"/>
      <c r="D154" s="35"/>
      <c r="E154" s="36"/>
      <c r="F154" s="36"/>
    </row>
    <row r="155" spans="1:6" s="2" customFormat="1" ht="15">
      <c r="A155" s="34"/>
      <c r="B155" s="3" t="s">
        <v>133</v>
      </c>
      <c r="C155" s="68"/>
      <c r="D155" s="35"/>
      <c r="E155" s="36"/>
      <c r="F155" s="36"/>
    </row>
    <row r="156" spans="1:6" s="2" customFormat="1" ht="51">
      <c r="A156" s="34"/>
      <c r="B156" s="3" t="s">
        <v>138</v>
      </c>
      <c r="C156" s="68"/>
      <c r="D156" s="35"/>
      <c r="E156" s="36"/>
      <c r="F156" s="36"/>
    </row>
    <row r="157" spans="1:6" s="2" customFormat="1" ht="38.25">
      <c r="A157" s="34"/>
      <c r="B157" s="3" t="s">
        <v>347</v>
      </c>
      <c r="C157" s="68"/>
      <c r="D157" s="35"/>
      <c r="E157" s="36"/>
      <c r="F157" s="36"/>
    </row>
    <row r="158" spans="1:6" s="2" customFormat="1" ht="25.5">
      <c r="A158" s="34"/>
      <c r="B158" s="3" t="s">
        <v>139</v>
      </c>
      <c r="C158" s="68"/>
      <c r="D158" s="35"/>
      <c r="E158" s="36"/>
      <c r="F158" s="36"/>
    </row>
    <row r="159" spans="1:6" s="2" customFormat="1" ht="25.5">
      <c r="A159" s="34"/>
      <c r="B159" s="3" t="s">
        <v>348</v>
      </c>
      <c r="C159" s="68"/>
      <c r="D159" s="35"/>
      <c r="E159" s="36"/>
      <c r="F159" s="36"/>
    </row>
    <row r="160" spans="1:6" s="2" customFormat="1" ht="15">
      <c r="A160" s="34"/>
      <c r="B160" s="3" t="s">
        <v>140</v>
      </c>
      <c r="C160" s="68"/>
      <c r="D160" s="35"/>
      <c r="E160" s="36"/>
      <c r="F160" s="36"/>
    </row>
    <row r="161" spans="1:6" s="2" customFormat="1" ht="38.25">
      <c r="A161" s="34"/>
      <c r="B161" s="3" t="s">
        <v>339</v>
      </c>
      <c r="C161" s="68"/>
      <c r="D161" s="35"/>
      <c r="E161" s="36"/>
      <c r="F161" s="36"/>
    </row>
    <row r="162" spans="1:6" s="2" customFormat="1" ht="25.5">
      <c r="A162" s="34"/>
      <c r="B162" s="3" t="s">
        <v>141</v>
      </c>
      <c r="C162" s="68"/>
      <c r="D162" s="35"/>
      <c r="E162" s="36"/>
      <c r="F162" s="36"/>
    </row>
    <row r="163" spans="1:6" s="2" customFormat="1" ht="51">
      <c r="A163" s="34"/>
      <c r="B163" s="3" t="s">
        <v>142</v>
      </c>
      <c r="C163" s="68"/>
      <c r="D163" s="35"/>
      <c r="E163" s="36"/>
      <c r="F163" s="36"/>
    </row>
    <row r="164" spans="1:6" s="2" customFormat="1" ht="89.25">
      <c r="A164" s="34"/>
      <c r="B164" s="3" t="s">
        <v>340</v>
      </c>
      <c r="C164" s="68"/>
      <c r="D164" s="35"/>
      <c r="E164" s="36"/>
      <c r="F164" s="36"/>
    </row>
    <row r="165" spans="1:6" s="2" customFormat="1" ht="63.75">
      <c r="A165" s="34"/>
      <c r="B165" s="3" t="s">
        <v>143</v>
      </c>
      <c r="C165" s="68"/>
      <c r="D165" s="35"/>
      <c r="E165" s="36"/>
      <c r="F165" s="36"/>
    </row>
    <row r="166" spans="1:6" s="2" customFormat="1" ht="63.75">
      <c r="A166" s="34"/>
      <c r="B166" s="3" t="s">
        <v>144</v>
      </c>
      <c r="C166" s="68"/>
      <c r="D166" s="35"/>
      <c r="E166" s="36"/>
      <c r="F166" s="36"/>
    </row>
    <row r="167" spans="1:6" s="2" customFormat="1" ht="76.5">
      <c r="A167" s="34"/>
      <c r="B167" s="3" t="s">
        <v>145</v>
      </c>
      <c r="C167" s="68"/>
      <c r="D167" s="35"/>
      <c r="E167" s="36"/>
      <c r="F167" s="36"/>
    </row>
    <row r="168" spans="1:6" s="2" customFormat="1" ht="38.25">
      <c r="A168" s="34"/>
      <c r="B168" s="3" t="s">
        <v>146</v>
      </c>
      <c r="C168" s="68"/>
      <c r="D168" s="35"/>
      <c r="E168" s="36"/>
      <c r="F168" s="36"/>
    </row>
    <row r="169" spans="1:6" s="2" customFormat="1" ht="51">
      <c r="A169" s="34"/>
      <c r="B169" s="3" t="s">
        <v>147</v>
      </c>
      <c r="C169" s="68"/>
      <c r="D169" s="35"/>
      <c r="E169" s="36"/>
      <c r="F169" s="36"/>
    </row>
    <row r="170" spans="1:6" s="2" customFormat="1" ht="38.25">
      <c r="A170" s="34"/>
      <c r="B170" s="3" t="s">
        <v>148</v>
      </c>
      <c r="C170" s="68"/>
      <c r="D170" s="35"/>
      <c r="E170" s="36"/>
      <c r="F170" s="36"/>
    </row>
    <row r="171" spans="1:6" s="2" customFormat="1" ht="51">
      <c r="A171" s="34"/>
      <c r="B171" s="3" t="s">
        <v>149</v>
      </c>
      <c r="C171" s="68"/>
      <c r="D171" s="35"/>
      <c r="E171" s="36"/>
      <c r="F171" s="36"/>
    </row>
    <row r="172" spans="1:6" s="2" customFormat="1" ht="25.5">
      <c r="A172" s="34"/>
      <c r="B172" s="3" t="s">
        <v>150</v>
      </c>
      <c r="C172" s="68"/>
      <c r="D172" s="35"/>
      <c r="E172" s="36"/>
      <c r="F172" s="36"/>
    </row>
    <row r="173" spans="1:6" s="2" customFormat="1" ht="63.75">
      <c r="A173" s="34"/>
      <c r="B173" s="3" t="s">
        <v>151</v>
      </c>
      <c r="C173" s="68"/>
      <c r="D173" s="35"/>
      <c r="E173" s="36"/>
      <c r="F173" s="36"/>
    </row>
    <row r="174" spans="1:6" s="2" customFormat="1" ht="25.5">
      <c r="A174" s="34"/>
      <c r="B174" s="3" t="s">
        <v>152</v>
      </c>
      <c r="C174" s="68"/>
      <c r="D174" s="35"/>
      <c r="E174" s="36"/>
      <c r="F174" s="36"/>
    </row>
    <row r="175" spans="1:6" s="2" customFormat="1" ht="89.25">
      <c r="A175" s="34"/>
      <c r="B175" s="3" t="s">
        <v>153</v>
      </c>
      <c r="C175" s="68"/>
      <c r="D175" s="35"/>
      <c r="E175" s="36"/>
      <c r="F175" s="36"/>
    </row>
    <row r="176" spans="1:6" s="2" customFormat="1" ht="38.25">
      <c r="A176" s="34"/>
      <c r="B176" s="3" t="s">
        <v>154</v>
      </c>
      <c r="C176" s="68"/>
      <c r="D176" s="35"/>
      <c r="E176" s="36"/>
      <c r="F176" s="36"/>
    </row>
    <row r="177" spans="1:6" s="2" customFormat="1" ht="38.25">
      <c r="A177" s="34"/>
      <c r="B177" s="3" t="s">
        <v>155</v>
      </c>
      <c r="C177" s="68"/>
      <c r="D177" s="35"/>
      <c r="E177" s="36"/>
      <c r="F177" s="36"/>
    </row>
    <row r="178" spans="1:6" s="2" customFormat="1" ht="38.25">
      <c r="A178" s="34"/>
      <c r="B178" s="3" t="s">
        <v>156</v>
      </c>
      <c r="C178" s="68"/>
      <c r="D178" s="35"/>
      <c r="E178" s="36"/>
      <c r="F178" s="36"/>
    </row>
    <row r="179" spans="1:6" s="2" customFormat="1" ht="25.5">
      <c r="A179" s="34"/>
      <c r="B179" s="3" t="s">
        <v>157</v>
      </c>
      <c r="C179" s="68"/>
      <c r="D179" s="35"/>
      <c r="E179" s="36"/>
      <c r="F179" s="36"/>
    </row>
    <row r="180" spans="1:6" s="2" customFormat="1" ht="15">
      <c r="A180" s="34"/>
      <c r="B180" s="7"/>
      <c r="C180" s="68"/>
      <c r="D180" s="35"/>
      <c r="E180" s="36"/>
      <c r="F180" s="36"/>
    </row>
    <row r="181" spans="1:6" s="2" customFormat="1" ht="15">
      <c r="A181" s="34"/>
      <c r="B181" s="3" t="s">
        <v>158</v>
      </c>
      <c r="C181" s="68"/>
      <c r="D181" s="35"/>
      <c r="E181" s="36"/>
      <c r="F181" s="36"/>
    </row>
    <row r="182" spans="1:6" s="2" customFormat="1" ht="15">
      <c r="A182" s="34"/>
      <c r="B182" s="3" t="s">
        <v>159</v>
      </c>
      <c r="C182" s="68"/>
      <c r="D182" s="35"/>
      <c r="E182" s="36"/>
      <c r="F182" s="36"/>
    </row>
    <row r="183" spans="1:6" s="2" customFormat="1" ht="25.5">
      <c r="A183" s="34"/>
      <c r="B183" s="3" t="s">
        <v>160</v>
      </c>
      <c r="C183" s="68"/>
      <c r="D183" s="35"/>
      <c r="E183" s="36"/>
      <c r="F183" s="36"/>
    </row>
    <row r="184" spans="1:6" s="2" customFormat="1" ht="25.5">
      <c r="A184" s="34"/>
      <c r="B184" s="46" t="s">
        <v>161</v>
      </c>
      <c r="C184" s="68"/>
      <c r="D184" s="35"/>
      <c r="E184" s="36"/>
      <c r="F184" s="36"/>
    </row>
    <row r="185" spans="1:6" s="2" customFormat="1" ht="25.5">
      <c r="A185" s="34"/>
      <c r="B185" s="46" t="s">
        <v>162</v>
      </c>
      <c r="C185" s="68"/>
      <c r="D185" s="35"/>
      <c r="E185" s="36"/>
      <c r="F185" s="36"/>
    </row>
    <row r="186" spans="1:6" s="2" customFormat="1" ht="15">
      <c r="A186" s="34"/>
      <c r="B186" s="46" t="s">
        <v>163</v>
      </c>
      <c r="C186" s="68"/>
      <c r="D186" s="35"/>
      <c r="E186" s="36"/>
      <c r="F186" s="36"/>
    </row>
    <row r="187" spans="1:6" s="2" customFormat="1" ht="25.5">
      <c r="A187" s="34"/>
      <c r="B187" s="46" t="s">
        <v>164</v>
      </c>
      <c r="C187" s="68"/>
      <c r="D187" s="35"/>
      <c r="E187" s="36"/>
      <c r="F187" s="36"/>
    </row>
    <row r="188" spans="1:6" s="2" customFormat="1" ht="51">
      <c r="A188" s="34"/>
      <c r="B188" s="3" t="s">
        <v>165</v>
      </c>
      <c r="C188" s="68"/>
      <c r="D188" s="35"/>
      <c r="E188" s="36"/>
      <c r="F188" s="36"/>
    </row>
    <row r="189" spans="1:6" s="2" customFormat="1" ht="51">
      <c r="A189" s="34"/>
      <c r="B189" s="3" t="s">
        <v>166</v>
      </c>
      <c r="C189" s="68"/>
      <c r="D189" s="35"/>
      <c r="E189" s="36"/>
      <c r="F189" s="36"/>
    </row>
    <row r="190" spans="1:6" s="2" customFormat="1" ht="51">
      <c r="A190" s="34"/>
      <c r="B190" s="3" t="s">
        <v>167</v>
      </c>
      <c r="C190" s="68"/>
      <c r="D190" s="35"/>
      <c r="E190" s="36"/>
      <c r="F190" s="36"/>
    </row>
    <row r="191" spans="1:6" s="2" customFormat="1" ht="15">
      <c r="A191" s="34"/>
      <c r="B191" s="3"/>
      <c r="C191" s="68"/>
      <c r="D191" s="35"/>
      <c r="E191" s="36"/>
      <c r="F191" s="36"/>
    </row>
    <row r="192" spans="1:6" s="2" customFormat="1" ht="15">
      <c r="A192" s="34"/>
      <c r="B192" s="3" t="s">
        <v>168</v>
      </c>
      <c r="C192" s="68"/>
      <c r="D192" s="35"/>
      <c r="E192" s="36"/>
      <c r="F192" s="36"/>
    </row>
    <row r="193" spans="1:6" s="2" customFormat="1" ht="38.25">
      <c r="A193" s="34"/>
      <c r="B193" s="3" t="s">
        <v>169</v>
      </c>
      <c r="C193" s="68"/>
      <c r="D193" s="35"/>
      <c r="E193" s="36"/>
      <c r="F193" s="36"/>
    </row>
    <row r="194" spans="1:6" s="2" customFormat="1" ht="25.5">
      <c r="A194" s="34"/>
      <c r="B194" s="3" t="s">
        <v>170</v>
      </c>
      <c r="C194" s="68"/>
      <c r="D194" s="35"/>
      <c r="E194" s="36"/>
      <c r="F194" s="36"/>
    </row>
    <row r="195" spans="1:6" s="2" customFormat="1" ht="15">
      <c r="A195" s="34"/>
      <c r="B195" s="3" t="s">
        <v>171</v>
      </c>
      <c r="C195" s="68"/>
      <c r="D195" s="35"/>
      <c r="E195" s="36"/>
      <c r="F195" s="36"/>
    </row>
    <row r="196" spans="1:6" s="2" customFormat="1" ht="15">
      <c r="A196" s="34"/>
      <c r="B196" s="3" t="s">
        <v>172</v>
      </c>
      <c r="C196" s="68"/>
      <c r="D196" s="35"/>
      <c r="E196" s="36"/>
      <c r="F196" s="36"/>
    </row>
    <row r="197" spans="1:6" s="2" customFormat="1" ht="15">
      <c r="A197" s="34"/>
      <c r="B197" s="3" t="s">
        <v>173</v>
      </c>
      <c r="C197" s="68"/>
      <c r="D197" s="35"/>
      <c r="E197" s="36"/>
      <c r="F197" s="36"/>
    </row>
    <row r="198" spans="1:6" s="2" customFormat="1" ht="25.5">
      <c r="A198" s="34"/>
      <c r="B198" s="3" t="s">
        <v>174</v>
      </c>
      <c r="C198" s="68"/>
      <c r="D198" s="35"/>
      <c r="E198" s="36"/>
      <c r="F198" s="36"/>
    </row>
    <row r="199" spans="1:6" s="2" customFormat="1" ht="25.5">
      <c r="A199" s="34"/>
      <c r="B199" s="3" t="s">
        <v>175</v>
      </c>
      <c r="C199" s="68"/>
      <c r="D199" s="35"/>
      <c r="E199" s="36"/>
      <c r="F199" s="36"/>
    </row>
    <row r="200" spans="1:6" s="2" customFormat="1" ht="38.25">
      <c r="A200" s="34"/>
      <c r="B200" s="3" t="s">
        <v>176</v>
      </c>
      <c r="C200" s="68"/>
      <c r="D200" s="35"/>
      <c r="E200" s="36"/>
      <c r="F200" s="36"/>
    </row>
    <row r="201" spans="1:6" s="2" customFormat="1" ht="15">
      <c r="A201" s="34"/>
      <c r="B201" s="3" t="s">
        <v>177</v>
      </c>
      <c r="C201" s="68"/>
      <c r="D201" s="35"/>
      <c r="E201" s="36"/>
      <c r="F201" s="36"/>
    </row>
    <row r="202" spans="1:6" s="2" customFormat="1" ht="38.25">
      <c r="A202" s="34"/>
      <c r="B202" s="3" t="s">
        <v>178</v>
      </c>
      <c r="C202" s="68"/>
      <c r="D202" s="35"/>
      <c r="E202" s="36"/>
      <c r="F202" s="36"/>
    </row>
    <row r="203" spans="1:6" s="2" customFormat="1" ht="63.75">
      <c r="A203" s="34"/>
      <c r="B203" s="3" t="s">
        <v>179</v>
      </c>
      <c r="C203" s="68"/>
      <c r="D203" s="35"/>
      <c r="E203" s="36"/>
      <c r="F203" s="36"/>
    </row>
    <row r="204" spans="1:6" s="2" customFormat="1" ht="25.5">
      <c r="A204" s="34"/>
      <c r="B204" s="3" t="s">
        <v>180</v>
      </c>
      <c r="C204" s="68"/>
      <c r="D204" s="35"/>
      <c r="E204" s="36"/>
      <c r="F204" s="36"/>
    </row>
    <row r="205" spans="1:6" s="2" customFormat="1" ht="25.5">
      <c r="A205" s="34"/>
      <c r="B205" s="3" t="s">
        <v>181</v>
      </c>
      <c r="C205" s="68"/>
      <c r="D205" s="35"/>
      <c r="E205" s="36"/>
      <c r="F205" s="36"/>
    </row>
    <row r="206" spans="1:6" s="2" customFormat="1" ht="51">
      <c r="A206" s="34"/>
      <c r="B206" s="3" t="s">
        <v>182</v>
      </c>
      <c r="C206" s="68"/>
      <c r="D206" s="35"/>
      <c r="E206" s="36"/>
      <c r="F206" s="36"/>
    </row>
    <row r="207" spans="1:6" s="2" customFormat="1" ht="51">
      <c r="A207" s="34"/>
      <c r="B207" s="3" t="s">
        <v>183</v>
      </c>
      <c r="C207" s="68"/>
      <c r="D207" s="35"/>
      <c r="E207" s="36"/>
      <c r="F207" s="36"/>
    </row>
    <row r="208" spans="1:6" s="2" customFormat="1" ht="76.5">
      <c r="A208" s="34"/>
      <c r="B208" s="3" t="s">
        <v>184</v>
      </c>
      <c r="C208" s="68"/>
      <c r="D208" s="35"/>
      <c r="E208" s="36"/>
      <c r="F208" s="36"/>
    </row>
    <row r="209" spans="1:6" s="2" customFormat="1" ht="38.25">
      <c r="A209" s="34"/>
      <c r="B209" s="3" t="s">
        <v>185</v>
      </c>
      <c r="C209" s="68"/>
      <c r="D209" s="35"/>
      <c r="E209" s="36"/>
      <c r="F209" s="36"/>
    </row>
    <row r="210" spans="1:6" s="2" customFormat="1" ht="38.25">
      <c r="A210" s="34"/>
      <c r="B210" s="3" t="s">
        <v>186</v>
      </c>
      <c r="C210" s="68"/>
      <c r="D210" s="35"/>
      <c r="E210" s="36"/>
      <c r="F210" s="36"/>
    </row>
    <row r="211" spans="1:6" s="2" customFormat="1" ht="38.25">
      <c r="A211" s="34"/>
      <c r="B211" s="3" t="s">
        <v>187</v>
      </c>
      <c r="C211" s="68"/>
      <c r="D211" s="35"/>
      <c r="E211" s="36"/>
      <c r="F211" s="36"/>
    </row>
    <row r="212" spans="1:6" s="2" customFormat="1" ht="15">
      <c r="A212" s="34"/>
      <c r="B212" s="3"/>
      <c r="C212" s="68"/>
      <c r="D212" s="35"/>
      <c r="E212" s="36"/>
      <c r="F212" s="36"/>
    </row>
    <row r="213" spans="1:6" s="2" customFormat="1" ht="15">
      <c r="A213" s="34"/>
      <c r="B213" s="3" t="s">
        <v>349</v>
      </c>
      <c r="C213" s="68"/>
      <c r="D213" s="35"/>
      <c r="E213" s="36"/>
      <c r="F213" s="36"/>
    </row>
    <row r="214" spans="1:6" s="2" customFormat="1" ht="15">
      <c r="A214" s="34"/>
      <c r="B214" s="7"/>
      <c r="C214" s="68"/>
      <c r="D214" s="35"/>
      <c r="E214" s="36"/>
      <c r="F214" s="36"/>
    </row>
    <row r="215" spans="1:6" s="2" customFormat="1" ht="15">
      <c r="A215" s="34"/>
      <c r="B215" s="3" t="s">
        <v>188</v>
      </c>
      <c r="C215" s="68"/>
      <c r="D215" s="35"/>
      <c r="E215" s="36"/>
      <c r="F215" s="36"/>
    </row>
    <row r="216" spans="1:6" s="2" customFormat="1" ht="76.5">
      <c r="A216" s="34"/>
      <c r="B216" s="3" t="s">
        <v>189</v>
      </c>
      <c r="C216" s="68"/>
      <c r="D216" s="35"/>
      <c r="E216" s="36"/>
      <c r="F216" s="36"/>
    </row>
    <row r="217" spans="1:6" s="2" customFormat="1" ht="25.5">
      <c r="A217" s="34"/>
      <c r="B217" s="3" t="s">
        <v>190</v>
      </c>
      <c r="C217" s="68"/>
      <c r="D217" s="35"/>
      <c r="E217" s="36"/>
      <c r="F217" s="36"/>
    </row>
    <row r="218" spans="1:6" s="2" customFormat="1" ht="25.5">
      <c r="A218" s="34"/>
      <c r="B218" s="3" t="s">
        <v>191</v>
      </c>
      <c r="C218" s="68"/>
      <c r="D218" s="35"/>
      <c r="E218" s="36"/>
      <c r="F218" s="36"/>
    </row>
    <row r="219" spans="1:6" s="2" customFormat="1" ht="25.5">
      <c r="A219" s="34"/>
      <c r="B219" s="3" t="s">
        <v>192</v>
      </c>
      <c r="C219" s="68"/>
      <c r="D219" s="35"/>
      <c r="E219" s="36"/>
      <c r="F219" s="36"/>
    </row>
    <row r="220" spans="1:6" s="2" customFormat="1" ht="25.5">
      <c r="A220" s="34"/>
      <c r="B220" s="3" t="s">
        <v>193</v>
      </c>
      <c r="C220" s="68"/>
      <c r="D220" s="35"/>
      <c r="E220" s="36"/>
      <c r="F220" s="36"/>
    </row>
    <row r="221" spans="1:6" s="2" customFormat="1" ht="25.5">
      <c r="A221" s="34"/>
      <c r="B221" s="3" t="s">
        <v>194</v>
      </c>
      <c r="C221" s="68"/>
      <c r="D221" s="35"/>
      <c r="E221" s="36"/>
      <c r="F221" s="36"/>
    </row>
    <row r="222" spans="1:6" s="2" customFormat="1" ht="38.25">
      <c r="A222" s="34"/>
      <c r="B222" s="3" t="s">
        <v>195</v>
      </c>
      <c r="C222" s="68"/>
      <c r="D222" s="35"/>
      <c r="E222" s="36"/>
      <c r="F222" s="36"/>
    </row>
    <row r="223" spans="1:6" s="2" customFormat="1" ht="51">
      <c r="A223" s="34"/>
      <c r="B223" s="3" t="s">
        <v>196</v>
      </c>
      <c r="C223" s="68"/>
      <c r="D223" s="35"/>
      <c r="E223" s="36"/>
      <c r="F223" s="36"/>
    </row>
    <row r="224" spans="1:6" s="2" customFormat="1" ht="25.5">
      <c r="A224" s="34"/>
      <c r="B224" s="3" t="s">
        <v>197</v>
      </c>
      <c r="C224" s="68"/>
      <c r="D224" s="35"/>
      <c r="E224" s="36"/>
      <c r="F224" s="36"/>
    </row>
    <row r="225" spans="1:6" s="2" customFormat="1" ht="38.25">
      <c r="A225" s="34"/>
      <c r="B225" s="3" t="s">
        <v>198</v>
      </c>
      <c r="C225" s="68"/>
      <c r="D225" s="35"/>
      <c r="E225" s="36"/>
      <c r="F225" s="36"/>
    </row>
    <row r="226" spans="1:6" s="2" customFormat="1" ht="51">
      <c r="A226" s="34"/>
      <c r="B226" s="3" t="s">
        <v>341</v>
      </c>
      <c r="C226" s="68"/>
      <c r="D226" s="35"/>
      <c r="E226" s="36"/>
      <c r="F226" s="36"/>
    </row>
    <row r="227" spans="1:6" s="2" customFormat="1" ht="63.75">
      <c r="A227" s="34"/>
      <c r="B227" s="3" t="s">
        <v>199</v>
      </c>
      <c r="C227" s="68"/>
      <c r="D227" s="35"/>
      <c r="E227" s="36"/>
      <c r="F227" s="36"/>
    </row>
    <row r="228" spans="1:6" s="2" customFormat="1" ht="51">
      <c r="A228" s="34"/>
      <c r="B228" s="3" t="s">
        <v>200</v>
      </c>
      <c r="C228" s="68"/>
      <c r="D228" s="35"/>
      <c r="E228" s="36"/>
      <c r="F228" s="36"/>
    </row>
    <row r="229" spans="1:6" s="2" customFormat="1" ht="15">
      <c r="A229" s="34"/>
      <c r="B229" s="3" t="s">
        <v>201</v>
      </c>
      <c r="C229" s="68"/>
      <c r="D229" s="35"/>
      <c r="E229" s="36"/>
      <c r="F229" s="36"/>
    </row>
    <row r="230" spans="1:6" s="2" customFormat="1" ht="15">
      <c r="A230" s="34"/>
      <c r="B230" s="3" t="s">
        <v>202</v>
      </c>
      <c r="C230" s="68"/>
      <c r="D230" s="35"/>
      <c r="E230" s="36"/>
      <c r="F230" s="36"/>
    </row>
    <row r="231" spans="1:6" s="2" customFormat="1" ht="15">
      <c r="A231" s="34"/>
      <c r="B231" s="3" t="s">
        <v>203</v>
      </c>
      <c r="C231" s="68"/>
      <c r="D231" s="35"/>
      <c r="E231" s="36"/>
      <c r="F231" s="36"/>
    </row>
    <row r="232" spans="1:6" s="2" customFormat="1" ht="15">
      <c r="A232" s="34"/>
      <c r="B232" s="3" t="s">
        <v>204</v>
      </c>
      <c r="C232" s="68"/>
      <c r="D232" s="35"/>
      <c r="E232" s="36"/>
      <c r="F232" s="36"/>
    </row>
    <row r="233" spans="1:6" s="2" customFormat="1" ht="15">
      <c r="A233" s="34"/>
      <c r="B233" s="3" t="s">
        <v>205</v>
      </c>
      <c r="C233" s="68"/>
      <c r="D233" s="35"/>
      <c r="E233" s="36"/>
      <c r="F233" s="36"/>
    </row>
    <row r="234" spans="1:6" s="2" customFormat="1" ht="15">
      <c r="A234" s="34"/>
      <c r="B234" s="3" t="s">
        <v>206</v>
      </c>
      <c r="C234" s="68"/>
      <c r="D234" s="35"/>
      <c r="E234" s="36"/>
      <c r="F234" s="36"/>
    </row>
    <row r="235" spans="1:6" s="2" customFormat="1" ht="15">
      <c r="A235" s="34"/>
      <c r="B235" s="3" t="s">
        <v>207</v>
      </c>
      <c r="C235" s="68"/>
      <c r="D235" s="35"/>
      <c r="E235" s="36"/>
      <c r="F235" s="36"/>
    </row>
    <row r="236" spans="1:6" s="2" customFormat="1" ht="15">
      <c r="A236" s="34"/>
      <c r="B236" s="3" t="s">
        <v>208</v>
      </c>
      <c r="C236" s="68"/>
      <c r="D236" s="35"/>
      <c r="E236" s="36"/>
      <c r="F236" s="36"/>
    </row>
    <row r="237" spans="1:6" s="2" customFormat="1" ht="25.5">
      <c r="A237" s="34"/>
      <c r="B237" s="3" t="s">
        <v>209</v>
      </c>
      <c r="C237" s="68"/>
      <c r="D237" s="35"/>
      <c r="E237" s="36"/>
      <c r="F237" s="36"/>
    </row>
    <row r="238" spans="1:6" s="2" customFormat="1" ht="15">
      <c r="A238" s="34"/>
      <c r="B238" s="3" t="s">
        <v>210</v>
      </c>
      <c r="C238" s="68"/>
      <c r="D238" s="35"/>
      <c r="E238" s="36"/>
      <c r="F238" s="36"/>
    </row>
    <row r="239" spans="1:6" s="2" customFormat="1" ht="15">
      <c r="A239" s="34"/>
      <c r="B239" s="3" t="s">
        <v>211</v>
      </c>
      <c r="C239" s="68"/>
      <c r="D239" s="35"/>
      <c r="E239" s="36"/>
      <c r="F239" s="36"/>
    </row>
    <row r="240" spans="1:6" s="2" customFormat="1" ht="15">
      <c r="A240" s="34"/>
      <c r="B240" s="3" t="s">
        <v>212</v>
      </c>
      <c r="C240" s="68"/>
      <c r="D240" s="35"/>
      <c r="E240" s="36"/>
      <c r="F240" s="36"/>
    </row>
    <row r="241" spans="1:6" s="2" customFormat="1" ht="25.5">
      <c r="A241" s="34"/>
      <c r="B241" s="3" t="s">
        <v>213</v>
      </c>
      <c r="C241" s="68"/>
      <c r="D241" s="35"/>
      <c r="E241" s="36"/>
      <c r="F241" s="36"/>
    </row>
    <row r="242" spans="1:6" s="2" customFormat="1" ht="15">
      <c r="A242" s="34"/>
      <c r="B242" s="7"/>
      <c r="C242" s="68"/>
      <c r="D242" s="35"/>
      <c r="E242" s="36"/>
      <c r="F242" s="36"/>
    </row>
    <row r="243" spans="1:6" s="2" customFormat="1" ht="15">
      <c r="A243" s="34"/>
      <c r="B243" s="3" t="s">
        <v>214</v>
      </c>
      <c r="C243" s="68"/>
      <c r="D243" s="35"/>
      <c r="E243" s="36"/>
      <c r="F243" s="36"/>
    </row>
    <row r="244" spans="1:6" s="2" customFormat="1" ht="63.75">
      <c r="A244" s="34"/>
      <c r="B244" s="3" t="s">
        <v>215</v>
      </c>
      <c r="C244" s="68"/>
      <c r="D244" s="35"/>
      <c r="E244" s="36"/>
      <c r="F244" s="36"/>
    </row>
    <row r="245" spans="1:6" s="2" customFormat="1" ht="51">
      <c r="A245" s="34"/>
      <c r="B245" s="3" t="s">
        <v>216</v>
      </c>
      <c r="C245" s="68"/>
      <c r="D245" s="35"/>
      <c r="E245" s="36"/>
      <c r="F245" s="36"/>
    </row>
    <row r="246" spans="1:6" s="2" customFormat="1" ht="15">
      <c r="A246" s="34"/>
      <c r="B246" s="3" t="s">
        <v>217</v>
      </c>
      <c r="C246" s="68"/>
      <c r="D246" s="35"/>
      <c r="E246" s="36"/>
      <c r="F246" s="36"/>
    </row>
    <row r="247" spans="1:6" s="2" customFormat="1" ht="25.5">
      <c r="A247" s="34"/>
      <c r="B247" s="3" t="s">
        <v>218</v>
      </c>
      <c r="C247" s="68"/>
      <c r="D247" s="35"/>
      <c r="E247" s="36"/>
      <c r="F247" s="36"/>
    </row>
    <row r="248" spans="1:6" s="2" customFormat="1" ht="25.5">
      <c r="A248" s="34"/>
      <c r="B248" s="3" t="s">
        <v>219</v>
      </c>
      <c r="C248" s="68"/>
      <c r="D248" s="35"/>
      <c r="E248" s="36"/>
      <c r="F248" s="36"/>
    </row>
    <row r="249" spans="1:6" s="2" customFormat="1" ht="25.5">
      <c r="A249" s="34"/>
      <c r="B249" s="3" t="s">
        <v>220</v>
      </c>
      <c r="C249" s="68"/>
      <c r="D249" s="35"/>
      <c r="E249" s="36"/>
      <c r="F249" s="36"/>
    </row>
    <row r="250" spans="1:6" s="2" customFormat="1" ht="25.5">
      <c r="A250" s="34"/>
      <c r="B250" s="3" t="s">
        <v>221</v>
      </c>
      <c r="C250" s="68"/>
      <c r="D250" s="35"/>
      <c r="E250" s="36"/>
      <c r="F250" s="36"/>
    </row>
    <row r="251" spans="1:6" s="2" customFormat="1" ht="25.5">
      <c r="A251" s="34"/>
      <c r="B251" s="3" t="s">
        <v>222</v>
      </c>
      <c r="C251" s="68"/>
      <c r="D251" s="35"/>
      <c r="E251" s="36"/>
      <c r="F251" s="36"/>
    </row>
    <row r="252" spans="1:6" s="2" customFormat="1" ht="25.5">
      <c r="A252" s="34"/>
      <c r="B252" s="3" t="s">
        <v>223</v>
      </c>
      <c r="C252" s="68"/>
      <c r="D252" s="35"/>
      <c r="E252" s="36"/>
      <c r="F252" s="36"/>
    </row>
    <row r="253" spans="1:6" s="2" customFormat="1" ht="25.5">
      <c r="A253" s="34"/>
      <c r="B253" s="3" t="s">
        <v>224</v>
      </c>
      <c r="C253" s="68"/>
      <c r="D253" s="35"/>
      <c r="E253" s="36"/>
      <c r="F253" s="36"/>
    </row>
    <row r="254" spans="1:6" s="2" customFormat="1" ht="25.5">
      <c r="A254" s="34"/>
      <c r="B254" s="3" t="s">
        <v>225</v>
      </c>
      <c r="C254" s="68"/>
      <c r="D254" s="35"/>
      <c r="E254" s="36"/>
      <c r="F254" s="36"/>
    </row>
    <row r="255" spans="1:6" s="2" customFormat="1" ht="15">
      <c r="A255" s="34"/>
      <c r="B255" s="3" t="s">
        <v>226</v>
      </c>
      <c r="C255" s="68"/>
      <c r="D255" s="35"/>
      <c r="E255" s="36"/>
      <c r="F255" s="36"/>
    </row>
    <row r="256" spans="1:6" s="2" customFormat="1" ht="15">
      <c r="A256" s="34"/>
      <c r="B256" s="3" t="s">
        <v>227</v>
      </c>
      <c r="C256" s="68"/>
      <c r="D256" s="35"/>
      <c r="E256" s="36"/>
      <c r="F256" s="36"/>
    </row>
    <row r="257" spans="1:6" s="2" customFormat="1" ht="38.25">
      <c r="A257" s="34"/>
      <c r="B257" s="3" t="s">
        <v>228</v>
      </c>
      <c r="C257" s="68"/>
      <c r="D257" s="35"/>
      <c r="E257" s="36"/>
      <c r="F257" s="36"/>
    </row>
    <row r="258" spans="1:6" s="2" customFormat="1" ht="15">
      <c r="A258" s="34"/>
      <c r="B258" s="3" t="s">
        <v>229</v>
      </c>
      <c r="C258" s="68"/>
      <c r="D258" s="35"/>
      <c r="E258" s="36"/>
      <c r="F258" s="36"/>
    </row>
    <row r="259" spans="1:6" s="2" customFormat="1" ht="25.5">
      <c r="A259" s="34"/>
      <c r="B259" s="3" t="s">
        <v>230</v>
      </c>
      <c r="C259" s="68"/>
      <c r="D259" s="35"/>
      <c r="E259" s="36"/>
      <c r="F259" s="36"/>
    </row>
    <row r="260" spans="1:6" s="2" customFormat="1" ht="15">
      <c r="A260" s="34"/>
      <c r="B260" s="3" t="s">
        <v>231</v>
      </c>
      <c r="C260" s="68"/>
      <c r="D260" s="35"/>
      <c r="E260" s="36"/>
      <c r="F260" s="36"/>
    </row>
    <row r="261" spans="1:6" s="2" customFormat="1" ht="15">
      <c r="A261" s="34"/>
      <c r="B261" s="3" t="s">
        <v>232</v>
      </c>
      <c r="C261" s="68"/>
      <c r="D261" s="35"/>
      <c r="E261" s="36"/>
      <c r="F261" s="36"/>
    </row>
    <row r="262" spans="1:6" s="2" customFormat="1" ht="15">
      <c r="A262" s="34"/>
      <c r="B262" s="3"/>
      <c r="C262" s="68"/>
      <c r="D262" s="35"/>
      <c r="E262" s="36"/>
      <c r="F262" s="36"/>
    </row>
    <row r="263" spans="1:6" s="2" customFormat="1" ht="51">
      <c r="A263" s="34"/>
      <c r="B263" s="3" t="s">
        <v>233</v>
      </c>
      <c r="C263" s="68"/>
      <c r="D263" s="35"/>
      <c r="E263" s="36"/>
      <c r="F263" s="36"/>
    </row>
    <row r="264" spans="1:6" s="2" customFormat="1" ht="15">
      <c r="A264" s="34"/>
      <c r="B264" s="3" t="s">
        <v>234</v>
      </c>
      <c r="C264" s="68"/>
      <c r="D264" s="35"/>
      <c r="E264" s="36"/>
      <c r="F264" s="36"/>
    </row>
    <row r="265" spans="1:6" s="2" customFormat="1" ht="15">
      <c r="A265" s="34"/>
      <c r="B265" s="7"/>
      <c r="C265" s="68"/>
      <c r="D265" s="35"/>
      <c r="E265" s="36"/>
      <c r="F265" s="36"/>
    </row>
    <row r="266" spans="1:6" s="2" customFormat="1" ht="15">
      <c r="A266" s="34"/>
      <c r="B266" s="3" t="s">
        <v>235</v>
      </c>
      <c r="C266" s="68"/>
      <c r="D266" s="35"/>
      <c r="E266" s="36"/>
      <c r="F266" s="36"/>
    </row>
    <row r="267" spans="1:6" s="2" customFormat="1" ht="38.25">
      <c r="A267" s="34"/>
      <c r="B267" s="3" t="s">
        <v>236</v>
      </c>
      <c r="C267" s="68"/>
      <c r="D267" s="35"/>
      <c r="E267" s="36"/>
      <c r="F267" s="36"/>
    </row>
    <row r="268" spans="1:6" s="2" customFormat="1" ht="51">
      <c r="A268" s="34"/>
      <c r="B268" s="3" t="s">
        <v>237</v>
      </c>
      <c r="C268" s="68"/>
      <c r="D268" s="35"/>
      <c r="E268" s="36"/>
      <c r="F268" s="36"/>
    </row>
    <row r="269" spans="1:6" s="2" customFormat="1" ht="178.5">
      <c r="A269" s="34"/>
      <c r="B269" s="3" t="s">
        <v>238</v>
      </c>
      <c r="C269" s="68"/>
      <c r="D269" s="35"/>
      <c r="E269" s="36"/>
      <c r="F269" s="36"/>
    </row>
    <row r="270" spans="1:6" s="2" customFormat="1" ht="15">
      <c r="A270" s="34"/>
      <c r="B270" s="7"/>
      <c r="C270" s="68"/>
      <c r="D270" s="35"/>
      <c r="E270" s="36"/>
      <c r="F270" s="36"/>
    </row>
    <row r="271" spans="1:6" s="2" customFormat="1" ht="15">
      <c r="A271" s="34"/>
      <c r="B271" s="3" t="s">
        <v>239</v>
      </c>
      <c r="C271" s="68"/>
      <c r="D271" s="35"/>
      <c r="E271" s="36"/>
      <c r="F271" s="36"/>
    </row>
    <row r="272" spans="1:6" s="2" customFormat="1" ht="25.5">
      <c r="A272" s="34"/>
      <c r="B272" s="3" t="s">
        <v>344</v>
      </c>
      <c r="C272" s="68"/>
      <c r="D272" s="35"/>
      <c r="E272" s="36"/>
      <c r="F272" s="36"/>
    </row>
    <row r="273" spans="1:6" s="2" customFormat="1" ht="15">
      <c r="A273" s="34"/>
      <c r="B273" s="3" t="s">
        <v>240</v>
      </c>
      <c r="C273" s="68"/>
      <c r="D273" s="35"/>
      <c r="E273" s="36"/>
      <c r="F273" s="36"/>
    </row>
    <row r="274" spans="1:6" s="2" customFormat="1" ht="15">
      <c r="A274" s="34"/>
      <c r="B274" s="3" t="s">
        <v>135</v>
      </c>
      <c r="C274" s="68"/>
      <c r="D274" s="35"/>
      <c r="E274" s="36"/>
      <c r="F274" s="36"/>
    </row>
    <row r="275" spans="1:6" s="2" customFormat="1" ht="15">
      <c r="A275" s="34"/>
      <c r="B275" s="3" t="s">
        <v>241</v>
      </c>
      <c r="C275" s="68"/>
      <c r="D275" s="35"/>
      <c r="E275" s="36"/>
      <c r="F275" s="36"/>
    </row>
    <row r="276" spans="1:6" s="2" customFormat="1" ht="15">
      <c r="A276" s="34"/>
      <c r="B276" s="3"/>
      <c r="C276" s="68"/>
      <c r="D276" s="35"/>
      <c r="E276" s="36"/>
      <c r="F276" s="36"/>
    </row>
    <row r="277" spans="1:6" s="2" customFormat="1" ht="15">
      <c r="A277" s="34"/>
      <c r="B277" s="3" t="s">
        <v>242</v>
      </c>
      <c r="C277" s="68"/>
      <c r="D277" s="35"/>
      <c r="E277" s="36"/>
      <c r="F277" s="36"/>
    </row>
    <row r="278" spans="1:6" s="2" customFormat="1" ht="15">
      <c r="A278" s="34"/>
      <c r="B278" s="3"/>
      <c r="C278" s="68"/>
      <c r="D278" s="35"/>
      <c r="E278" s="36"/>
      <c r="F278" s="36"/>
    </row>
    <row r="279" spans="1:6" s="2" customFormat="1" ht="15">
      <c r="A279" s="34"/>
      <c r="B279" s="3" t="s">
        <v>243</v>
      </c>
      <c r="C279" s="68"/>
      <c r="D279" s="35"/>
      <c r="E279" s="36"/>
      <c r="F279" s="36"/>
    </row>
    <row r="280" spans="1:6" s="2" customFormat="1" ht="15">
      <c r="A280" s="34"/>
      <c r="B280" s="3" t="s">
        <v>135</v>
      </c>
      <c r="C280" s="68"/>
      <c r="D280" s="35"/>
      <c r="E280" s="36"/>
      <c r="F280" s="36"/>
    </row>
    <row r="281" spans="1:6" s="2" customFormat="1" ht="76.5">
      <c r="A281" s="34"/>
      <c r="B281" s="3" t="s">
        <v>244</v>
      </c>
      <c r="C281" s="68"/>
      <c r="D281" s="35"/>
      <c r="E281" s="36"/>
      <c r="F281" s="36"/>
    </row>
    <row r="282" spans="1:6" s="2" customFormat="1" ht="102">
      <c r="A282" s="34"/>
      <c r="B282" s="3" t="s">
        <v>245</v>
      </c>
      <c r="C282" s="68"/>
      <c r="D282" s="35"/>
      <c r="E282" s="36"/>
      <c r="F282" s="36"/>
    </row>
    <row r="283" spans="1:6" s="2" customFormat="1" ht="15">
      <c r="A283" s="34"/>
      <c r="B283" s="7"/>
      <c r="C283" s="68"/>
      <c r="D283" s="35"/>
      <c r="E283" s="36"/>
      <c r="F283" s="36"/>
    </row>
    <row r="284" spans="1:6" s="2" customFormat="1" ht="15">
      <c r="A284" s="34"/>
      <c r="B284" s="3" t="s">
        <v>246</v>
      </c>
      <c r="C284" s="68"/>
      <c r="D284" s="35"/>
      <c r="E284" s="36"/>
      <c r="F284" s="36"/>
    </row>
    <row r="285" spans="1:6" s="2" customFormat="1" ht="51">
      <c r="A285" s="34"/>
      <c r="B285" s="3" t="s">
        <v>342</v>
      </c>
      <c r="C285" s="68"/>
      <c r="D285" s="35"/>
      <c r="E285" s="36"/>
      <c r="F285" s="36"/>
    </row>
    <row r="286" spans="1:6" s="2" customFormat="1" ht="25.5">
      <c r="A286" s="34"/>
      <c r="B286" s="3" t="s">
        <v>350</v>
      </c>
      <c r="C286" s="68"/>
      <c r="D286" s="35"/>
      <c r="E286" s="36"/>
      <c r="F286" s="36"/>
    </row>
    <row r="287" spans="1:6" s="2" customFormat="1" ht="25.5">
      <c r="A287" s="34"/>
      <c r="B287" s="3" t="s">
        <v>247</v>
      </c>
      <c r="C287" s="68"/>
      <c r="D287" s="35"/>
      <c r="E287" s="36"/>
      <c r="F287" s="36"/>
    </row>
    <row r="288" spans="1:6" s="2" customFormat="1" ht="15">
      <c r="A288" s="34"/>
      <c r="B288" s="3" t="s">
        <v>248</v>
      </c>
      <c r="C288" s="68"/>
      <c r="D288" s="35"/>
      <c r="E288" s="36"/>
      <c r="F288" s="36"/>
    </row>
    <row r="289" spans="1:6" s="2" customFormat="1" ht="15">
      <c r="A289" s="34"/>
      <c r="B289" s="3" t="s">
        <v>249</v>
      </c>
      <c r="C289" s="68"/>
      <c r="D289" s="35"/>
      <c r="E289" s="36"/>
      <c r="F289" s="36"/>
    </row>
    <row r="290" spans="1:6" s="2" customFormat="1" ht="15">
      <c r="A290" s="34"/>
      <c r="B290" s="3" t="s">
        <v>250</v>
      </c>
      <c r="C290" s="68"/>
      <c r="D290" s="35"/>
      <c r="E290" s="36"/>
      <c r="F290" s="36"/>
    </row>
    <row r="291" spans="1:6" s="2" customFormat="1" ht="15">
      <c r="A291" s="34"/>
      <c r="B291" s="3" t="s">
        <v>251</v>
      </c>
      <c r="C291" s="68"/>
      <c r="D291" s="35"/>
      <c r="E291" s="36"/>
      <c r="F291" s="36"/>
    </row>
    <row r="292" spans="1:6" s="2" customFormat="1" ht="15">
      <c r="A292" s="34"/>
      <c r="B292" s="3" t="s">
        <v>252</v>
      </c>
      <c r="C292" s="68"/>
      <c r="D292" s="35"/>
      <c r="E292" s="36"/>
      <c r="F292" s="36"/>
    </row>
    <row r="293" spans="1:6" s="2" customFormat="1" ht="15">
      <c r="A293" s="34"/>
      <c r="B293" s="3" t="s">
        <v>253</v>
      </c>
      <c r="C293" s="68"/>
      <c r="D293" s="35"/>
      <c r="E293" s="36"/>
      <c r="F293" s="36"/>
    </row>
    <row r="294" spans="1:6" s="2" customFormat="1" ht="15">
      <c r="A294" s="34"/>
      <c r="B294" s="3" t="s">
        <v>254</v>
      </c>
      <c r="C294" s="68"/>
      <c r="D294" s="35"/>
      <c r="E294" s="36"/>
      <c r="F294" s="36"/>
    </row>
    <row r="295" spans="1:6" s="2" customFormat="1" ht="25.5">
      <c r="A295" s="34"/>
      <c r="B295" s="3" t="s">
        <v>255</v>
      </c>
      <c r="C295" s="68"/>
      <c r="D295" s="35"/>
      <c r="E295" s="36"/>
      <c r="F295" s="36"/>
    </row>
    <row r="296" spans="1:6" s="2" customFormat="1" ht="51">
      <c r="A296" s="34"/>
      <c r="B296" s="3" t="s">
        <v>256</v>
      </c>
      <c r="C296" s="68"/>
      <c r="D296" s="35"/>
      <c r="E296" s="36"/>
      <c r="F296" s="36"/>
    </row>
    <row r="297" spans="1:6" s="2" customFormat="1" ht="38.25">
      <c r="A297" s="34"/>
      <c r="B297" s="3" t="s">
        <v>257</v>
      </c>
      <c r="C297" s="68"/>
      <c r="D297" s="35"/>
      <c r="E297" s="36"/>
      <c r="F297" s="36"/>
    </row>
    <row r="298" spans="1:6" s="2" customFormat="1" ht="38.25">
      <c r="A298" s="34"/>
      <c r="B298" s="3" t="s">
        <v>258</v>
      </c>
      <c r="C298" s="68"/>
      <c r="D298" s="35"/>
      <c r="E298" s="36"/>
      <c r="F298" s="36"/>
    </row>
    <row r="299" spans="1:6" s="2" customFormat="1" ht="38.25">
      <c r="A299" s="34"/>
      <c r="B299" s="3" t="s">
        <v>259</v>
      </c>
      <c r="C299" s="68"/>
      <c r="D299" s="35"/>
      <c r="E299" s="36"/>
      <c r="F299" s="36"/>
    </row>
    <row r="300" spans="1:6" s="2" customFormat="1" ht="15">
      <c r="A300" s="34"/>
      <c r="B300" s="3" t="s">
        <v>260</v>
      </c>
      <c r="C300" s="68"/>
      <c r="D300" s="35"/>
      <c r="E300" s="36"/>
      <c r="F300" s="36"/>
    </row>
    <row r="301" spans="1:6" s="2" customFormat="1" ht="25.5">
      <c r="A301" s="34"/>
      <c r="B301" s="3" t="s">
        <v>261</v>
      </c>
      <c r="C301" s="68"/>
      <c r="D301" s="35"/>
      <c r="E301" s="36"/>
      <c r="F301" s="36"/>
    </row>
    <row r="302" spans="1:6" s="2" customFormat="1" ht="15">
      <c r="A302" s="34"/>
      <c r="B302" s="7"/>
      <c r="C302" s="68"/>
      <c r="D302" s="35"/>
      <c r="E302" s="36"/>
      <c r="F302" s="36"/>
    </row>
    <row r="303" spans="1:6" s="2" customFormat="1" ht="15">
      <c r="A303" s="34"/>
      <c r="B303" s="3" t="s">
        <v>262</v>
      </c>
      <c r="C303" s="68"/>
      <c r="D303" s="35"/>
      <c r="E303" s="36"/>
      <c r="F303" s="36"/>
    </row>
    <row r="304" spans="1:6" s="2" customFormat="1" ht="51">
      <c r="A304" s="34"/>
      <c r="B304" s="3" t="s">
        <v>343</v>
      </c>
      <c r="C304" s="68"/>
      <c r="D304" s="35"/>
      <c r="E304" s="36"/>
      <c r="F304" s="36"/>
    </row>
    <row r="305" spans="1:6" s="2" customFormat="1" ht="15">
      <c r="A305" s="34"/>
      <c r="B305" s="3" t="s">
        <v>263</v>
      </c>
      <c r="C305" s="68"/>
      <c r="D305" s="35"/>
      <c r="E305" s="36"/>
      <c r="F305" s="36"/>
    </row>
    <row r="306" spans="1:6" s="2" customFormat="1" ht="38.25">
      <c r="A306" s="34"/>
      <c r="B306" s="3" t="s">
        <v>264</v>
      </c>
      <c r="C306" s="68"/>
      <c r="D306" s="35"/>
      <c r="E306" s="36"/>
      <c r="F306" s="36"/>
    </row>
    <row r="307" spans="1:6" s="2" customFormat="1" ht="15">
      <c r="A307" s="34"/>
      <c r="B307" s="3" t="s">
        <v>135</v>
      </c>
      <c r="C307" s="68"/>
      <c r="D307" s="35"/>
      <c r="E307" s="36"/>
      <c r="F307" s="36"/>
    </row>
    <row r="308" spans="1:6" s="2" customFormat="1" ht="38.25">
      <c r="A308" s="34"/>
      <c r="B308" s="3" t="s">
        <v>265</v>
      </c>
      <c r="C308" s="68"/>
      <c r="D308" s="35"/>
      <c r="E308" s="36"/>
      <c r="F308" s="36"/>
    </row>
    <row r="309" spans="1:6" s="2" customFormat="1" ht="15">
      <c r="A309" s="34"/>
      <c r="B309" s="3" t="s">
        <v>135</v>
      </c>
      <c r="C309" s="68"/>
      <c r="D309" s="35"/>
      <c r="E309" s="36"/>
      <c r="F309" s="36"/>
    </row>
    <row r="310" spans="1:6" s="2" customFormat="1" ht="38.25">
      <c r="A310" s="34"/>
      <c r="B310" s="3" t="s">
        <v>266</v>
      </c>
      <c r="C310" s="68"/>
      <c r="D310" s="35"/>
      <c r="E310" s="36"/>
      <c r="F310" s="36"/>
    </row>
    <row r="311" spans="1:6" s="2" customFormat="1" ht="15">
      <c r="A311" s="34"/>
      <c r="B311" s="3" t="s">
        <v>135</v>
      </c>
      <c r="C311" s="68"/>
      <c r="D311" s="35"/>
      <c r="E311" s="36"/>
      <c r="F311" s="36"/>
    </row>
    <row r="312" spans="1:6" s="2" customFormat="1" ht="38.25">
      <c r="A312" s="34"/>
      <c r="B312" s="3" t="s">
        <v>267</v>
      </c>
      <c r="C312" s="68"/>
      <c r="D312" s="35"/>
      <c r="E312" s="36"/>
      <c r="F312" s="36"/>
    </row>
    <row r="313" spans="1:6" s="2" customFormat="1" ht="15">
      <c r="A313" s="34"/>
      <c r="B313" s="3" t="s">
        <v>268</v>
      </c>
      <c r="C313" s="68"/>
      <c r="D313" s="35"/>
      <c r="E313" s="36"/>
      <c r="F313" s="36"/>
    </row>
    <row r="314" spans="1:6" s="2" customFormat="1" ht="15">
      <c r="A314" s="34"/>
      <c r="B314" s="3" t="s">
        <v>269</v>
      </c>
      <c r="C314" s="68"/>
      <c r="D314" s="35"/>
      <c r="E314" s="36"/>
      <c r="F314" s="36"/>
    </row>
    <row r="315" spans="1:6" s="2" customFormat="1" ht="15">
      <c r="A315" s="34"/>
      <c r="B315" s="3" t="s">
        <v>270</v>
      </c>
      <c r="C315" s="68"/>
      <c r="D315" s="35"/>
      <c r="E315" s="36"/>
      <c r="F315" s="36"/>
    </row>
    <row r="316" spans="1:6" s="2" customFormat="1" ht="15">
      <c r="A316" s="34"/>
      <c r="B316" s="3" t="s">
        <v>271</v>
      </c>
      <c r="C316" s="68"/>
      <c r="D316" s="35"/>
      <c r="E316" s="36"/>
      <c r="F316" s="36"/>
    </row>
    <row r="317" spans="1:6" s="2" customFormat="1" ht="89.25">
      <c r="A317" s="34"/>
      <c r="B317" s="3" t="s">
        <v>272</v>
      </c>
      <c r="C317" s="68"/>
      <c r="D317" s="35"/>
      <c r="E317" s="36"/>
      <c r="F317" s="36"/>
    </row>
    <row r="318" spans="1:6" s="2" customFormat="1" ht="51">
      <c r="A318" s="34"/>
      <c r="B318" s="3" t="s">
        <v>273</v>
      </c>
      <c r="C318" s="68"/>
      <c r="D318" s="35"/>
      <c r="E318" s="36"/>
      <c r="F318" s="36"/>
    </row>
    <row r="319" spans="1:6" s="2" customFormat="1" ht="25.5">
      <c r="A319" s="34"/>
      <c r="B319" s="3" t="s">
        <v>274</v>
      </c>
      <c r="C319" s="68"/>
      <c r="D319" s="35"/>
      <c r="E319" s="36"/>
      <c r="F319" s="36"/>
    </row>
    <row r="320" spans="1:6" s="2" customFormat="1" ht="38.25">
      <c r="A320" s="34"/>
      <c r="B320" s="3" t="s">
        <v>275</v>
      </c>
      <c r="C320" s="68"/>
      <c r="D320" s="35"/>
      <c r="E320" s="36"/>
      <c r="F320" s="36"/>
    </row>
    <row r="321" spans="1:6" s="2" customFormat="1" ht="15">
      <c r="A321" s="34"/>
      <c r="B321" s="3" t="s">
        <v>276</v>
      </c>
      <c r="C321" s="68"/>
      <c r="D321" s="35"/>
      <c r="E321" s="36"/>
      <c r="F321" s="36"/>
    </row>
    <row r="322" spans="1:6" s="2" customFormat="1" ht="51">
      <c r="A322" s="34"/>
      <c r="B322" s="3" t="s">
        <v>277</v>
      </c>
      <c r="C322" s="68"/>
      <c r="D322" s="35"/>
      <c r="E322" s="36"/>
      <c r="F322" s="36"/>
    </row>
    <row r="323" spans="1:6" s="2" customFormat="1" ht="63.75">
      <c r="A323" s="34"/>
      <c r="B323" s="3" t="s">
        <v>278</v>
      </c>
      <c r="C323" s="68"/>
      <c r="D323" s="35"/>
      <c r="E323" s="36"/>
      <c r="F323" s="36"/>
    </row>
    <row r="324" spans="1:6" s="2" customFormat="1" ht="15">
      <c r="A324" s="34"/>
      <c r="B324" s="3" t="s">
        <v>260</v>
      </c>
      <c r="C324" s="68"/>
      <c r="D324" s="35"/>
      <c r="E324" s="36"/>
      <c r="F324" s="36"/>
    </row>
    <row r="325" spans="1:6" s="2" customFormat="1" ht="25.5">
      <c r="A325" s="34"/>
      <c r="B325" s="3" t="s">
        <v>351</v>
      </c>
      <c r="C325" s="68"/>
      <c r="D325" s="35"/>
      <c r="E325" s="36"/>
      <c r="F325" s="36"/>
    </row>
    <row r="326" spans="1:6" s="2" customFormat="1" ht="15">
      <c r="A326" s="34"/>
      <c r="B326" s="7"/>
      <c r="C326" s="68"/>
      <c r="D326" s="35"/>
      <c r="E326" s="36"/>
      <c r="F326" s="36"/>
    </row>
    <row r="327" spans="1:6" s="2" customFormat="1" ht="15">
      <c r="A327" s="34"/>
      <c r="B327" s="3" t="s">
        <v>279</v>
      </c>
      <c r="C327" s="68"/>
      <c r="D327" s="35"/>
      <c r="E327" s="36"/>
      <c r="F327" s="36"/>
    </row>
    <row r="328" spans="1:6" s="2" customFormat="1" ht="76.5">
      <c r="A328" s="34"/>
      <c r="B328" s="3" t="s">
        <v>280</v>
      </c>
      <c r="C328" s="68"/>
      <c r="D328" s="35"/>
      <c r="E328" s="36"/>
      <c r="F328" s="36"/>
    </row>
    <row r="329" spans="1:6" s="2" customFormat="1" ht="25.5">
      <c r="A329" s="34"/>
      <c r="B329" s="3" t="s">
        <v>281</v>
      </c>
      <c r="C329" s="68"/>
      <c r="D329" s="35"/>
      <c r="E329" s="36"/>
      <c r="F329" s="36"/>
    </row>
    <row r="330" spans="1:6" s="2" customFormat="1" ht="25.5">
      <c r="A330" s="34"/>
      <c r="B330" s="3" t="s">
        <v>282</v>
      </c>
      <c r="C330" s="68"/>
      <c r="D330" s="35"/>
      <c r="E330" s="36"/>
      <c r="F330" s="36"/>
    </row>
    <row r="331" spans="1:6" s="2" customFormat="1" ht="25.5">
      <c r="A331" s="34"/>
      <c r="B331" s="3" t="s">
        <v>283</v>
      </c>
      <c r="C331" s="68"/>
      <c r="D331" s="35"/>
      <c r="E331" s="36"/>
      <c r="F331" s="36"/>
    </row>
    <row r="332" spans="1:6" s="2" customFormat="1" ht="38.25">
      <c r="A332" s="34"/>
      <c r="B332" s="3" t="s">
        <v>284</v>
      </c>
      <c r="C332" s="68"/>
      <c r="D332" s="35"/>
      <c r="E332" s="36"/>
      <c r="F332" s="36"/>
    </row>
    <row r="333" spans="1:6" s="2" customFormat="1" ht="38.25">
      <c r="A333" s="34"/>
      <c r="B333" s="3" t="s">
        <v>285</v>
      </c>
      <c r="C333" s="68"/>
      <c r="D333" s="35"/>
      <c r="E333" s="36"/>
      <c r="F333" s="36"/>
    </row>
    <row r="334" spans="1:6" s="2" customFormat="1" ht="204">
      <c r="A334" s="34"/>
      <c r="B334" s="3" t="s">
        <v>286</v>
      </c>
      <c r="C334" s="68"/>
      <c r="D334" s="35"/>
      <c r="E334" s="36"/>
      <c r="F334" s="36"/>
    </row>
    <row r="335" spans="1:6" s="2" customFormat="1" ht="89.25">
      <c r="A335" s="34"/>
      <c r="B335" s="3" t="s">
        <v>287</v>
      </c>
      <c r="C335" s="68"/>
      <c r="D335" s="35"/>
      <c r="E335" s="36"/>
      <c r="F335" s="36"/>
    </row>
    <row r="336" spans="1:6" s="2" customFormat="1" ht="25.5">
      <c r="A336" s="34"/>
      <c r="B336" s="3" t="s">
        <v>288</v>
      </c>
      <c r="C336" s="68"/>
      <c r="D336" s="35"/>
      <c r="E336" s="36"/>
      <c r="F336" s="36"/>
    </row>
    <row r="337" spans="1:6" s="2" customFormat="1" ht="25.5">
      <c r="A337" s="34"/>
      <c r="B337" s="3" t="s">
        <v>289</v>
      </c>
      <c r="C337" s="68"/>
      <c r="D337" s="35"/>
      <c r="E337" s="36"/>
      <c r="F337" s="36"/>
    </row>
    <row r="338" spans="1:6" s="2" customFormat="1" ht="15">
      <c r="A338" s="34"/>
      <c r="B338" s="3" t="s">
        <v>290</v>
      </c>
      <c r="C338" s="68"/>
      <c r="D338" s="35"/>
      <c r="E338" s="36"/>
      <c r="F338" s="36"/>
    </row>
    <row r="339" spans="1:6" s="2" customFormat="1" ht="25.5">
      <c r="A339" s="34"/>
      <c r="B339" s="3" t="s">
        <v>291</v>
      </c>
      <c r="C339" s="68"/>
      <c r="D339" s="35"/>
      <c r="E339" s="36"/>
      <c r="F339" s="36"/>
    </row>
    <row r="340" spans="1:6" s="2" customFormat="1" ht="15">
      <c r="A340" s="34"/>
      <c r="B340" s="3" t="s">
        <v>292</v>
      </c>
      <c r="C340" s="68"/>
      <c r="D340" s="35"/>
      <c r="E340" s="36"/>
      <c r="F340" s="36"/>
    </row>
    <row r="341" spans="1:6" s="2" customFormat="1" ht="38.25">
      <c r="A341" s="34"/>
      <c r="B341" s="3" t="s">
        <v>293</v>
      </c>
      <c r="C341" s="68"/>
      <c r="D341" s="35"/>
      <c r="E341" s="36"/>
      <c r="F341" s="36"/>
    </row>
    <row r="342" spans="1:6" s="2" customFormat="1" ht="15">
      <c r="A342" s="34"/>
      <c r="B342" s="3" t="s">
        <v>294</v>
      </c>
      <c r="C342" s="68"/>
      <c r="D342" s="35"/>
      <c r="E342" s="36"/>
      <c r="F342" s="36"/>
    </row>
    <row r="343" spans="1:6" s="2" customFormat="1" ht="38.25">
      <c r="A343" s="34"/>
      <c r="B343" s="3" t="s">
        <v>295</v>
      </c>
      <c r="C343" s="68"/>
      <c r="D343" s="35"/>
      <c r="E343" s="36"/>
      <c r="F343" s="36"/>
    </row>
    <row r="344" spans="1:6" s="2" customFormat="1" ht="15">
      <c r="A344" s="34"/>
      <c r="B344" s="3" t="s">
        <v>296</v>
      </c>
      <c r="C344" s="68"/>
      <c r="D344" s="35"/>
      <c r="E344" s="36"/>
      <c r="F344" s="36"/>
    </row>
    <row r="345" spans="1:6" s="2" customFormat="1" ht="25.5">
      <c r="A345" s="34"/>
      <c r="B345" s="3" t="s">
        <v>297</v>
      </c>
      <c r="C345" s="68"/>
      <c r="D345" s="35"/>
      <c r="E345" s="36"/>
      <c r="F345" s="36"/>
    </row>
    <row r="346" spans="1:6" s="2" customFormat="1" ht="51">
      <c r="A346" s="34"/>
      <c r="B346" s="3" t="s">
        <v>298</v>
      </c>
      <c r="C346" s="68"/>
      <c r="D346" s="35"/>
      <c r="E346" s="36"/>
      <c r="F346" s="36"/>
    </row>
    <row r="347" spans="1:6" s="2" customFormat="1" ht="89.25">
      <c r="A347" s="34"/>
      <c r="B347" s="3" t="s">
        <v>299</v>
      </c>
      <c r="C347" s="68"/>
      <c r="D347" s="35"/>
      <c r="E347" s="36"/>
      <c r="F347" s="36"/>
    </row>
    <row r="348" spans="1:6" s="2" customFormat="1" ht="51">
      <c r="A348" s="34"/>
      <c r="B348" s="3" t="s">
        <v>300</v>
      </c>
      <c r="C348" s="68"/>
      <c r="D348" s="35"/>
      <c r="E348" s="36"/>
      <c r="F348" s="36"/>
    </row>
    <row r="349" spans="1:6" s="2" customFormat="1" ht="25.5">
      <c r="A349" s="34"/>
      <c r="B349" s="3" t="s">
        <v>301</v>
      </c>
      <c r="C349" s="68"/>
      <c r="D349" s="35"/>
      <c r="E349" s="36"/>
      <c r="F349" s="36"/>
    </row>
    <row r="350" spans="1:6" s="2" customFormat="1" ht="38.25">
      <c r="A350" s="34"/>
      <c r="B350" s="3" t="s">
        <v>302</v>
      </c>
      <c r="C350" s="68"/>
      <c r="D350" s="35"/>
      <c r="E350" s="36"/>
      <c r="F350" s="36"/>
    </row>
    <row r="351" spans="1:6" s="4" customFormat="1">
      <c r="A351" s="10"/>
      <c r="B351" s="5"/>
      <c r="C351" s="67"/>
      <c r="D351" s="28"/>
      <c r="E351" s="12"/>
      <c r="F351" s="9"/>
    </row>
    <row r="352" spans="1:6" s="4" customFormat="1">
      <c r="A352" s="10"/>
      <c r="B352" s="5"/>
      <c r="C352" s="67"/>
      <c r="D352" s="28"/>
      <c r="E352" s="12"/>
      <c r="F352" s="9"/>
    </row>
    <row r="353" spans="1:6" s="4" customFormat="1">
      <c r="A353" s="32" t="s">
        <v>378</v>
      </c>
      <c r="B353" s="33" t="s">
        <v>379</v>
      </c>
      <c r="C353" s="67"/>
      <c r="D353" s="28"/>
      <c r="E353" s="12"/>
      <c r="F353" s="9"/>
    </row>
    <row r="354" spans="1:6" s="4" customFormat="1">
      <c r="A354" s="10"/>
      <c r="B354" s="5"/>
      <c r="C354" s="67"/>
      <c r="D354" s="28"/>
      <c r="E354" s="12"/>
      <c r="F354" s="9"/>
    </row>
    <row r="355" spans="1:6" s="4" customFormat="1" ht="25.5">
      <c r="A355" s="20"/>
      <c r="B355" s="5" t="s">
        <v>380</v>
      </c>
      <c r="C355" s="67"/>
      <c r="D355" s="28"/>
      <c r="E355" s="12"/>
      <c r="F355" s="9"/>
    </row>
    <row r="356" spans="1:6" s="4" customFormat="1">
      <c r="A356" s="10"/>
      <c r="B356" s="5"/>
      <c r="C356" s="67"/>
      <c r="D356" s="28"/>
      <c r="E356" s="12"/>
      <c r="F356" s="9"/>
    </row>
    <row r="357" spans="1:6" s="4" customFormat="1">
      <c r="A357" s="10"/>
      <c r="B357" s="5"/>
      <c r="C357" s="67"/>
      <c r="D357" s="28"/>
      <c r="E357" s="12"/>
      <c r="F357" s="9"/>
    </row>
    <row r="358" spans="1:6" s="4" customFormat="1" ht="38.25">
      <c r="A358" s="10" t="s">
        <v>353</v>
      </c>
      <c r="B358" s="69" t="s">
        <v>381</v>
      </c>
      <c r="C358" s="67"/>
      <c r="D358" s="28"/>
      <c r="E358" s="12"/>
      <c r="F358" s="9"/>
    </row>
    <row r="359" spans="1:6" s="4" customFormat="1" ht="38.25">
      <c r="A359" s="10" t="s">
        <v>376</v>
      </c>
      <c r="B359" s="69" t="s">
        <v>382</v>
      </c>
      <c r="C359" s="67"/>
      <c r="D359" s="28"/>
      <c r="E359" s="12"/>
      <c r="F359" s="9"/>
    </row>
    <row r="360" spans="1:6" s="3" customFormat="1" ht="25.5">
      <c r="A360" s="10" t="s">
        <v>383</v>
      </c>
      <c r="B360" s="54" t="s">
        <v>384</v>
      </c>
      <c r="C360" s="146"/>
      <c r="D360" s="74"/>
      <c r="E360" s="75"/>
      <c r="F360" s="123"/>
    </row>
    <row r="361" spans="1:6" s="3" customFormat="1" ht="25.5">
      <c r="A361" s="10" t="s">
        <v>385</v>
      </c>
      <c r="B361" s="54" t="s">
        <v>386</v>
      </c>
      <c r="C361" s="147"/>
      <c r="D361" s="76"/>
      <c r="E361" s="75"/>
      <c r="F361" s="123"/>
    </row>
    <row r="362" spans="1:6" s="3" customFormat="1" ht="89.25">
      <c r="A362" s="10" t="s">
        <v>387</v>
      </c>
      <c r="B362" s="54" t="s">
        <v>388</v>
      </c>
      <c r="C362" s="148"/>
      <c r="D362" s="77"/>
      <c r="E362" s="78"/>
      <c r="F362" s="124"/>
    </row>
    <row r="363" spans="1:6" s="3" customFormat="1" ht="38.25">
      <c r="A363" s="10" t="s">
        <v>389</v>
      </c>
      <c r="B363" s="54" t="s">
        <v>390</v>
      </c>
      <c r="C363" s="148"/>
      <c r="D363" s="77"/>
      <c r="E363" s="78"/>
      <c r="F363" s="124"/>
    </row>
    <row r="364" spans="1:6" s="3" customFormat="1" ht="51">
      <c r="A364" s="10" t="s">
        <v>391</v>
      </c>
      <c r="B364" s="54" t="s">
        <v>392</v>
      </c>
      <c r="C364" s="147"/>
      <c r="D364" s="76"/>
      <c r="E364" s="75"/>
      <c r="F364" s="123"/>
    </row>
    <row r="365" spans="1:6" s="3" customFormat="1" ht="25.5">
      <c r="A365" s="10" t="s">
        <v>393</v>
      </c>
      <c r="B365" s="54" t="s">
        <v>394</v>
      </c>
      <c r="C365" s="147"/>
      <c r="D365" s="76"/>
      <c r="E365" s="75"/>
      <c r="F365" s="123"/>
    </row>
    <row r="366" spans="1:6" s="3" customFormat="1" ht="38.25">
      <c r="A366" s="10" t="s">
        <v>377</v>
      </c>
      <c r="B366" s="54" t="s">
        <v>395</v>
      </c>
      <c r="C366" s="147"/>
      <c r="D366" s="76"/>
      <c r="E366" s="75"/>
      <c r="F366" s="123"/>
    </row>
    <row r="367" spans="1:6" s="3" customFormat="1" ht="38.25">
      <c r="A367" s="10" t="s">
        <v>396</v>
      </c>
      <c r="B367" s="54" t="s">
        <v>397</v>
      </c>
      <c r="C367" s="147"/>
      <c r="D367" s="76"/>
      <c r="E367" s="75"/>
      <c r="F367" s="123"/>
    </row>
    <row r="368" spans="1:6" s="3" customFormat="1" ht="25.5">
      <c r="A368" s="10" t="s">
        <v>398</v>
      </c>
      <c r="B368" s="54" t="s">
        <v>399</v>
      </c>
      <c r="C368" s="147"/>
      <c r="D368" s="76"/>
      <c r="E368" s="75"/>
      <c r="F368" s="123"/>
    </row>
    <row r="369" spans="1:6" s="3" customFormat="1" ht="38.25">
      <c r="A369" s="10" t="s">
        <v>400</v>
      </c>
      <c r="B369" s="54" t="s">
        <v>401</v>
      </c>
      <c r="C369" s="147"/>
      <c r="D369" s="76"/>
      <c r="E369" s="75"/>
      <c r="F369" s="123"/>
    </row>
    <row r="370" spans="1:6" s="3" customFormat="1" ht="25.5">
      <c r="A370" s="10" t="s">
        <v>402</v>
      </c>
      <c r="B370" s="54" t="s">
        <v>403</v>
      </c>
      <c r="C370" s="147"/>
      <c r="D370" s="76"/>
      <c r="E370" s="75"/>
      <c r="F370" s="123"/>
    </row>
    <row r="371" spans="1:6" s="3" customFormat="1" ht="51">
      <c r="A371" s="10" t="s">
        <v>404</v>
      </c>
      <c r="B371" s="54" t="s">
        <v>405</v>
      </c>
      <c r="C371" s="147"/>
      <c r="D371" s="76"/>
      <c r="E371" s="75"/>
      <c r="F371" s="123"/>
    </row>
    <row r="372" spans="1:6" s="3" customFormat="1" ht="25.5">
      <c r="A372" s="10" t="s">
        <v>406</v>
      </c>
      <c r="B372" s="54" t="s">
        <v>407</v>
      </c>
      <c r="C372" s="147"/>
      <c r="D372" s="76"/>
      <c r="E372" s="75"/>
      <c r="F372" s="123"/>
    </row>
    <row r="373" spans="1:6" s="3" customFormat="1" ht="38.25">
      <c r="A373" s="10" t="s">
        <v>408</v>
      </c>
      <c r="B373" s="54" t="s">
        <v>409</v>
      </c>
      <c r="C373" s="147"/>
      <c r="D373" s="76"/>
      <c r="E373" s="75"/>
      <c r="F373" s="123"/>
    </row>
    <row r="374" spans="1:6" s="3" customFormat="1" ht="25.5">
      <c r="A374" s="10" t="s">
        <v>410</v>
      </c>
      <c r="B374" s="54" t="s">
        <v>411</v>
      </c>
      <c r="C374" s="147"/>
      <c r="D374" s="76"/>
      <c r="E374" s="75"/>
      <c r="F374" s="123"/>
    </row>
    <row r="375" spans="1:6" s="3" customFormat="1" ht="25.5">
      <c r="A375" s="10" t="s">
        <v>412</v>
      </c>
      <c r="B375" s="54" t="s">
        <v>413</v>
      </c>
      <c r="C375" s="147"/>
      <c r="D375" s="76"/>
      <c r="E375" s="75"/>
      <c r="F375" s="123"/>
    </row>
    <row r="376" spans="1:6" s="3" customFormat="1" ht="51">
      <c r="A376" s="10"/>
      <c r="B376" s="54" t="s">
        <v>414</v>
      </c>
      <c r="C376" s="147"/>
      <c r="D376" s="76"/>
      <c r="E376" s="75"/>
      <c r="F376" s="123"/>
    </row>
    <row r="377" spans="1:6" s="3" customFormat="1">
      <c r="A377" s="10"/>
      <c r="B377" s="54" t="s">
        <v>415</v>
      </c>
      <c r="C377" s="147"/>
      <c r="D377" s="76"/>
      <c r="E377" s="75"/>
      <c r="F377" s="123"/>
    </row>
    <row r="378" spans="1:6" s="3" customFormat="1">
      <c r="A378" s="10"/>
      <c r="B378" s="54"/>
      <c r="C378" s="147"/>
      <c r="D378" s="76"/>
      <c r="E378" s="75"/>
      <c r="F378" s="123"/>
    </row>
    <row r="379" spans="1:6" s="3" customFormat="1">
      <c r="A379" s="10"/>
      <c r="B379" s="54" t="s">
        <v>416</v>
      </c>
      <c r="C379" s="147"/>
      <c r="D379" s="76"/>
      <c r="E379" s="75"/>
      <c r="F379" s="123"/>
    </row>
    <row r="380" spans="1:6" s="3" customFormat="1" ht="89.25">
      <c r="A380" s="10" t="s">
        <v>353</v>
      </c>
      <c r="B380" s="54" t="s">
        <v>417</v>
      </c>
      <c r="C380" s="147"/>
      <c r="D380" s="76"/>
      <c r="E380" s="75"/>
      <c r="F380" s="123"/>
    </row>
    <row r="381" spans="1:6" s="3" customFormat="1">
      <c r="A381" s="10" t="s">
        <v>376</v>
      </c>
      <c r="B381" s="54" t="s">
        <v>418</v>
      </c>
      <c r="C381" s="147"/>
      <c r="D381" s="76"/>
      <c r="E381" s="75"/>
      <c r="F381" s="123"/>
    </row>
    <row r="382" spans="1:6" s="3" customFormat="1">
      <c r="A382" s="10" t="s">
        <v>383</v>
      </c>
      <c r="B382" s="54" t="s">
        <v>419</v>
      </c>
      <c r="C382" s="147"/>
      <c r="D382" s="76"/>
      <c r="E382" s="75"/>
      <c r="F382" s="123"/>
    </row>
    <row r="383" spans="1:6" s="3" customFormat="1">
      <c r="A383" s="10" t="s">
        <v>385</v>
      </c>
      <c r="B383" s="54" t="s">
        <v>420</v>
      </c>
      <c r="C383" s="147"/>
      <c r="D383" s="76"/>
      <c r="E383" s="75"/>
      <c r="F383" s="123"/>
    </row>
    <row r="384" spans="1:6" s="3" customFormat="1">
      <c r="A384" s="10" t="s">
        <v>387</v>
      </c>
      <c r="B384" s="54" t="s">
        <v>421</v>
      </c>
      <c r="C384" s="147"/>
      <c r="D384" s="76"/>
      <c r="E384" s="75"/>
      <c r="F384" s="123"/>
    </row>
    <row r="385" spans="1:6" s="3" customFormat="1">
      <c r="A385" s="10" t="s">
        <v>389</v>
      </c>
      <c r="B385" s="54" t="s">
        <v>422</v>
      </c>
      <c r="C385" s="147"/>
      <c r="D385" s="76"/>
      <c r="E385" s="75"/>
      <c r="F385" s="123"/>
    </row>
    <row r="386" spans="1:6" s="3" customFormat="1">
      <c r="A386" s="10"/>
      <c r="B386" s="65"/>
      <c r="C386" s="147"/>
      <c r="D386" s="76"/>
      <c r="E386" s="75"/>
      <c r="F386" s="123"/>
    </row>
    <row r="387" spans="1:6" s="3" customFormat="1">
      <c r="A387" s="10"/>
      <c r="B387" s="54" t="s">
        <v>423</v>
      </c>
      <c r="C387" s="147"/>
      <c r="D387" s="76"/>
      <c r="E387" s="75"/>
      <c r="F387" s="123"/>
    </row>
    <row r="388" spans="1:6" s="3" customFormat="1">
      <c r="A388" s="10" t="s">
        <v>424</v>
      </c>
      <c r="B388" s="54" t="s">
        <v>425</v>
      </c>
      <c r="C388" s="147"/>
      <c r="D388" s="76"/>
      <c r="E388" s="75"/>
      <c r="F388" s="123"/>
    </row>
    <row r="389" spans="1:6" s="3" customFormat="1" ht="25.5">
      <c r="A389" s="10" t="s">
        <v>424</v>
      </c>
      <c r="B389" s="54" t="s">
        <v>426</v>
      </c>
      <c r="C389" s="147"/>
      <c r="D389" s="76"/>
      <c r="E389" s="75"/>
      <c r="F389" s="123"/>
    </row>
    <row r="390" spans="1:6" s="3" customFormat="1">
      <c r="A390" s="10"/>
      <c r="B390" s="54"/>
      <c r="C390" s="147"/>
      <c r="D390" s="76"/>
      <c r="E390" s="75"/>
      <c r="F390" s="123"/>
    </row>
    <row r="391" spans="1:6" s="3" customFormat="1">
      <c r="A391" s="10"/>
      <c r="B391" s="54" t="s">
        <v>427</v>
      </c>
      <c r="C391" s="147"/>
      <c r="D391" s="76"/>
      <c r="E391" s="75"/>
      <c r="F391" s="123"/>
    </row>
    <row r="392" spans="1:6" s="3" customFormat="1" ht="38.25">
      <c r="A392" s="10"/>
      <c r="B392" s="54" t="s">
        <v>428</v>
      </c>
      <c r="C392" s="147"/>
      <c r="D392" s="76"/>
      <c r="E392" s="75"/>
      <c r="F392" s="123"/>
    </row>
    <row r="393" spans="1:6" s="3" customFormat="1">
      <c r="A393" s="79"/>
      <c r="B393" s="31"/>
      <c r="C393" s="147"/>
      <c r="D393" s="76"/>
      <c r="E393" s="75"/>
      <c r="F393" s="123"/>
    </row>
    <row r="394" spans="1:6" s="3" customFormat="1">
      <c r="A394" s="79"/>
      <c r="B394" s="31"/>
      <c r="C394" s="147"/>
      <c r="D394" s="76"/>
      <c r="E394" s="75"/>
      <c r="F394" s="123"/>
    </row>
    <row r="395" spans="1:6" s="4" customFormat="1">
      <c r="A395" s="32" t="s">
        <v>429</v>
      </c>
      <c r="B395" s="33" t="s">
        <v>430</v>
      </c>
      <c r="C395" s="67"/>
      <c r="D395" s="28"/>
      <c r="E395" s="12"/>
      <c r="F395" s="9"/>
    </row>
    <row r="396" spans="1:6" s="4" customFormat="1">
      <c r="A396" s="10"/>
      <c r="B396" s="5"/>
      <c r="C396" s="67"/>
      <c r="D396" s="28"/>
      <c r="E396" s="12"/>
      <c r="F396" s="9"/>
    </row>
    <row r="397" spans="1:6" s="4" customFormat="1" ht="25.5">
      <c r="A397" s="10"/>
      <c r="B397" s="71" t="s">
        <v>380</v>
      </c>
      <c r="C397" s="67"/>
      <c r="D397" s="28"/>
      <c r="E397" s="12"/>
      <c r="F397" s="9"/>
    </row>
    <row r="398" spans="1:6" s="3" customFormat="1">
      <c r="A398" s="80"/>
      <c r="B398" s="65"/>
      <c r="C398" s="146"/>
      <c r="D398" s="74"/>
      <c r="E398" s="81"/>
      <c r="F398" s="123"/>
    </row>
    <row r="399" spans="1:6" s="3" customFormat="1" ht="51">
      <c r="A399" s="80"/>
      <c r="B399" s="55" t="s">
        <v>431</v>
      </c>
      <c r="C399" s="147"/>
      <c r="D399" s="76"/>
      <c r="E399" s="81"/>
      <c r="F399" s="123"/>
    </row>
    <row r="400" spans="1:6" s="3" customFormat="1" ht="51">
      <c r="A400" s="80"/>
      <c r="B400" s="55" t="s">
        <v>432</v>
      </c>
      <c r="C400" s="147"/>
      <c r="D400" s="76"/>
      <c r="E400" s="82"/>
      <c r="F400" s="125"/>
    </row>
    <row r="401" spans="1:6" s="3" customFormat="1" ht="38.25">
      <c r="A401" s="80"/>
      <c r="B401" s="55" t="s">
        <v>433</v>
      </c>
      <c r="C401" s="147"/>
      <c r="D401" s="76"/>
      <c r="E401" s="82"/>
      <c r="F401" s="125"/>
    </row>
    <row r="402" spans="1:6" s="3" customFormat="1">
      <c r="A402" s="80"/>
      <c r="B402" s="55"/>
      <c r="C402" s="147"/>
      <c r="D402" s="76"/>
      <c r="E402" s="82"/>
      <c r="F402" s="125"/>
    </row>
    <row r="403" spans="1:6" s="3" customFormat="1" ht="25.5">
      <c r="A403" s="80"/>
      <c r="B403" s="55" t="s">
        <v>434</v>
      </c>
      <c r="C403" s="147"/>
      <c r="D403" s="76"/>
      <c r="E403" s="82"/>
      <c r="F403" s="125"/>
    </row>
    <row r="404" spans="1:6" s="3" customFormat="1" ht="38.25">
      <c r="A404" s="80"/>
      <c r="B404" s="55" t="s">
        <v>435</v>
      </c>
      <c r="C404" s="147"/>
      <c r="D404" s="76"/>
      <c r="E404" s="82"/>
      <c r="F404" s="125"/>
    </row>
    <row r="405" spans="1:6" s="3" customFormat="1" ht="102">
      <c r="A405" s="80"/>
      <c r="B405" s="3" t="s">
        <v>436</v>
      </c>
      <c r="C405" s="147"/>
      <c r="D405" s="76"/>
      <c r="E405" s="82"/>
      <c r="F405" s="125"/>
    </row>
    <row r="406" spans="1:6" s="3" customFormat="1" ht="114.75">
      <c r="A406" s="80"/>
      <c r="B406" s="55" t="s">
        <v>437</v>
      </c>
      <c r="C406" s="147"/>
      <c r="D406" s="76"/>
      <c r="E406" s="82"/>
      <c r="F406" s="125"/>
    </row>
    <row r="407" spans="1:6" s="3" customFormat="1" ht="38.25">
      <c r="A407" s="80"/>
      <c r="B407" s="3" t="s">
        <v>438</v>
      </c>
      <c r="C407" s="147"/>
      <c r="D407" s="76"/>
      <c r="E407" s="82"/>
      <c r="F407" s="125"/>
    </row>
    <row r="408" spans="1:6" s="3" customFormat="1">
      <c r="A408" s="80"/>
      <c r="B408" s="55"/>
      <c r="C408" s="147"/>
      <c r="D408" s="76"/>
      <c r="E408" s="82"/>
      <c r="F408" s="125"/>
    </row>
    <row r="409" spans="1:6" s="3" customFormat="1">
      <c r="A409" s="80"/>
      <c r="B409" s="55"/>
      <c r="C409" s="147"/>
      <c r="D409" s="76"/>
      <c r="E409" s="82"/>
      <c r="F409" s="125"/>
    </row>
    <row r="410" spans="1:6" s="3" customFormat="1" ht="114.75">
      <c r="A410" s="80"/>
      <c r="B410" s="55" t="s">
        <v>439</v>
      </c>
      <c r="C410" s="147"/>
      <c r="D410" s="76"/>
      <c r="E410" s="82"/>
      <c r="F410" s="125"/>
    </row>
    <row r="411" spans="1:6" s="3" customFormat="1" ht="89.25">
      <c r="A411" s="80"/>
      <c r="B411" s="55" t="s">
        <v>440</v>
      </c>
      <c r="C411" s="147"/>
      <c r="D411" s="76"/>
      <c r="E411" s="82"/>
      <c r="F411" s="125"/>
    </row>
    <row r="412" spans="1:6" s="3" customFormat="1" ht="63.75">
      <c r="A412" s="80"/>
      <c r="B412" s="55" t="s">
        <v>441</v>
      </c>
      <c r="C412" s="147"/>
      <c r="D412" s="76"/>
      <c r="E412" s="82"/>
      <c r="F412" s="125"/>
    </row>
    <row r="413" spans="1:6" s="3" customFormat="1" ht="25.5">
      <c r="A413" s="80"/>
      <c r="B413" s="55" t="s">
        <v>442</v>
      </c>
      <c r="C413" s="147"/>
      <c r="D413" s="76"/>
      <c r="E413" s="82"/>
      <c r="F413" s="125"/>
    </row>
    <row r="414" spans="1:6" s="3" customFormat="1" ht="38.25">
      <c r="A414" s="80"/>
      <c r="B414" s="55" t="s">
        <v>443</v>
      </c>
      <c r="C414" s="147"/>
      <c r="D414" s="76"/>
      <c r="E414" s="82"/>
      <c r="F414" s="125"/>
    </row>
    <row r="415" spans="1:6" s="3" customFormat="1" ht="25.5">
      <c r="A415" s="80"/>
      <c r="B415" s="55" t="s">
        <v>444</v>
      </c>
      <c r="C415" s="147"/>
      <c r="D415" s="76"/>
      <c r="E415" s="82"/>
      <c r="F415" s="125"/>
    </row>
    <row r="416" spans="1:6" s="3" customFormat="1" ht="25.5">
      <c r="A416" s="80"/>
      <c r="B416" s="55" t="s">
        <v>445</v>
      </c>
      <c r="C416" s="147"/>
      <c r="D416" s="76"/>
      <c r="E416" s="82"/>
      <c r="F416" s="125"/>
    </row>
    <row r="417" spans="1:6" s="3" customFormat="1" ht="25.5">
      <c r="A417" s="80"/>
      <c r="B417" s="55" t="s">
        <v>446</v>
      </c>
      <c r="C417" s="147"/>
      <c r="D417" s="76"/>
      <c r="E417" s="82"/>
      <c r="F417" s="125"/>
    </row>
    <row r="418" spans="1:6" s="3" customFormat="1">
      <c r="A418" s="80"/>
      <c r="B418" s="54"/>
      <c r="C418" s="147"/>
      <c r="D418" s="76"/>
      <c r="E418" s="82"/>
      <c r="F418" s="125"/>
    </row>
    <row r="419" spans="1:6" s="3" customFormat="1" ht="25.5">
      <c r="A419" s="80"/>
      <c r="B419" s="55" t="s">
        <v>447</v>
      </c>
      <c r="C419" s="147"/>
      <c r="D419" s="76"/>
      <c r="E419" s="82"/>
      <c r="F419" s="125"/>
    </row>
    <row r="420" spans="1:6" s="3" customFormat="1">
      <c r="A420" s="80"/>
      <c r="B420" s="83"/>
      <c r="C420" s="147"/>
      <c r="D420" s="76"/>
      <c r="E420" s="82"/>
      <c r="F420" s="125"/>
    </row>
    <row r="421" spans="1:6" s="3" customFormat="1">
      <c r="A421" s="80"/>
      <c r="B421" s="83"/>
      <c r="C421" s="147"/>
      <c r="D421" s="76"/>
      <c r="E421" s="82"/>
      <c r="F421" s="125"/>
    </row>
    <row r="422" spans="1:6" s="4" customFormat="1">
      <c r="A422" s="32" t="s">
        <v>448</v>
      </c>
      <c r="B422" s="33" t="s">
        <v>449</v>
      </c>
      <c r="C422" s="67"/>
      <c r="D422" s="28"/>
      <c r="E422" s="12"/>
      <c r="F422" s="9"/>
    </row>
    <row r="423" spans="1:6" s="4" customFormat="1">
      <c r="A423" s="10"/>
      <c r="B423" s="5"/>
      <c r="C423" s="67"/>
      <c r="D423" s="28"/>
      <c r="E423" s="12"/>
      <c r="F423" s="9"/>
    </row>
    <row r="424" spans="1:6" s="4" customFormat="1">
      <c r="A424" s="10"/>
      <c r="B424" s="503"/>
      <c r="C424" s="503"/>
      <c r="D424" s="503"/>
      <c r="E424" s="503"/>
      <c r="F424" s="503"/>
    </row>
    <row r="425" spans="1:6" s="4" customFormat="1" ht="25.5" customHeight="1">
      <c r="A425" s="10"/>
      <c r="B425" s="84" t="s">
        <v>450</v>
      </c>
      <c r="C425" s="149"/>
      <c r="D425" s="85"/>
      <c r="E425" s="86"/>
      <c r="F425" s="126"/>
    </row>
    <row r="426" spans="1:6" s="4" customFormat="1">
      <c r="A426" s="10"/>
      <c r="B426" s="87"/>
      <c r="C426" s="150"/>
      <c r="D426" s="88"/>
      <c r="E426" s="89"/>
      <c r="F426" s="135"/>
    </row>
    <row r="427" spans="1:6" s="4" customFormat="1">
      <c r="A427" s="10"/>
      <c r="B427" s="87" t="s">
        <v>451</v>
      </c>
      <c r="C427" s="150"/>
      <c r="D427" s="88"/>
      <c r="E427" s="89"/>
      <c r="F427" s="135"/>
    </row>
    <row r="428" spans="1:6" s="4" customFormat="1">
      <c r="A428" s="10"/>
      <c r="B428" s="87"/>
      <c r="C428" s="150"/>
      <c r="D428" s="88"/>
      <c r="E428" s="89"/>
      <c r="F428" s="135"/>
    </row>
    <row r="429" spans="1:6" s="4" customFormat="1" ht="63.75">
      <c r="A429" s="10"/>
      <c r="B429" s="49" t="s">
        <v>452</v>
      </c>
      <c r="C429" s="151"/>
      <c r="D429" s="90"/>
      <c r="E429" s="91"/>
      <c r="F429" s="127"/>
    </row>
    <row r="430" spans="1:6" s="4" customFormat="1" ht="25.5">
      <c r="A430" s="10"/>
      <c r="B430" s="49" t="s">
        <v>453</v>
      </c>
      <c r="C430" s="150"/>
      <c r="D430" s="92"/>
      <c r="E430" s="93"/>
      <c r="F430" s="128"/>
    </row>
    <row r="431" spans="1:6" s="4" customFormat="1">
      <c r="A431" s="10"/>
      <c r="B431" s="60"/>
      <c r="C431" s="150"/>
      <c r="D431" s="94"/>
      <c r="E431" s="93"/>
      <c r="F431" s="128"/>
    </row>
    <row r="432" spans="1:6" s="4" customFormat="1">
      <c r="A432" s="10"/>
      <c r="B432" s="60" t="s">
        <v>454</v>
      </c>
      <c r="C432" s="150"/>
      <c r="D432" s="94"/>
      <c r="E432" s="93"/>
      <c r="F432" s="128"/>
    </row>
    <row r="433" spans="1:6" s="4" customFormat="1">
      <c r="A433" s="10"/>
      <c r="B433" s="95" t="s">
        <v>455</v>
      </c>
      <c r="C433" s="150"/>
      <c r="D433" s="94"/>
      <c r="E433" s="93"/>
      <c r="F433" s="128"/>
    </row>
    <row r="434" spans="1:6" s="4" customFormat="1">
      <c r="A434" s="10"/>
      <c r="B434" s="60"/>
      <c r="C434" s="150"/>
      <c r="D434" s="94"/>
      <c r="E434" s="93"/>
      <c r="F434" s="128"/>
    </row>
    <row r="435" spans="1:6" s="4" customFormat="1" ht="38.25">
      <c r="A435" s="10"/>
      <c r="B435" s="96" t="s">
        <v>456</v>
      </c>
      <c r="C435" s="152"/>
      <c r="D435" s="97"/>
      <c r="E435" s="98"/>
      <c r="F435" s="128"/>
    </row>
    <row r="436" spans="1:6" s="4" customFormat="1" ht="127.5">
      <c r="A436" s="10"/>
      <c r="B436" s="49" t="s">
        <v>457</v>
      </c>
      <c r="C436" s="150"/>
      <c r="D436" s="92"/>
      <c r="E436" s="93"/>
      <c r="F436" s="128"/>
    </row>
    <row r="437" spans="1:6" s="4" customFormat="1">
      <c r="A437" s="10"/>
      <c r="B437" s="60"/>
      <c r="C437" s="150"/>
      <c r="D437" s="94"/>
      <c r="E437" s="93"/>
      <c r="F437" s="128"/>
    </row>
    <row r="438" spans="1:6" s="4" customFormat="1" ht="51">
      <c r="A438" s="10"/>
      <c r="B438" s="49" t="s">
        <v>458</v>
      </c>
      <c r="C438" s="150"/>
      <c r="D438" s="92"/>
      <c r="E438" s="93"/>
      <c r="F438" s="128"/>
    </row>
    <row r="439" spans="1:6" s="4" customFormat="1">
      <c r="A439" s="10"/>
      <c r="B439" s="60"/>
      <c r="C439" s="150"/>
      <c r="D439" s="94"/>
      <c r="E439" s="99"/>
      <c r="F439" s="128"/>
    </row>
    <row r="440" spans="1:6" s="4" customFormat="1" ht="38.25">
      <c r="A440" s="10"/>
      <c r="B440" s="49" t="s">
        <v>459</v>
      </c>
      <c r="C440" s="150"/>
      <c r="D440" s="92"/>
      <c r="E440" s="93"/>
      <c r="F440" s="128"/>
    </row>
    <row r="441" spans="1:6" s="4" customFormat="1">
      <c r="A441" s="10"/>
      <c r="B441" s="60"/>
      <c r="C441" s="150"/>
      <c r="D441" s="94"/>
      <c r="E441" s="99"/>
      <c r="F441" s="128"/>
    </row>
    <row r="442" spans="1:6" s="4" customFormat="1" ht="38.25">
      <c r="A442" s="10"/>
      <c r="B442" s="49" t="s">
        <v>460</v>
      </c>
      <c r="C442" s="150"/>
      <c r="D442" s="92"/>
      <c r="E442" s="93"/>
      <c r="F442" s="128"/>
    </row>
    <row r="443" spans="1:6" s="4" customFormat="1" ht="51">
      <c r="A443" s="10"/>
      <c r="B443" s="49" t="s">
        <v>461</v>
      </c>
      <c r="C443" s="150"/>
      <c r="D443" s="92"/>
      <c r="E443" s="93"/>
      <c r="F443" s="128"/>
    </row>
    <row r="444" spans="1:6" s="4" customFormat="1">
      <c r="A444" s="10"/>
      <c r="B444" s="60"/>
      <c r="C444" s="150"/>
      <c r="D444" s="94"/>
      <c r="E444" s="99"/>
      <c r="F444" s="128"/>
    </row>
    <row r="445" spans="1:6" s="4" customFormat="1">
      <c r="A445" s="10"/>
      <c r="B445" s="95" t="s">
        <v>462</v>
      </c>
      <c r="C445" s="150"/>
      <c r="D445" s="94"/>
      <c r="E445" s="93"/>
      <c r="F445" s="128"/>
    </row>
    <row r="446" spans="1:6" s="4" customFormat="1">
      <c r="A446" s="10"/>
      <c r="B446" s="60"/>
      <c r="C446" s="150"/>
      <c r="D446" s="94"/>
      <c r="E446" s="93"/>
      <c r="F446" s="128"/>
    </row>
    <row r="447" spans="1:6" s="4" customFormat="1" ht="51">
      <c r="A447" s="10"/>
      <c r="B447" s="49" t="s">
        <v>463</v>
      </c>
      <c r="C447" s="150"/>
      <c r="D447" s="92"/>
      <c r="E447" s="93"/>
      <c r="F447" s="128"/>
    </row>
    <row r="448" spans="1:6" s="4" customFormat="1">
      <c r="A448" s="10"/>
      <c r="B448" s="60"/>
      <c r="C448" s="150"/>
      <c r="D448" s="94"/>
      <c r="E448" s="99"/>
      <c r="F448" s="128"/>
    </row>
    <row r="449" spans="1:6" s="4" customFormat="1" ht="38.25">
      <c r="A449" s="10"/>
      <c r="B449" s="49" t="s">
        <v>464</v>
      </c>
      <c r="C449" s="150"/>
      <c r="D449" s="92"/>
      <c r="E449" s="93"/>
      <c r="F449" s="128"/>
    </row>
    <row r="450" spans="1:6" s="4" customFormat="1">
      <c r="A450" s="10"/>
      <c r="B450" s="60"/>
      <c r="C450" s="150"/>
      <c r="D450" s="94"/>
      <c r="E450" s="93"/>
      <c r="F450" s="128"/>
    </row>
    <row r="451" spans="1:6" s="4" customFormat="1">
      <c r="A451" s="10"/>
      <c r="B451" s="95" t="s">
        <v>465</v>
      </c>
      <c r="C451" s="150"/>
      <c r="D451" s="94"/>
      <c r="E451" s="93"/>
      <c r="F451" s="128"/>
    </row>
    <row r="452" spans="1:6" s="4" customFormat="1">
      <c r="A452" s="10"/>
      <c r="B452" s="60"/>
      <c r="C452" s="150"/>
      <c r="D452" s="94"/>
      <c r="E452" s="93"/>
      <c r="F452" s="128"/>
    </row>
    <row r="453" spans="1:6" s="4" customFormat="1" ht="63.75">
      <c r="A453" s="10"/>
      <c r="B453" s="49" t="s">
        <v>466</v>
      </c>
      <c r="C453" s="150"/>
      <c r="D453" s="92"/>
      <c r="E453" s="93"/>
      <c r="F453" s="128"/>
    </row>
    <row r="454" spans="1:6" s="4" customFormat="1">
      <c r="A454" s="10"/>
      <c r="B454" s="60"/>
      <c r="C454" s="150"/>
      <c r="D454" s="94"/>
      <c r="E454" s="99"/>
      <c r="F454" s="128"/>
    </row>
    <row r="455" spans="1:6" s="4" customFormat="1" ht="51">
      <c r="A455" s="10"/>
      <c r="B455" s="49" t="s">
        <v>467</v>
      </c>
      <c r="C455" s="150"/>
      <c r="D455" s="92"/>
      <c r="E455" s="93"/>
      <c r="F455" s="128"/>
    </row>
    <row r="456" spans="1:6" s="4" customFormat="1">
      <c r="A456" s="10"/>
      <c r="B456" s="100"/>
      <c r="C456" s="149"/>
      <c r="D456" s="101"/>
      <c r="E456" s="102"/>
      <c r="F456" s="129"/>
    </row>
    <row r="457" spans="1:6" s="4" customFormat="1">
      <c r="A457" s="10"/>
      <c r="B457" s="103" t="s">
        <v>468</v>
      </c>
      <c r="C457" s="150"/>
      <c r="D457" s="94"/>
      <c r="E457" s="93"/>
      <c r="F457" s="128"/>
    </row>
    <row r="458" spans="1:6" s="4" customFormat="1">
      <c r="A458" s="10"/>
      <c r="B458" s="103"/>
      <c r="C458" s="150"/>
      <c r="D458" s="94"/>
      <c r="E458" s="93"/>
      <c r="F458" s="128"/>
    </row>
    <row r="459" spans="1:6" s="4" customFormat="1" ht="38.25">
      <c r="A459" s="10"/>
      <c r="B459" s="49" t="s">
        <v>469</v>
      </c>
      <c r="C459" s="153"/>
      <c r="D459" s="104"/>
      <c r="E459" s="105"/>
      <c r="F459" s="130"/>
    </row>
    <row r="460" spans="1:6" s="4" customFormat="1">
      <c r="A460" s="10"/>
      <c r="B460" s="60"/>
      <c r="C460" s="153"/>
      <c r="D460" s="106"/>
      <c r="E460" s="107"/>
      <c r="F460" s="130"/>
    </row>
    <row r="461" spans="1:6" s="4" customFormat="1" ht="25.5">
      <c r="A461" s="10"/>
      <c r="B461" s="108" t="s">
        <v>470</v>
      </c>
      <c r="C461" s="153"/>
      <c r="D461" s="104"/>
      <c r="E461" s="105"/>
      <c r="F461" s="130"/>
    </row>
    <row r="462" spans="1:6" s="4" customFormat="1" ht="25.5">
      <c r="A462" s="10"/>
      <c r="B462" s="108" t="s">
        <v>471</v>
      </c>
      <c r="C462" s="153"/>
      <c r="D462" s="104"/>
      <c r="E462" s="105"/>
      <c r="F462" s="130"/>
    </row>
    <row r="463" spans="1:6" s="4" customFormat="1" ht="25.5">
      <c r="A463" s="10"/>
      <c r="B463" s="108" t="s">
        <v>472</v>
      </c>
      <c r="C463" s="153"/>
      <c r="D463" s="104"/>
      <c r="E463" s="105"/>
      <c r="F463" s="130"/>
    </row>
    <row r="464" spans="1:6" s="4" customFormat="1">
      <c r="A464" s="10"/>
      <c r="B464" s="49" t="s">
        <v>473</v>
      </c>
      <c r="C464" s="153"/>
      <c r="D464" s="104"/>
      <c r="E464" s="105"/>
      <c r="F464" s="130"/>
    </row>
    <row r="465" spans="1:6" s="4" customFormat="1" ht="25.5">
      <c r="A465" s="10"/>
      <c r="B465" s="108" t="s">
        <v>474</v>
      </c>
      <c r="C465" s="153"/>
      <c r="D465" s="104"/>
      <c r="E465" s="105"/>
      <c r="F465" s="130"/>
    </row>
    <row r="466" spans="1:6" s="4" customFormat="1">
      <c r="A466" s="10"/>
      <c r="B466" s="49" t="s">
        <v>475</v>
      </c>
      <c r="C466" s="153"/>
      <c r="D466" s="104"/>
      <c r="E466" s="105"/>
      <c r="F466" s="130"/>
    </row>
    <row r="467" spans="1:6" s="4" customFormat="1" ht="25.5">
      <c r="A467" s="10"/>
      <c r="B467" s="108" t="s">
        <v>476</v>
      </c>
      <c r="C467" s="153"/>
      <c r="D467" s="104"/>
      <c r="E467" s="105"/>
      <c r="F467" s="130"/>
    </row>
    <row r="468" spans="1:6" s="4" customFormat="1" ht="25.5">
      <c r="A468" s="10"/>
      <c r="B468" s="108" t="s">
        <v>477</v>
      </c>
      <c r="C468" s="153"/>
      <c r="D468" s="104"/>
      <c r="E468" s="105"/>
      <c r="F468" s="130"/>
    </row>
    <row r="469" spans="1:6" s="4" customFormat="1" ht="25.5">
      <c r="A469" s="10"/>
      <c r="B469" s="108" t="s">
        <v>478</v>
      </c>
      <c r="C469" s="153"/>
      <c r="D469" s="104"/>
      <c r="E469" s="105"/>
      <c r="F469" s="130"/>
    </row>
    <row r="470" spans="1:6" s="4" customFormat="1">
      <c r="A470" s="10"/>
      <c r="B470" s="108" t="s">
        <v>479</v>
      </c>
      <c r="C470" s="153"/>
      <c r="D470" s="104"/>
      <c r="E470" s="105"/>
      <c r="F470" s="130"/>
    </row>
    <row r="471" spans="1:6" s="4" customFormat="1" ht="51">
      <c r="A471" s="10"/>
      <c r="B471" s="108" t="s">
        <v>480</v>
      </c>
      <c r="C471" s="153"/>
      <c r="D471" s="104"/>
      <c r="E471" s="105"/>
      <c r="F471" s="130"/>
    </row>
    <row r="472" spans="1:6" s="4" customFormat="1" ht="51">
      <c r="A472" s="10"/>
      <c r="B472" s="108" t="s">
        <v>481</v>
      </c>
      <c r="C472" s="153"/>
      <c r="D472" s="104"/>
      <c r="E472" s="105"/>
      <c r="F472" s="130"/>
    </row>
    <row r="473" spans="1:6" s="4" customFormat="1">
      <c r="A473" s="10"/>
      <c r="B473" s="108" t="s">
        <v>482</v>
      </c>
      <c r="C473" s="153"/>
      <c r="D473" s="104"/>
      <c r="E473" s="105"/>
      <c r="F473" s="130"/>
    </row>
    <row r="474" spans="1:6" s="4" customFormat="1" ht="25.5">
      <c r="A474" s="10"/>
      <c r="B474" s="108" t="s">
        <v>483</v>
      </c>
      <c r="C474" s="153"/>
      <c r="D474" s="104"/>
      <c r="E474" s="105"/>
      <c r="F474" s="130"/>
    </row>
    <row r="475" spans="1:6" s="4" customFormat="1">
      <c r="A475" s="10"/>
      <c r="B475" s="109"/>
      <c r="C475" s="153"/>
      <c r="D475" s="106"/>
      <c r="E475" s="107"/>
      <c r="F475" s="130"/>
    </row>
    <row r="476" spans="1:6" s="4" customFormat="1" ht="38.25">
      <c r="A476" s="10"/>
      <c r="B476" s="49" t="s">
        <v>484</v>
      </c>
      <c r="C476" s="153"/>
      <c r="D476" s="104"/>
      <c r="E476" s="105"/>
      <c r="F476" s="130"/>
    </row>
    <row r="477" spans="1:6" s="4" customFormat="1" ht="25.5">
      <c r="A477" s="10"/>
      <c r="B477" s="108" t="s">
        <v>485</v>
      </c>
      <c r="C477" s="153"/>
      <c r="D477" s="104"/>
      <c r="E477" s="105"/>
      <c r="F477" s="130"/>
    </row>
    <row r="478" spans="1:6" s="4" customFormat="1">
      <c r="A478" s="10"/>
      <c r="B478" s="108" t="s">
        <v>486</v>
      </c>
      <c r="C478" s="153"/>
      <c r="D478" s="104"/>
      <c r="E478" s="105"/>
      <c r="F478" s="130"/>
    </row>
    <row r="479" spans="1:6" s="4" customFormat="1" ht="25.5">
      <c r="A479" s="10"/>
      <c r="B479" s="108" t="s">
        <v>487</v>
      </c>
      <c r="C479" s="153"/>
      <c r="D479" s="104"/>
      <c r="E479" s="105"/>
      <c r="F479" s="130"/>
    </row>
    <row r="480" spans="1:6" s="4" customFormat="1">
      <c r="A480" s="10"/>
      <c r="B480" s="108" t="s">
        <v>488</v>
      </c>
      <c r="C480" s="153"/>
      <c r="D480" s="104"/>
      <c r="E480" s="105"/>
      <c r="F480" s="130"/>
    </row>
    <row r="481" spans="1:6" s="4" customFormat="1" ht="25.5">
      <c r="A481" s="10"/>
      <c r="B481" s="108" t="s">
        <v>489</v>
      </c>
      <c r="C481" s="153"/>
      <c r="D481" s="104"/>
      <c r="E481" s="105"/>
      <c r="F481" s="130"/>
    </row>
    <row r="482" spans="1:6" s="4" customFormat="1">
      <c r="A482" s="10"/>
      <c r="B482" s="60"/>
      <c r="C482" s="153"/>
      <c r="D482" s="106"/>
      <c r="E482" s="105"/>
      <c r="F482" s="130"/>
    </row>
    <row r="483" spans="1:6" s="4" customFormat="1" ht="25.5">
      <c r="A483" s="10"/>
      <c r="B483" s="49" t="s">
        <v>490</v>
      </c>
      <c r="C483" s="153"/>
      <c r="D483" s="104"/>
      <c r="E483" s="105"/>
      <c r="F483" s="130"/>
    </row>
    <row r="484" spans="1:6" s="4" customFormat="1" ht="51">
      <c r="A484" s="10"/>
      <c r="B484" s="108" t="s">
        <v>491</v>
      </c>
      <c r="C484" s="153"/>
      <c r="D484" s="104"/>
      <c r="E484" s="105"/>
      <c r="F484" s="130"/>
    </row>
    <row r="485" spans="1:6" s="4" customFormat="1" ht="25.5">
      <c r="A485" s="10"/>
      <c r="B485" s="49" t="s">
        <v>492</v>
      </c>
      <c r="C485" s="153"/>
      <c r="D485" s="104"/>
      <c r="E485" s="105"/>
      <c r="F485" s="130"/>
    </row>
    <row r="486" spans="1:6" s="4" customFormat="1" ht="25.5">
      <c r="A486" s="10"/>
      <c r="B486" s="108" t="s">
        <v>493</v>
      </c>
      <c r="C486" s="153"/>
      <c r="D486" s="104"/>
      <c r="E486" s="105"/>
      <c r="F486" s="130"/>
    </row>
    <row r="487" spans="1:6" s="4" customFormat="1" ht="25.5">
      <c r="A487" s="10"/>
      <c r="B487" s="108" t="s">
        <v>494</v>
      </c>
      <c r="C487" s="153"/>
      <c r="D487" s="104"/>
      <c r="E487" s="105"/>
      <c r="F487" s="130"/>
    </row>
    <row r="488" spans="1:6" s="4" customFormat="1" ht="38.25">
      <c r="A488" s="10"/>
      <c r="B488" s="108" t="s">
        <v>495</v>
      </c>
      <c r="C488" s="153"/>
      <c r="D488" s="104"/>
      <c r="E488" s="105"/>
      <c r="F488" s="130"/>
    </row>
    <row r="489" spans="1:6" s="4" customFormat="1" ht="25.5">
      <c r="A489" s="10"/>
      <c r="B489" s="108" t="s">
        <v>496</v>
      </c>
      <c r="C489" s="153"/>
      <c r="D489" s="104"/>
      <c r="E489" s="105"/>
      <c r="F489" s="130"/>
    </row>
    <row r="490" spans="1:6" s="4" customFormat="1" ht="25.5">
      <c r="A490" s="10"/>
      <c r="B490" s="108" t="s">
        <v>497</v>
      </c>
      <c r="C490" s="153"/>
      <c r="D490" s="104"/>
      <c r="E490" s="105"/>
      <c r="F490" s="130"/>
    </row>
    <row r="491" spans="1:6" s="4" customFormat="1" ht="25.5">
      <c r="A491" s="10"/>
      <c r="B491" s="108" t="s">
        <v>498</v>
      </c>
      <c r="C491" s="153"/>
      <c r="D491" s="104"/>
      <c r="E491" s="105"/>
      <c r="F491" s="130"/>
    </row>
    <row r="492" spans="1:6" s="4" customFormat="1">
      <c r="A492" s="10"/>
      <c r="B492" s="108"/>
      <c r="C492" s="153"/>
      <c r="D492" s="104"/>
      <c r="E492" s="105"/>
      <c r="F492" s="130"/>
    </row>
    <row r="493" spans="1:6" s="4" customFormat="1">
      <c r="A493" s="10"/>
      <c r="B493" s="108"/>
      <c r="C493" s="153"/>
      <c r="D493" s="104"/>
      <c r="E493" s="105"/>
      <c r="F493" s="130"/>
    </row>
    <row r="494" spans="1:6" s="4" customFormat="1">
      <c r="A494" s="32" t="s">
        <v>517</v>
      </c>
      <c r="B494" s="33" t="s">
        <v>518</v>
      </c>
      <c r="C494" s="67"/>
      <c r="D494" s="28"/>
      <c r="E494" s="12"/>
      <c r="F494" s="9"/>
    </row>
    <row r="495" spans="1:6" s="4" customFormat="1">
      <c r="A495" s="10"/>
      <c r="B495" s="5"/>
      <c r="C495" s="67"/>
      <c r="D495" s="28"/>
      <c r="E495" s="12"/>
      <c r="F495" s="9"/>
    </row>
    <row r="496" spans="1:6" s="4" customFormat="1">
      <c r="A496" s="10"/>
      <c r="B496" s="5"/>
      <c r="C496" s="67"/>
      <c r="D496" s="28"/>
      <c r="E496" s="12"/>
      <c r="F496" s="9"/>
    </row>
    <row r="497" spans="1:6" s="111" customFormat="1" ht="11.25" customHeight="1">
      <c r="A497" s="112"/>
      <c r="B497" s="113" t="s">
        <v>499</v>
      </c>
      <c r="C497" s="114"/>
      <c r="D497" s="115"/>
      <c r="E497" s="115"/>
      <c r="F497" s="136"/>
    </row>
    <row r="498" spans="1:6" s="111" customFormat="1" ht="24">
      <c r="A498" s="112"/>
      <c r="B498" s="83" t="s">
        <v>500</v>
      </c>
      <c r="C498" s="114"/>
      <c r="D498" s="137"/>
      <c r="E498" s="116"/>
      <c r="F498" s="136"/>
    </row>
    <row r="499" spans="1:6" s="111" customFormat="1" ht="60">
      <c r="A499" s="112"/>
      <c r="B499" s="83" t="s">
        <v>501</v>
      </c>
      <c r="C499" s="114"/>
      <c r="D499" s="137"/>
      <c r="E499" s="116"/>
      <c r="F499" s="136"/>
    </row>
    <row r="500" spans="1:6" s="111" customFormat="1" ht="72">
      <c r="A500" s="112"/>
      <c r="B500" s="83" t="s">
        <v>502</v>
      </c>
      <c r="C500" s="114"/>
      <c r="D500" s="137"/>
      <c r="E500" s="116"/>
      <c r="F500" s="136"/>
    </row>
    <row r="501" spans="1:6" s="111" customFormat="1" ht="53.25" customHeight="1">
      <c r="A501" s="112"/>
      <c r="B501" s="83" t="s">
        <v>503</v>
      </c>
      <c r="C501" s="114"/>
      <c r="D501" s="137"/>
      <c r="E501" s="116"/>
      <c r="F501" s="136"/>
    </row>
    <row r="502" spans="1:6" s="111" customFormat="1" ht="36">
      <c r="A502" s="112"/>
      <c r="B502" s="83" t="s">
        <v>504</v>
      </c>
      <c r="C502" s="114"/>
      <c r="D502" s="137"/>
      <c r="E502" s="116"/>
      <c r="F502" s="136"/>
    </row>
    <row r="503" spans="1:6" s="111" customFormat="1" ht="42" customHeight="1">
      <c r="A503" s="112"/>
      <c r="B503" s="83" t="s">
        <v>505</v>
      </c>
      <c r="C503" s="114"/>
      <c r="D503" s="137"/>
      <c r="E503" s="116"/>
      <c r="F503" s="136"/>
    </row>
    <row r="504" spans="1:6" s="111" customFormat="1" ht="66.75" customHeight="1">
      <c r="A504" s="112"/>
      <c r="B504" s="83" t="s">
        <v>506</v>
      </c>
      <c r="C504" s="114"/>
      <c r="D504" s="137"/>
      <c r="E504" s="116"/>
      <c r="F504" s="136"/>
    </row>
    <row r="505" spans="1:6" s="111" customFormat="1" ht="36">
      <c r="A505" s="112"/>
      <c r="B505" s="83" t="s">
        <v>507</v>
      </c>
      <c r="C505" s="114"/>
      <c r="D505" s="137"/>
      <c r="E505" s="116"/>
      <c r="F505" s="136"/>
    </row>
    <row r="506" spans="1:6" s="111" customFormat="1" ht="48">
      <c r="A506" s="112"/>
      <c r="B506" s="83" t="s">
        <v>508</v>
      </c>
      <c r="C506" s="114"/>
      <c r="D506" s="137"/>
      <c r="E506" s="116"/>
      <c r="F506" s="136"/>
    </row>
    <row r="507" spans="1:6" s="111" customFormat="1" ht="24">
      <c r="A507" s="112"/>
      <c r="B507" s="83" t="s">
        <v>509</v>
      </c>
      <c r="C507" s="114"/>
      <c r="D507" s="137"/>
      <c r="E507" s="116"/>
      <c r="F507" s="136"/>
    </row>
    <row r="508" spans="1:6" s="111" customFormat="1" ht="24">
      <c r="A508" s="112"/>
      <c r="B508" s="83" t="s">
        <v>510</v>
      </c>
      <c r="C508" s="114"/>
      <c r="D508" s="137"/>
      <c r="E508" s="116"/>
      <c r="F508" s="136"/>
    </row>
    <row r="509" spans="1:6" s="111" customFormat="1" ht="36">
      <c r="A509" s="112"/>
      <c r="B509" s="83" t="s">
        <v>511</v>
      </c>
      <c r="C509" s="114"/>
      <c r="D509" s="137"/>
      <c r="E509" s="116"/>
      <c r="F509" s="136"/>
    </row>
    <row r="510" spans="1:6" s="111" customFormat="1" ht="24">
      <c r="A510" s="112"/>
      <c r="B510" s="83" t="s">
        <v>512</v>
      </c>
      <c r="C510" s="114"/>
      <c r="D510" s="137"/>
      <c r="E510" s="116"/>
      <c r="F510" s="136"/>
    </row>
    <row r="511" spans="1:6" s="111" customFormat="1" ht="16.5" customHeight="1">
      <c r="A511" s="112"/>
      <c r="B511" s="83" t="s">
        <v>513</v>
      </c>
      <c r="C511" s="114"/>
      <c r="D511" s="137"/>
      <c r="E511" s="116"/>
      <c r="F511" s="136"/>
    </row>
    <row r="512" spans="1:6" s="111" customFormat="1" ht="29.25" customHeight="1">
      <c r="A512" s="112"/>
      <c r="B512" s="83" t="s">
        <v>514</v>
      </c>
      <c r="C512" s="114"/>
      <c r="D512" s="137"/>
      <c r="E512" s="116"/>
      <c r="F512" s="136"/>
    </row>
    <row r="513" spans="1:6" s="111" customFormat="1" ht="24">
      <c r="A513" s="112"/>
      <c r="B513" s="83" t="s">
        <v>515</v>
      </c>
      <c r="C513" s="114"/>
      <c r="D513" s="137"/>
      <c r="E513" s="116"/>
      <c r="F513" s="136"/>
    </row>
    <row r="514" spans="1:6" s="111" customFormat="1" ht="29.25" customHeight="1">
      <c r="A514" s="112"/>
      <c r="B514" s="83" t="s">
        <v>516</v>
      </c>
      <c r="C514" s="114"/>
      <c r="D514" s="137"/>
      <c r="E514" s="116"/>
      <c r="F514" s="136"/>
    </row>
    <row r="515" spans="1:6" s="111" customFormat="1" ht="12">
      <c r="A515" s="112"/>
      <c r="B515" s="83"/>
      <c r="C515" s="114"/>
      <c r="D515" s="137"/>
      <c r="E515" s="116"/>
      <c r="F515" s="136"/>
    </row>
    <row r="516" spans="1:6" s="4" customFormat="1">
      <c r="A516" s="10"/>
      <c r="B516" s="108"/>
      <c r="C516" s="153"/>
      <c r="D516" s="104"/>
      <c r="E516" s="105"/>
      <c r="F516" s="130"/>
    </row>
    <row r="517" spans="1:6">
      <c r="A517" s="117"/>
      <c r="B517" s="3"/>
      <c r="C517" s="61"/>
      <c r="D517" s="138"/>
      <c r="E517" s="118"/>
      <c r="F517" s="118"/>
    </row>
    <row r="518" spans="1:6" s="4" customFormat="1">
      <c r="A518" s="10"/>
      <c r="B518" s="5"/>
      <c r="C518" s="70"/>
      <c r="D518" s="28"/>
      <c r="E518" s="12"/>
      <c r="F518" s="12"/>
    </row>
    <row r="519" spans="1:6" s="1" customFormat="1" ht="15.75">
      <c r="A519" s="157"/>
      <c r="B519" s="502"/>
      <c r="C519" s="502"/>
      <c r="D519" s="502"/>
      <c r="E519" s="502"/>
      <c r="F519" s="158"/>
    </row>
    <row r="520" spans="1:6" s="1" customFormat="1" ht="15.75">
      <c r="A520" s="157"/>
      <c r="B520" s="159"/>
      <c r="C520" s="155"/>
      <c r="D520" s="156"/>
      <c r="E520" s="160"/>
      <c r="F520" s="160"/>
    </row>
    <row r="521" spans="1:6" s="1" customFormat="1" ht="15.75">
      <c r="A521" s="161"/>
      <c r="B521" s="162"/>
      <c r="C521" s="163"/>
      <c r="D521" s="156"/>
      <c r="E521" s="160"/>
      <c r="F521" s="160"/>
    </row>
    <row r="522" spans="1:6" s="1" customFormat="1" ht="15.75">
      <c r="A522" s="161"/>
      <c r="B522" s="162"/>
      <c r="C522" s="163"/>
      <c r="D522" s="156"/>
      <c r="E522" s="160"/>
      <c r="F522" s="160"/>
    </row>
    <row r="523" spans="1:6" s="1" customFormat="1" ht="15.75">
      <c r="A523" s="161"/>
      <c r="B523" s="162"/>
      <c r="C523" s="163"/>
      <c r="D523" s="156"/>
      <c r="E523" s="160"/>
      <c r="F523" s="160"/>
    </row>
    <row r="524" spans="1:6" s="1" customFormat="1" ht="15.75">
      <c r="A524" s="161"/>
      <c r="B524" s="162"/>
      <c r="C524" s="163"/>
      <c r="D524" s="156"/>
      <c r="E524" s="160"/>
      <c r="F524" s="160"/>
    </row>
    <row r="525" spans="1:6" s="1" customFormat="1" ht="15.75">
      <c r="A525" s="161"/>
      <c r="B525" s="162"/>
      <c r="C525" s="163"/>
      <c r="D525" s="156"/>
      <c r="E525" s="160"/>
      <c r="F525" s="160"/>
    </row>
    <row r="526" spans="1:6" s="1" customFormat="1" ht="15.75">
      <c r="A526" s="161"/>
      <c r="B526" s="162"/>
      <c r="C526" s="163"/>
      <c r="D526" s="156"/>
      <c r="E526" s="160"/>
      <c r="F526" s="160"/>
    </row>
    <row r="527" spans="1:6" s="1" customFormat="1" ht="15.75">
      <c r="A527" s="161"/>
      <c r="B527" s="162"/>
      <c r="C527" s="163"/>
      <c r="D527" s="156"/>
      <c r="E527" s="160"/>
      <c r="F527" s="160"/>
    </row>
    <row r="528" spans="1:6" s="1" customFormat="1" ht="15.75">
      <c r="A528" s="157"/>
      <c r="B528" s="159"/>
      <c r="C528" s="155"/>
      <c r="D528" s="156"/>
      <c r="E528" s="160"/>
      <c r="F528" s="160"/>
    </row>
    <row r="529" spans="1:6" s="1" customFormat="1" ht="15.75">
      <c r="A529" s="157"/>
      <c r="B529" s="159"/>
      <c r="C529" s="155"/>
      <c r="D529" s="156"/>
      <c r="E529" s="160"/>
      <c r="F529" s="160"/>
    </row>
    <row r="530" spans="1:6" s="1" customFormat="1" ht="15.75">
      <c r="A530" s="157"/>
      <c r="B530" s="159"/>
      <c r="C530" s="155"/>
      <c r="D530" s="156"/>
      <c r="E530" s="160"/>
      <c r="F530" s="160"/>
    </row>
    <row r="531" spans="1:6" s="1" customFormat="1" ht="15.75">
      <c r="A531" s="157"/>
      <c r="B531" s="162"/>
      <c r="C531" s="155"/>
      <c r="D531" s="156"/>
      <c r="E531" s="160"/>
      <c r="F531" s="160"/>
    </row>
    <row r="532" spans="1:6" s="1" customFormat="1" ht="15.75">
      <c r="A532" s="157"/>
      <c r="B532" s="159"/>
      <c r="C532" s="155"/>
      <c r="D532" s="156"/>
      <c r="E532" s="160"/>
      <c r="F532" s="160"/>
    </row>
    <row r="533" spans="1:6" s="1" customFormat="1">
      <c r="A533" s="10"/>
      <c r="B533" s="5"/>
      <c r="C533" s="70"/>
      <c r="D533" s="28"/>
      <c r="E533" s="154"/>
      <c r="F533" s="154"/>
    </row>
    <row r="534" spans="1:6" s="1" customFormat="1">
      <c r="A534" s="10"/>
      <c r="B534" s="5"/>
      <c r="C534" s="70"/>
      <c r="D534" s="28"/>
      <c r="E534" s="154"/>
      <c r="F534" s="154"/>
    </row>
    <row r="535" spans="1:6" s="4" customFormat="1">
      <c r="A535" s="10"/>
      <c r="B535" s="5"/>
      <c r="C535" s="70"/>
      <c r="D535" s="28"/>
      <c r="E535" s="12"/>
      <c r="F535" s="12"/>
    </row>
  </sheetData>
  <protectedRanges>
    <protectedRange sqref="E518:E535" name="Range1_22"/>
    <protectedRange sqref="E353:E516" name="Range1_20"/>
    <protectedRange sqref="E517" name="Range1_3_1"/>
  </protectedRanges>
  <mergeCells count="2">
    <mergeCell ref="B519:E519"/>
    <mergeCell ref="B424:F424"/>
  </mergeCells>
  <pageMargins left="0.70866141732283472" right="0.70866141732283472" top="0.74803149606299213" bottom="0.74803149606299213" header="0.31496062992125984" footer="0.31496062992125984"/>
  <pageSetup paperSize="9" scale="82" fitToHeight="0"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7CBDD-9021-4410-82E9-B27A8B41FC6C}">
  <sheetPr>
    <pageSetUpPr fitToPage="1"/>
  </sheetPr>
  <dimension ref="A1:Z1041"/>
  <sheetViews>
    <sheetView showZeros="0" tabSelected="1" view="pageBreakPreview" topLeftCell="A36" zoomScaleNormal="100" zoomScaleSheetLayoutView="100" workbookViewId="0">
      <selection activeCell="E62" sqref="E62"/>
    </sheetView>
  </sheetViews>
  <sheetFormatPr defaultRowHeight="12.75"/>
  <cols>
    <col min="1" max="1" width="5" style="20" customWidth="1"/>
    <col min="2" max="2" width="69" bestFit="1" customWidth="1"/>
    <col min="3" max="3" width="7.42578125" style="45" customWidth="1"/>
    <col min="4" max="4" width="11.85546875" customWidth="1"/>
    <col min="5" max="5" width="12.42578125" style="278" customWidth="1"/>
    <col min="6" max="6" width="14.42578125" style="354" customWidth="1"/>
    <col min="7" max="7" width="14.42578125" customWidth="1"/>
    <col min="8" max="8" width="25.42578125" style="490" customWidth="1"/>
    <col min="9" max="9" width="4.7109375" bestFit="1" customWidth="1"/>
    <col min="10" max="10" width="6.5703125" bestFit="1" customWidth="1"/>
  </cols>
  <sheetData>
    <row r="1" spans="1:8" s="4" customFormat="1" ht="13.5" thickBot="1">
      <c r="A1" s="10"/>
      <c r="C1" s="194"/>
      <c r="D1" s="121"/>
      <c r="E1" s="239"/>
      <c r="F1" s="335"/>
      <c r="G1" s="121"/>
      <c r="H1" s="487"/>
    </row>
    <row r="2" spans="1:8" s="4" customFormat="1" ht="26.25" thickBot="1">
      <c r="A2" s="383" t="s">
        <v>304</v>
      </c>
      <c r="B2" s="37" t="s">
        <v>537</v>
      </c>
      <c r="C2" s="200"/>
      <c r="D2" s="219"/>
      <c r="E2" s="240"/>
      <c r="F2" s="336"/>
      <c r="G2" s="465"/>
      <c r="H2" s="487" t="s">
        <v>1020</v>
      </c>
    </row>
    <row r="3" spans="1:8" s="4" customFormat="1">
      <c r="A3" s="10"/>
      <c r="B3" s="5"/>
      <c r="C3" s="70"/>
      <c r="D3" s="120"/>
      <c r="E3" s="165"/>
      <c r="F3" s="337"/>
      <c r="G3" s="9"/>
      <c r="H3" s="487"/>
    </row>
    <row r="4" spans="1:8" s="4" customFormat="1">
      <c r="A4" s="10"/>
      <c r="B4" s="5"/>
      <c r="C4" s="70"/>
      <c r="D4" s="120"/>
      <c r="E4" s="165"/>
      <c r="F4" s="337"/>
      <c r="G4" s="9"/>
      <c r="H4" s="487"/>
    </row>
    <row r="5" spans="1:8" s="285" customFormat="1" ht="38.25">
      <c r="A5" s="279" t="s">
        <v>305</v>
      </c>
      <c r="B5" s="280" t="s">
        <v>306</v>
      </c>
      <c r="C5" s="281" t="s">
        <v>307</v>
      </c>
      <c r="D5" s="282" t="s">
        <v>308</v>
      </c>
      <c r="E5" s="283" t="s">
        <v>309</v>
      </c>
      <c r="F5" s="284" t="s">
        <v>310</v>
      </c>
      <c r="G5" s="466" t="s">
        <v>536</v>
      </c>
      <c r="H5" s="488"/>
    </row>
    <row r="6" spans="1:8" s="285" customFormat="1" ht="12.75" customHeight="1">
      <c r="A6" s="286"/>
      <c r="B6" s="287"/>
      <c r="C6" s="288"/>
      <c r="D6" s="289"/>
      <c r="E6" s="290"/>
      <c r="F6" s="291"/>
      <c r="G6" s="467"/>
      <c r="H6" s="488"/>
    </row>
    <row r="7" spans="1:8" s="285" customFormat="1" ht="12.75" customHeight="1">
      <c r="A7" s="286"/>
      <c r="B7" s="287"/>
      <c r="C7" s="288"/>
      <c r="D7" s="289"/>
      <c r="E7" s="290"/>
      <c r="F7" s="291"/>
      <c r="G7" s="467"/>
      <c r="H7" s="488"/>
    </row>
    <row r="8" spans="1:8" s="4" customFormat="1">
      <c r="A8" s="10"/>
      <c r="B8" s="5" t="s">
        <v>311</v>
      </c>
      <c r="C8" s="70"/>
      <c r="D8" s="120"/>
      <c r="E8" s="165"/>
      <c r="F8" s="337"/>
      <c r="G8" s="9"/>
      <c r="H8" s="487"/>
    </row>
    <row r="9" spans="1:8" s="4" customFormat="1" ht="25.5">
      <c r="A9" s="10"/>
      <c r="B9" s="5" t="s">
        <v>312</v>
      </c>
      <c r="C9" s="70"/>
      <c r="D9" s="120"/>
      <c r="E9" s="165"/>
      <c r="F9" s="337"/>
      <c r="G9" s="9"/>
      <c r="H9" s="487"/>
    </row>
    <row r="10" spans="1:8" s="4" customFormat="1">
      <c r="A10" s="10"/>
      <c r="B10" s="5"/>
      <c r="C10" s="70"/>
      <c r="D10" s="120"/>
      <c r="E10" s="165"/>
      <c r="F10" s="337"/>
      <c r="G10" s="9"/>
      <c r="H10" s="487"/>
    </row>
    <row r="11" spans="1:8" s="4" customFormat="1">
      <c r="A11" s="10"/>
      <c r="B11" s="5"/>
      <c r="C11" s="70"/>
      <c r="D11" s="120"/>
      <c r="E11" s="165"/>
      <c r="F11" s="337"/>
      <c r="G11" s="9"/>
      <c r="H11" s="487"/>
    </row>
    <row r="12" spans="1:8" s="5" customFormat="1">
      <c r="A12" s="38" t="s">
        <v>313</v>
      </c>
      <c r="B12" s="166" t="s">
        <v>314</v>
      </c>
      <c r="C12" s="39"/>
      <c r="D12" s="220"/>
      <c r="E12" s="241"/>
      <c r="F12" s="338"/>
      <c r="H12" s="489"/>
    </row>
    <row r="13" spans="1:8" s="5" customFormat="1">
      <c r="A13" s="10"/>
      <c r="C13" s="70"/>
      <c r="D13" s="120"/>
      <c r="E13" s="11"/>
      <c r="F13" s="339"/>
      <c r="H13" s="489"/>
    </row>
    <row r="14" spans="1:8" s="6" customFormat="1">
      <c r="A14" s="40" t="s">
        <v>315</v>
      </c>
      <c r="B14" s="41" t="s">
        <v>710</v>
      </c>
      <c r="C14" s="192"/>
      <c r="D14" s="122"/>
      <c r="E14" s="18"/>
      <c r="F14" s="339"/>
      <c r="H14" s="490"/>
    </row>
    <row r="15" spans="1:8" s="6" customFormat="1">
      <c r="A15" s="20"/>
      <c r="B15" s="44"/>
      <c r="C15" s="192"/>
      <c r="D15" s="122"/>
      <c r="E15" s="18"/>
      <c r="F15" s="339"/>
      <c r="H15" s="490"/>
    </row>
    <row r="16" spans="1:8" s="6" customFormat="1">
      <c r="A16" s="20"/>
      <c r="B16" s="53" t="s">
        <v>645</v>
      </c>
      <c r="C16" s="187"/>
      <c r="D16" s="52"/>
      <c r="E16" s="18"/>
      <c r="F16" s="356" t="str">
        <f>IF(D:D*E:E=0," ",D:D*E:E)</f>
        <v xml:space="preserve"> </v>
      </c>
      <c r="G16" s="205"/>
      <c r="H16" s="490"/>
    </row>
    <row r="17" spans="1:8" s="6" customFormat="1" ht="39.950000000000003" customHeight="1">
      <c r="A17" s="20"/>
      <c r="B17" s="361" t="s">
        <v>712</v>
      </c>
      <c r="C17" s="192"/>
      <c r="D17" s="52"/>
      <c r="E17" s="18"/>
      <c r="F17" s="356"/>
      <c r="G17" s="205"/>
      <c r="H17" s="490"/>
    </row>
    <row r="18" spans="1:8" s="6" customFormat="1" ht="29.25" customHeight="1">
      <c r="A18" s="20"/>
      <c r="B18" s="53" t="s">
        <v>713</v>
      </c>
      <c r="C18" s="192"/>
      <c r="D18" s="52"/>
      <c r="E18" s="18"/>
      <c r="F18" s="356"/>
      <c r="G18" s="205"/>
      <c r="H18" s="490"/>
    </row>
    <row r="19" spans="1:8" s="6" customFormat="1" ht="51">
      <c r="A19" s="20"/>
      <c r="B19" s="357" t="s">
        <v>714</v>
      </c>
      <c r="C19" s="192"/>
      <c r="D19" s="52"/>
      <c r="E19" s="18"/>
      <c r="F19" s="356"/>
      <c r="G19" s="205"/>
      <c r="H19" s="490"/>
    </row>
    <row r="20" spans="1:8" s="6" customFormat="1" ht="89.25">
      <c r="A20" s="20"/>
      <c r="B20" s="53" t="s">
        <v>715</v>
      </c>
      <c r="C20" s="187"/>
      <c r="D20" s="52"/>
      <c r="E20" s="18"/>
      <c r="F20" s="356"/>
      <c r="G20" s="205"/>
      <c r="H20" s="490"/>
    </row>
    <row r="21" spans="1:8" s="6" customFormat="1" ht="63.75">
      <c r="A21" s="20"/>
      <c r="B21" s="53" t="s">
        <v>716</v>
      </c>
      <c r="C21" s="187"/>
      <c r="D21" s="52"/>
      <c r="E21" s="18"/>
      <c r="F21" s="356"/>
      <c r="G21" s="205"/>
      <c r="H21" s="490"/>
    </row>
    <row r="22" spans="1:8" s="360" customFormat="1">
      <c r="A22" s="10"/>
      <c r="B22" s="358"/>
      <c r="C22" s="195"/>
      <c r="D22" s="52"/>
      <c r="E22" s="359"/>
      <c r="F22" s="170"/>
      <c r="G22" s="468"/>
      <c r="H22" s="489"/>
    </row>
    <row r="23" spans="1:8">
      <c r="A23" s="10"/>
      <c r="B23" s="7"/>
      <c r="D23" s="43"/>
      <c r="E23" s="242"/>
      <c r="F23" s="13"/>
    </row>
    <row r="24" spans="1:8" s="245" customFormat="1">
      <c r="A24" s="214" t="s">
        <v>569</v>
      </c>
      <c r="B24" s="243" t="s">
        <v>570</v>
      </c>
      <c r="C24" s="244"/>
      <c r="E24" s="244"/>
      <c r="F24" s="340"/>
      <c r="H24" s="491"/>
    </row>
    <row r="25" spans="1:8" s="245" customFormat="1">
      <c r="A25" s="214" t="s">
        <v>571</v>
      </c>
      <c r="B25" s="243" t="s">
        <v>572</v>
      </c>
      <c r="C25" s="244"/>
      <c r="E25" s="244"/>
      <c r="F25" s="340"/>
      <c r="H25" s="491"/>
    </row>
    <row r="26" spans="1:8" s="245" customFormat="1">
      <c r="A26" s="214" t="s">
        <v>573</v>
      </c>
      <c r="B26" s="243" t="s">
        <v>14</v>
      </c>
      <c r="C26" s="244"/>
      <c r="E26" s="244"/>
      <c r="F26" s="340"/>
      <c r="H26" s="491"/>
    </row>
    <row r="27" spans="1:8" s="245" customFormat="1" ht="25.5">
      <c r="A27" s="214"/>
      <c r="B27" s="246" t="s">
        <v>574</v>
      </c>
      <c r="C27" s="244"/>
      <c r="E27" s="244"/>
      <c r="F27" s="340"/>
      <c r="H27" s="491"/>
    </row>
    <row r="28" spans="1:8" s="245" customFormat="1" ht="38.25">
      <c r="A28" s="214" t="s">
        <v>571</v>
      </c>
      <c r="B28" s="246" t="s">
        <v>575</v>
      </c>
      <c r="C28" s="244"/>
      <c r="E28" s="244"/>
      <c r="F28" s="340"/>
      <c r="H28" s="491"/>
    </row>
    <row r="29" spans="1:8" s="245" customFormat="1">
      <c r="A29" s="214"/>
      <c r="B29" s="246"/>
      <c r="C29" s="244"/>
      <c r="E29" s="244"/>
      <c r="F29" s="340"/>
      <c r="H29" s="491"/>
    </row>
    <row r="30" spans="1:8" s="245" customFormat="1" ht="51">
      <c r="A30" s="214"/>
      <c r="B30" s="193" t="s">
        <v>576</v>
      </c>
      <c r="C30" s="244"/>
      <c r="E30" s="244"/>
      <c r="F30" s="340"/>
      <c r="H30" s="491"/>
    </row>
    <row r="31" spans="1:8">
      <c r="A31" s="10"/>
      <c r="B31" s="3"/>
      <c r="D31" s="43"/>
      <c r="E31" s="242"/>
      <c r="F31" s="13"/>
    </row>
    <row r="32" spans="1:8">
      <c r="A32" s="10"/>
      <c r="B32" s="7"/>
      <c r="D32" s="43"/>
      <c r="E32" s="242"/>
      <c r="F32" s="13"/>
    </row>
    <row r="33" spans="1:8">
      <c r="A33" s="10" t="s">
        <v>353</v>
      </c>
      <c r="B33" s="3" t="s">
        <v>558</v>
      </c>
      <c r="C33" s="194"/>
      <c r="D33" s="9"/>
      <c r="E33" s="11"/>
      <c r="F33" s="341"/>
    </row>
    <row r="34" spans="1:8" ht="38.25">
      <c r="A34" s="10"/>
      <c r="B34" s="3" t="s">
        <v>559</v>
      </c>
      <c r="C34" s="194"/>
      <c r="D34" s="9"/>
      <c r="E34" s="11"/>
      <c r="F34" s="341"/>
    </row>
    <row r="35" spans="1:8" ht="25.5">
      <c r="A35" s="10"/>
      <c r="B35" s="3" t="s">
        <v>560</v>
      </c>
      <c r="C35" s="194"/>
      <c r="D35" s="9"/>
      <c r="E35" s="11"/>
      <c r="F35" s="341"/>
    </row>
    <row r="36" spans="1:8">
      <c r="A36" s="10"/>
      <c r="B36" s="3" t="s">
        <v>561</v>
      </c>
      <c r="C36" s="194"/>
      <c r="D36" s="9"/>
      <c r="E36" s="11"/>
      <c r="F36" s="341"/>
    </row>
    <row r="37" spans="1:8">
      <c r="A37" s="10"/>
      <c r="B37" s="3" t="s">
        <v>568</v>
      </c>
      <c r="C37" s="194"/>
      <c r="D37" s="9"/>
      <c r="E37" s="11"/>
      <c r="F37" s="341"/>
    </row>
    <row r="38" spans="1:8" ht="25.5">
      <c r="A38" s="10"/>
      <c r="B38" s="3" t="s">
        <v>562</v>
      </c>
      <c r="C38" s="194"/>
      <c r="D38" s="9"/>
      <c r="E38" s="11"/>
      <c r="F38" s="341"/>
    </row>
    <row r="39" spans="1:8" ht="25.5">
      <c r="A39" s="10"/>
      <c r="B39" s="3" t="s">
        <v>563</v>
      </c>
      <c r="C39" s="194"/>
      <c r="D39" s="9"/>
      <c r="E39" s="11"/>
      <c r="F39" s="341"/>
    </row>
    <row r="40" spans="1:8" ht="25.5">
      <c r="A40" s="10"/>
      <c r="B40" s="3" t="s">
        <v>564</v>
      </c>
      <c r="C40" s="194"/>
      <c r="D40" s="9"/>
      <c r="E40" s="11"/>
      <c r="F40" s="341"/>
    </row>
    <row r="41" spans="1:8" ht="63.75">
      <c r="A41" s="10"/>
      <c r="B41" s="3" t="s">
        <v>565</v>
      </c>
      <c r="C41" s="194"/>
      <c r="D41" s="9"/>
      <c r="E41" s="11"/>
      <c r="F41" s="341"/>
    </row>
    <row r="42" spans="1:8" ht="25.5">
      <c r="A42" s="10"/>
      <c r="B42" s="3" t="s">
        <v>566</v>
      </c>
      <c r="C42" s="194"/>
      <c r="D42" s="9"/>
      <c r="E42" s="11"/>
      <c r="F42" s="341"/>
    </row>
    <row r="43" spans="1:8" ht="38.25">
      <c r="A43" s="10"/>
      <c r="B43" s="3" t="s">
        <v>567</v>
      </c>
      <c r="C43" s="194" t="s">
        <v>316</v>
      </c>
      <c r="D43" s="9">
        <v>1</v>
      </c>
      <c r="E43" s="13">
        <v>3000</v>
      </c>
      <c r="F43" s="198">
        <f>ROUND(D43*E43,2)</f>
        <v>3000</v>
      </c>
      <c r="H43" s="490" t="s">
        <v>1021</v>
      </c>
    </row>
    <row r="44" spans="1:8">
      <c r="A44" s="10"/>
      <c r="B44" s="3"/>
      <c r="C44" s="194"/>
      <c r="D44" s="9"/>
      <c r="E44" s="11"/>
      <c r="F44" s="341"/>
    </row>
    <row r="45" spans="1:8">
      <c r="A45" s="10"/>
      <c r="B45" s="3"/>
      <c r="C45" s="194"/>
      <c r="D45" s="9"/>
      <c r="E45" s="9"/>
      <c r="F45" s="247">
        <f t="shared" ref="F45:F46" si="0">D45*E45</f>
        <v>0</v>
      </c>
    </row>
    <row r="46" spans="1:8">
      <c r="A46" s="10" t="s">
        <v>376</v>
      </c>
      <c r="B46" s="3" t="s">
        <v>577</v>
      </c>
      <c r="C46" s="194"/>
      <c r="D46" s="9"/>
      <c r="E46" s="9"/>
      <c r="F46" s="247">
        <f t="shared" si="0"/>
        <v>0</v>
      </c>
    </row>
    <row r="47" spans="1:8" ht="38.25">
      <c r="A47" s="10"/>
      <c r="B47" s="3" t="s">
        <v>709</v>
      </c>
      <c r="C47" s="194"/>
      <c r="D47" s="9"/>
      <c r="E47" s="9"/>
      <c r="F47" s="247"/>
    </row>
    <row r="48" spans="1:8">
      <c r="A48" s="10"/>
      <c r="B48" s="3" t="s">
        <v>578</v>
      </c>
      <c r="C48" s="194" t="s">
        <v>316</v>
      </c>
      <c r="D48" s="9">
        <v>1</v>
      </c>
      <c r="E48" s="247">
        <v>150</v>
      </c>
      <c r="F48" s="198">
        <f>ROUND(D48*E48,2)</f>
        <v>150</v>
      </c>
      <c r="H48" s="490" t="s">
        <v>1021</v>
      </c>
    </row>
    <row r="49" spans="1:8">
      <c r="A49" s="10"/>
      <c r="B49" s="3"/>
      <c r="D49" s="43"/>
      <c r="E49"/>
      <c r="F49" s="247"/>
    </row>
    <row r="50" spans="1:8">
      <c r="A50" s="10"/>
      <c r="B50" s="3"/>
      <c r="D50" s="43"/>
      <c r="E50"/>
      <c r="F50" s="247"/>
    </row>
    <row r="51" spans="1:8">
      <c r="A51" s="10" t="s">
        <v>383</v>
      </c>
      <c r="B51" s="3" t="s">
        <v>579</v>
      </c>
      <c r="C51" s="194"/>
      <c r="D51" s="9"/>
      <c r="E51" s="9"/>
      <c r="F51" s="247"/>
    </row>
    <row r="52" spans="1:8" ht="63.75">
      <c r="A52" s="10"/>
      <c r="B52" s="3" t="s">
        <v>580</v>
      </c>
      <c r="C52" s="194"/>
      <c r="D52" s="9"/>
      <c r="E52" s="9"/>
      <c r="F52" s="247"/>
    </row>
    <row r="53" spans="1:8" ht="38.25">
      <c r="A53" s="10"/>
      <c r="B53" s="3" t="s">
        <v>581</v>
      </c>
      <c r="C53" s="194"/>
      <c r="D53" s="9"/>
      <c r="E53" s="9"/>
      <c r="F53" s="247"/>
    </row>
    <row r="54" spans="1:8">
      <c r="A54" s="10"/>
      <c r="B54" s="3" t="s">
        <v>578</v>
      </c>
      <c r="C54" s="194" t="s">
        <v>316</v>
      </c>
      <c r="D54" s="9">
        <v>1</v>
      </c>
      <c r="E54" s="247">
        <v>150</v>
      </c>
      <c r="F54" s="198">
        <f>ROUND(D54*E54,2)</f>
        <v>150</v>
      </c>
      <c r="H54" s="490" t="s">
        <v>1021</v>
      </c>
    </row>
    <row r="55" spans="1:8">
      <c r="A55" s="10"/>
      <c r="B55" s="3"/>
      <c r="D55" s="43"/>
      <c r="E55"/>
      <c r="F55" s="247"/>
    </row>
    <row r="56" spans="1:8" s="57" customFormat="1">
      <c r="A56" s="10"/>
      <c r="B56" s="358"/>
      <c r="C56" s="195"/>
      <c r="D56" s="195"/>
      <c r="E56" s="195"/>
      <c r="F56" s="195"/>
      <c r="G56" s="205"/>
      <c r="H56" s="490"/>
    </row>
    <row r="57" spans="1:8" s="331" customFormat="1" ht="25.5">
      <c r="A57" s="10" t="s">
        <v>385</v>
      </c>
      <c r="B57" s="53" t="s">
        <v>606</v>
      </c>
      <c r="C57" s="362"/>
      <c r="D57" s="363"/>
      <c r="E57" s="364"/>
      <c r="F57" s="365"/>
      <c r="G57" s="469"/>
      <c r="H57" s="489"/>
    </row>
    <row r="58" spans="1:8" s="331" customFormat="1">
      <c r="A58" s="381"/>
      <c r="B58" s="53" t="s">
        <v>651</v>
      </c>
      <c r="C58" s="362"/>
      <c r="D58" s="363"/>
      <c r="E58" s="364"/>
      <c r="F58" s="365"/>
      <c r="G58" s="469"/>
      <c r="H58" s="489"/>
    </row>
    <row r="59" spans="1:8" s="331" customFormat="1" ht="51">
      <c r="A59" s="381"/>
      <c r="B59" s="53" t="s">
        <v>717</v>
      </c>
      <c r="C59" s="362"/>
      <c r="D59" s="363"/>
      <c r="E59" s="364"/>
      <c r="F59" s="365"/>
      <c r="G59" s="469"/>
      <c r="H59" s="489"/>
    </row>
    <row r="60" spans="1:8" s="331" customFormat="1" ht="51">
      <c r="A60" s="381"/>
      <c r="B60" s="16" t="s">
        <v>729</v>
      </c>
      <c r="C60" s="362"/>
      <c r="D60" s="363"/>
      <c r="E60" s="364"/>
      <c r="F60" s="365"/>
      <c r="G60" s="469"/>
      <c r="H60" s="489"/>
    </row>
    <row r="61" spans="1:8" s="331" customFormat="1">
      <c r="A61" s="381"/>
      <c r="B61" s="53" t="s">
        <v>607</v>
      </c>
      <c r="C61" s="362"/>
      <c r="D61" s="363"/>
      <c r="E61" s="364"/>
      <c r="F61" s="365"/>
      <c r="G61" s="469"/>
      <c r="H61" s="489"/>
    </row>
    <row r="62" spans="1:8" s="331" customFormat="1" ht="38.25">
      <c r="A62" s="381"/>
      <c r="B62" s="53" t="s">
        <v>718</v>
      </c>
      <c r="C62" s="362"/>
      <c r="D62" s="363"/>
      <c r="E62" s="364"/>
      <c r="F62" s="365"/>
      <c r="G62" s="469"/>
      <c r="H62" s="489"/>
    </row>
    <row r="63" spans="1:8" s="331" customFormat="1">
      <c r="A63" s="381"/>
      <c r="B63" s="53" t="s">
        <v>719</v>
      </c>
      <c r="C63" s="362"/>
      <c r="D63" s="363"/>
      <c r="E63" s="364"/>
      <c r="F63" s="365"/>
      <c r="G63" s="469"/>
      <c r="H63" s="489"/>
    </row>
    <row r="64" spans="1:8" s="331" customFormat="1" ht="38.25">
      <c r="A64" s="381"/>
      <c r="B64" s="53" t="s">
        <v>720</v>
      </c>
      <c r="C64" s="362"/>
      <c r="D64" s="363"/>
      <c r="E64" s="364"/>
      <c r="F64" s="365"/>
      <c r="G64" s="469"/>
      <c r="H64" s="489"/>
    </row>
    <row r="65" spans="1:20" s="331" customFormat="1" ht="25.5">
      <c r="A65" s="381"/>
      <c r="B65" s="53" t="s">
        <v>608</v>
      </c>
      <c r="C65" s="362"/>
      <c r="D65" s="363"/>
      <c r="E65" s="364"/>
      <c r="F65" s="365"/>
      <c r="G65" s="469"/>
      <c r="H65" s="489"/>
    </row>
    <row r="66" spans="1:20" s="331" customFormat="1">
      <c r="A66" s="381"/>
      <c r="B66" s="53" t="s">
        <v>721</v>
      </c>
      <c r="C66" s="362"/>
      <c r="D66" s="363"/>
      <c r="E66" s="364"/>
      <c r="F66" s="365"/>
      <c r="G66" s="469"/>
      <c r="H66" s="489"/>
    </row>
    <row r="67" spans="1:20" s="331" customFormat="1">
      <c r="A67" s="381"/>
      <c r="B67" s="16" t="s">
        <v>722</v>
      </c>
      <c r="C67" s="195" t="s">
        <v>317</v>
      </c>
      <c r="D67" s="42">
        <v>700</v>
      </c>
      <c r="E67" s="247">
        <v>17</v>
      </c>
      <c r="F67" s="198">
        <f>ROUND(D67*E67,2)</f>
        <v>11900</v>
      </c>
      <c r="G67" s="470"/>
      <c r="H67" s="486" t="s">
        <v>1021</v>
      </c>
      <c r="I67" s="373"/>
      <c r="J67" s="374"/>
    </row>
    <row r="68" spans="1:20" s="331" customFormat="1">
      <c r="A68" s="381"/>
      <c r="B68" s="53"/>
      <c r="C68" s="195"/>
      <c r="D68" s="52"/>
      <c r="E68" s="18"/>
      <c r="F68" s="366"/>
      <c r="G68" s="470"/>
      <c r="H68" s="489"/>
    </row>
    <row r="69" spans="1:20" s="57" customFormat="1">
      <c r="A69" s="10"/>
      <c r="B69" s="358"/>
      <c r="C69" s="195"/>
      <c r="D69" s="195"/>
      <c r="E69" s="195"/>
      <c r="F69" s="195"/>
      <c r="G69" s="205"/>
      <c r="H69" s="490"/>
    </row>
    <row r="70" spans="1:20" s="368" customFormat="1">
      <c r="A70" s="10" t="s">
        <v>387</v>
      </c>
      <c r="B70" s="53" t="s">
        <v>723</v>
      </c>
      <c r="C70" s="187"/>
      <c r="D70" s="328"/>
      <c r="E70" s="367"/>
      <c r="F70" s="367"/>
      <c r="G70" s="469"/>
      <c r="H70" s="489"/>
    </row>
    <row r="71" spans="1:20" s="368" customFormat="1" ht="25.5">
      <c r="A71" s="10"/>
      <c r="B71" s="53" t="s">
        <v>724</v>
      </c>
      <c r="C71" s="187"/>
      <c r="D71" s="328"/>
      <c r="E71" s="367"/>
      <c r="F71" s="367"/>
      <c r="G71" s="469"/>
      <c r="H71" s="489"/>
    </row>
    <row r="72" spans="1:20" s="368" customFormat="1" ht="25.5">
      <c r="A72" s="10"/>
      <c r="B72" s="53" t="s">
        <v>725</v>
      </c>
      <c r="C72" s="195"/>
      <c r="D72" s="221"/>
      <c r="E72" s="221"/>
      <c r="F72" s="369"/>
      <c r="G72" s="469"/>
      <c r="H72" s="489"/>
    </row>
    <row r="73" spans="1:20" s="368" customFormat="1">
      <c r="A73" s="382"/>
      <c r="B73" s="53" t="s">
        <v>726</v>
      </c>
      <c r="C73" s="362"/>
      <c r="D73" s="370"/>
      <c r="E73" s="371"/>
      <c r="F73" s="371"/>
      <c r="G73" s="469"/>
      <c r="H73" s="489"/>
    </row>
    <row r="74" spans="1:20" s="368" customFormat="1" ht="51">
      <c r="A74" s="382"/>
      <c r="B74" s="53" t="s">
        <v>727</v>
      </c>
      <c r="C74" s="362"/>
      <c r="D74" s="370"/>
      <c r="E74" s="371"/>
      <c r="F74" s="371"/>
      <c r="G74" s="469"/>
      <c r="H74" s="489"/>
    </row>
    <row r="75" spans="1:20" s="368" customFormat="1" ht="15" customHeight="1">
      <c r="A75" s="382"/>
      <c r="B75" s="53" t="s">
        <v>728</v>
      </c>
      <c r="C75" s="195" t="s">
        <v>317</v>
      </c>
      <c r="D75" s="52">
        <v>60</v>
      </c>
      <c r="E75" s="372"/>
      <c r="F75" s="198" t="s">
        <v>732</v>
      </c>
      <c r="G75" s="471"/>
      <c r="H75" s="486" t="s">
        <v>1021</v>
      </c>
      <c r="I75" s="373"/>
      <c r="J75" s="374"/>
    </row>
    <row r="76" spans="1:20" s="368" customFormat="1">
      <c r="A76" s="382"/>
      <c r="B76" s="53"/>
      <c r="C76" s="195"/>
      <c r="D76" s="52"/>
      <c r="E76" s="372"/>
      <c r="F76" s="198"/>
      <c r="G76" s="471"/>
      <c r="H76" s="486"/>
    </row>
    <row r="77" spans="1:20" s="57" customFormat="1">
      <c r="A77" s="10"/>
      <c r="B77" s="358"/>
      <c r="C77" s="195"/>
      <c r="D77" s="195"/>
      <c r="E77" s="195"/>
      <c r="F77" s="195"/>
      <c r="G77" s="205"/>
      <c r="H77" s="490"/>
    </row>
    <row r="78" spans="1:20" s="6" customFormat="1" ht="51">
      <c r="A78" s="20" t="s">
        <v>389</v>
      </c>
      <c r="B78" s="53" t="s">
        <v>734</v>
      </c>
      <c r="C78" s="192"/>
      <c r="D78" s="375"/>
      <c r="E78" s="18"/>
      <c r="F78" s="356"/>
      <c r="G78" s="205"/>
      <c r="H78" s="490"/>
    </row>
    <row r="79" spans="1:20" s="58" customFormat="1" ht="53.25" customHeight="1">
      <c r="A79" s="20"/>
      <c r="B79" s="376" t="s">
        <v>582</v>
      </c>
      <c r="C79" s="377"/>
      <c r="D79" s="378"/>
      <c r="E79" s="378"/>
      <c r="F79" s="356"/>
      <c r="G79" s="472"/>
      <c r="H79" s="493"/>
      <c r="I79" s="379"/>
      <c r="J79" s="379"/>
      <c r="K79" s="379"/>
      <c r="L79" s="379"/>
      <c r="M79" s="379"/>
      <c r="N79" s="379"/>
      <c r="O79" s="379"/>
      <c r="P79" s="379"/>
      <c r="Q79" s="379"/>
      <c r="R79" s="379"/>
      <c r="S79" s="379"/>
      <c r="T79" s="379"/>
    </row>
    <row r="80" spans="1:20" s="58" customFormat="1" ht="38.25">
      <c r="A80" s="20"/>
      <c r="B80" s="376" t="s">
        <v>583</v>
      </c>
      <c r="C80" s="195" t="s">
        <v>335</v>
      </c>
      <c r="D80" s="52">
        <v>1</v>
      </c>
      <c r="E80" s="298"/>
      <c r="F80" s="198">
        <f>ROUND(D80*E80,2)</f>
        <v>0</v>
      </c>
      <c r="G80" s="205"/>
      <c r="H80" s="490" t="s">
        <v>1021</v>
      </c>
    </row>
    <row r="81" spans="1:10" s="58" customFormat="1" ht="12.75" customHeight="1">
      <c r="A81" s="20"/>
      <c r="B81" s="376"/>
      <c r="C81" s="195"/>
      <c r="D81" s="52"/>
      <c r="E81" s="298"/>
      <c r="F81" s="298"/>
      <c r="G81" s="205"/>
      <c r="H81" s="490"/>
    </row>
    <row r="82" spans="1:10" s="58" customFormat="1" ht="12.75" customHeight="1">
      <c r="A82" s="20"/>
      <c r="B82" s="376"/>
      <c r="C82" s="195"/>
      <c r="D82" s="52"/>
      <c r="E82" s="298"/>
      <c r="F82" s="298"/>
      <c r="G82" s="205"/>
      <c r="H82" s="490"/>
    </row>
    <row r="83" spans="1:10" s="57" customFormat="1" ht="25.5">
      <c r="A83" s="20" t="s">
        <v>391</v>
      </c>
      <c r="B83" s="16" t="s">
        <v>735</v>
      </c>
      <c r="C83" s="195"/>
      <c r="D83" s="52"/>
      <c r="E83" s="195"/>
      <c r="F83" s="195"/>
      <c r="G83" s="59"/>
      <c r="H83" s="490"/>
    </row>
    <row r="84" spans="1:10" s="57" customFormat="1">
      <c r="A84" s="20"/>
      <c r="B84" s="380" t="s">
        <v>585</v>
      </c>
      <c r="C84" s="195" t="s">
        <v>317</v>
      </c>
      <c r="D84" s="52">
        <v>130</v>
      </c>
      <c r="E84" s="170"/>
      <c r="F84" s="198">
        <f>ROUND(D84*E84,2)</f>
        <v>0</v>
      </c>
      <c r="G84" s="205"/>
      <c r="H84" s="486" t="s">
        <v>1021</v>
      </c>
      <c r="I84" s="373"/>
      <c r="J84" s="374"/>
    </row>
    <row r="85" spans="1:10" s="57" customFormat="1">
      <c r="A85" s="20"/>
      <c r="B85" s="380"/>
      <c r="C85" s="195"/>
      <c r="D85" s="230"/>
      <c r="E85" s="170"/>
      <c r="F85" s="356"/>
      <c r="G85" s="205"/>
      <c r="H85" s="490"/>
    </row>
    <row r="86" spans="1:10" s="57" customFormat="1">
      <c r="A86" s="10"/>
      <c r="B86" s="358"/>
      <c r="C86" s="195"/>
      <c r="D86" s="195"/>
      <c r="E86" s="195"/>
      <c r="F86" s="195"/>
      <c r="G86" s="205"/>
      <c r="H86" s="490"/>
    </row>
    <row r="87" spans="1:10" s="54" customFormat="1" ht="38.25">
      <c r="A87" s="10" t="s">
        <v>393</v>
      </c>
      <c r="B87" s="53" t="s">
        <v>730</v>
      </c>
      <c r="C87" s="187"/>
      <c r="D87" s="56"/>
      <c r="E87" s="56"/>
      <c r="F87" s="356"/>
      <c r="G87" s="468"/>
      <c r="H87" s="489"/>
    </row>
    <row r="88" spans="1:10" s="54" customFormat="1">
      <c r="A88" s="10"/>
      <c r="B88" s="53" t="s">
        <v>731</v>
      </c>
      <c r="C88" s="187" t="s">
        <v>317</v>
      </c>
      <c r="D88" s="52">
        <v>100</v>
      </c>
      <c r="E88" s="170"/>
      <c r="F88" s="198">
        <f>ROUND(D88*E88,2)</f>
        <v>0</v>
      </c>
      <c r="G88" s="468"/>
      <c r="H88" s="486" t="s">
        <v>1021</v>
      </c>
    </row>
    <row r="89" spans="1:10" s="54" customFormat="1">
      <c r="A89" s="10"/>
      <c r="B89" s="53"/>
      <c r="C89" s="187"/>
      <c r="D89" s="56"/>
      <c r="E89" s="56"/>
      <c r="F89" s="356"/>
      <c r="G89" s="468"/>
      <c r="H89" s="489"/>
    </row>
    <row r="90" spans="1:10">
      <c r="A90" s="10"/>
      <c r="B90" s="3"/>
      <c r="D90" s="43"/>
      <c r="E90" s="247"/>
      <c r="F90" s="247"/>
    </row>
    <row r="91" spans="1:10" s="5" customFormat="1" ht="38.25">
      <c r="A91" s="10" t="s">
        <v>377</v>
      </c>
      <c r="B91" s="3" t="s">
        <v>700</v>
      </c>
      <c r="C91" s="194" t="s">
        <v>535</v>
      </c>
      <c r="D91" s="9">
        <v>1</v>
      </c>
      <c r="E91" s="247"/>
      <c r="F91" s="198">
        <f>ROUND(D91*E91,2)</f>
        <v>0</v>
      </c>
      <c r="H91" s="489" t="s">
        <v>1021</v>
      </c>
    </row>
    <row r="92" spans="1:10" s="4" customFormat="1">
      <c r="A92" s="10"/>
      <c r="C92" s="194"/>
      <c r="D92" s="9"/>
      <c r="E92" s="247"/>
      <c r="F92" s="247"/>
      <c r="H92" s="489"/>
    </row>
    <row r="93" spans="1:10">
      <c r="A93" s="10"/>
      <c r="B93" s="3"/>
      <c r="D93" s="43"/>
      <c r="E93" s="247"/>
      <c r="F93" s="247"/>
      <c r="H93" s="489"/>
    </row>
    <row r="94" spans="1:10" s="5" customFormat="1" ht="25.5">
      <c r="A94" s="10" t="s">
        <v>396</v>
      </c>
      <c r="B94" s="3" t="s">
        <v>609</v>
      </c>
      <c r="C94" s="194" t="s">
        <v>535</v>
      </c>
      <c r="D94" s="9">
        <v>1</v>
      </c>
      <c r="E94" s="247"/>
      <c r="F94" s="198">
        <f>ROUND(D94*E94,2)</f>
        <v>0</v>
      </c>
      <c r="H94" s="489" t="s">
        <v>1021</v>
      </c>
    </row>
    <row r="95" spans="1:10" s="4" customFormat="1">
      <c r="A95" s="10"/>
      <c r="C95" s="194"/>
      <c r="D95" s="9"/>
      <c r="E95" s="9"/>
      <c r="F95" s="247"/>
      <c r="H95" s="489"/>
    </row>
    <row r="96" spans="1:10" s="7" customFormat="1">
      <c r="A96" s="10"/>
      <c r="B96" s="16"/>
      <c r="C96" s="13"/>
      <c r="D96" s="43"/>
      <c r="E96" s="42"/>
      <c r="F96" s="339"/>
      <c r="H96" s="490"/>
    </row>
    <row r="97" spans="1:8" s="5" customFormat="1">
      <c r="A97" s="38" t="s">
        <v>315</v>
      </c>
      <c r="B97" s="166" t="s">
        <v>711</v>
      </c>
      <c r="C97" s="39"/>
      <c r="D97" s="220"/>
      <c r="E97" s="241"/>
      <c r="F97" s="338">
        <f>SUM(F14:F96)</f>
        <v>15200</v>
      </c>
      <c r="H97" s="489"/>
    </row>
    <row r="98" spans="1:8" s="7" customFormat="1">
      <c r="A98" s="10"/>
      <c r="B98" s="44"/>
      <c r="C98" s="13"/>
      <c r="D98" s="43"/>
      <c r="E98" s="42"/>
      <c r="F98" s="339"/>
      <c r="H98" s="490"/>
    </row>
    <row r="99" spans="1:8" s="5" customFormat="1">
      <c r="A99" s="10"/>
      <c r="C99" s="70"/>
      <c r="D99" s="120"/>
      <c r="E99" s="11"/>
      <c r="F99" s="339"/>
      <c r="H99" s="489"/>
    </row>
    <row r="100" spans="1:8" s="6" customFormat="1">
      <c r="A100" s="40" t="s">
        <v>318</v>
      </c>
      <c r="B100" s="41" t="s">
        <v>319</v>
      </c>
      <c r="C100" s="192"/>
      <c r="D100" s="122"/>
      <c r="E100" s="18"/>
      <c r="F100" s="339"/>
      <c r="H100" s="490"/>
    </row>
    <row r="101" spans="1:8" s="6" customFormat="1">
      <c r="A101" s="20"/>
      <c r="B101" s="44"/>
      <c r="C101" s="192"/>
      <c r="D101" s="122"/>
      <c r="E101" s="18"/>
      <c r="F101" s="339"/>
      <c r="H101" s="490"/>
    </row>
    <row r="102" spans="1:8" s="6" customFormat="1" ht="409.5" customHeight="1">
      <c r="A102" s="20"/>
      <c r="B102" s="44"/>
      <c r="C102" s="192"/>
      <c r="D102" s="122"/>
      <c r="E102" s="18"/>
      <c r="F102" s="339"/>
      <c r="H102" s="490"/>
    </row>
    <row r="103" spans="1:8" s="6" customFormat="1" ht="279.75" customHeight="1">
      <c r="A103" s="20"/>
      <c r="B103" s="44"/>
      <c r="C103" s="192"/>
      <c r="D103" s="122"/>
      <c r="E103" s="18"/>
      <c r="F103" s="339"/>
      <c r="H103" s="490"/>
    </row>
    <row r="104" spans="1:8" s="6" customFormat="1" ht="104.25" customHeight="1">
      <c r="A104" s="20"/>
      <c r="B104" s="44"/>
      <c r="C104" s="192"/>
      <c r="D104" s="122"/>
      <c r="E104" s="18"/>
      <c r="F104" s="339"/>
      <c r="H104" s="490"/>
    </row>
    <row r="105" spans="1:8" s="6" customFormat="1">
      <c r="A105" s="20"/>
      <c r="B105" s="44"/>
      <c r="C105" s="192"/>
      <c r="D105" s="122"/>
      <c r="E105" s="18"/>
      <c r="F105" s="339"/>
      <c r="H105" s="490"/>
    </row>
    <row r="106" spans="1:8" s="6" customFormat="1">
      <c r="A106" s="20"/>
      <c r="B106" s="16" t="s">
        <v>519</v>
      </c>
      <c r="C106" s="45"/>
      <c r="D106" s="139"/>
      <c r="E106" s="167"/>
      <c r="F106" s="342"/>
      <c r="G106" s="18"/>
      <c r="H106" s="490"/>
    </row>
    <row r="107" spans="1:8" s="6" customFormat="1" ht="51">
      <c r="A107" s="20"/>
      <c r="B107" s="16" t="s">
        <v>557</v>
      </c>
      <c r="C107" s="45"/>
      <c r="D107" s="139"/>
      <c r="E107" s="167"/>
      <c r="F107" s="342"/>
      <c r="G107" s="18"/>
      <c r="H107" s="490"/>
    </row>
    <row r="108" spans="1:8" s="6" customFormat="1" ht="24" customHeight="1">
      <c r="A108" s="20"/>
      <c r="B108" s="16" t="s">
        <v>556</v>
      </c>
      <c r="C108" s="192"/>
      <c r="D108" s="122"/>
      <c r="E108" s="18"/>
      <c r="F108" s="341"/>
      <c r="H108" s="490"/>
    </row>
    <row r="109" spans="1:8" s="6" customFormat="1" ht="30.75" customHeight="1">
      <c r="A109" s="20"/>
      <c r="B109" s="16" t="s">
        <v>520</v>
      </c>
      <c r="C109" s="45"/>
      <c r="D109" s="139"/>
      <c r="E109" s="167"/>
      <c r="F109" s="342"/>
      <c r="G109" s="18"/>
      <c r="H109" s="490"/>
    </row>
    <row r="110" spans="1:8" s="6" customFormat="1">
      <c r="A110" s="20"/>
      <c r="B110" s="16"/>
      <c r="C110" s="45"/>
      <c r="D110" s="139"/>
      <c r="E110" s="167"/>
      <c r="F110" s="342"/>
      <c r="G110" s="18"/>
      <c r="H110" s="490"/>
    </row>
    <row r="111" spans="1:8" s="6" customFormat="1">
      <c r="A111" s="20"/>
      <c r="B111" s="16"/>
      <c r="C111" s="45"/>
      <c r="D111" s="139"/>
      <c r="E111" s="167"/>
      <c r="F111" s="342"/>
      <c r="G111" s="18"/>
      <c r="H111" s="490"/>
    </row>
    <row r="112" spans="1:8" s="58" customFormat="1" ht="25.5">
      <c r="A112" s="10" t="s">
        <v>353</v>
      </c>
      <c r="B112" s="16" t="s">
        <v>754</v>
      </c>
      <c r="C112" s="195"/>
      <c r="D112" s="52"/>
      <c r="E112" s="52"/>
      <c r="F112" s="356"/>
      <c r="H112" s="490"/>
    </row>
    <row r="113" spans="1:10" s="58" customFormat="1">
      <c r="A113" s="10"/>
      <c r="B113" s="53" t="s">
        <v>736</v>
      </c>
      <c r="C113" s="195"/>
      <c r="D113" s="296"/>
      <c r="E113" s="298"/>
      <c r="G113" s="52"/>
      <c r="H113" s="490"/>
    </row>
    <row r="114" spans="1:10" s="58" customFormat="1">
      <c r="A114" s="10"/>
      <c r="B114" s="53" t="s">
        <v>737</v>
      </c>
      <c r="C114" s="195" t="s">
        <v>322</v>
      </c>
      <c r="D114" s="42">
        <v>33</v>
      </c>
      <c r="E114" s="52"/>
      <c r="F114" s="198">
        <f>ROUND(D114*E114,2)</f>
        <v>0</v>
      </c>
      <c r="H114" s="486" t="s">
        <v>1022</v>
      </c>
      <c r="I114" s="373"/>
      <c r="J114" s="374"/>
    </row>
    <row r="115" spans="1:10" s="58" customFormat="1">
      <c r="A115" s="10"/>
      <c r="B115" s="53"/>
      <c r="C115" s="195"/>
      <c r="D115" s="233"/>
      <c r="E115" s="52"/>
      <c r="F115" s="356"/>
      <c r="H115" s="490"/>
    </row>
    <row r="116" spans="1:10" s="58" customFormat="1">
      <c r="A116" s="10"/>
      <c r="B116" s="53"/>
      <c r="C116" s="195"/>
      <c r="D116" s="233"/>
      <c r="E116" s="52"/>
      <c r="F116" s="356"/>
      <c r="H116" s="486"/>
      <c r="I116" s="373"/>
      <c r="J116" s="374"/>
    </row>
    <row r="117" spans="1:10" s="58" customFormat="1" ht="25.5">
      <c r="A117" s="10" t="s">
        <v>376</v>
      </c>
      <c r="B117" s="16" t="s">
        <v>743</v>
      </c>
      <c r="C117" s="195"/>
      <c r="D117" s="233"/>
      <c r="E117" s="52"/>
      <c r="F117" s="356"/>
      <c r="H117" s="490"/>
    </row>
    <row r="118" spans="1:10" s="58" customFormat="1">
      <c r="A118" s="10"/>
      <c r="B118" s="53" t="s">
        <v>736</v>
      </c>
      <c r="C118" s="195"/>
      <c r="D118" s="238"/>
      <c r="E118" s="298"/>
      <c r="G118" s="52"/>
      <c r="H118" s="490"/>
    </row>
    <row r="119" spans="1:10" s="58" customFormat="1">
      <c r="A119" s="10"/>
      <c r="B119" s="53" t="s">
        <v>737</v>
      </c>
      <c r="C119" s="195" t="s">
        <v>322</v>
      </c>
      <c r="D119" s="42">
        <v>28</v>
      </c>
      <c r="E119" s="52"/>
      <c r="F119" s="198">
        <f>ROUND(D119*E119,2)</f>
        <v>0</v>
      </c>
      <c r="H119" s="486" t="s">
        <v>1022</v>
      </c>
    </row>
    <row r="120" spans="1:10" s="58" customFormat="1">
      <c r="A120" s="10"/>
      <c r="B120" s="53"/>
      <c r="C120" s="195"/>
      <c r="D120" s="233"/>
      <c r="E120" s="52"/>
      <c r="F120" s="356"/>
      <c r="H120" s="490"/>
    </row>
    <row r="121" spans="1:10" s="58" customFormat="1">
      <c r="A121" s="10"/>
      <c r="B121" s="53"/>
      <c r="C121" s="195"/>
      <c r="D121" s="233"/>
      <c r="E121" s="52"/>
      <c r="F121" s="356"/>
      <c r="H121" s="490"/>
    </row>
    <row r="122" spans="1:10" s="58" customFormat="1" ht="25.5">
      <c r="A122" s="10" t="s">
        <v>383</v>
      </c>
      <c r="B122" s="16" t="s">
        <v>758</v>
      </c>
      <c r="C122" s="195"/>
      <c r="D122" s="238"/>
      <c r="E122" s="298"/>
      <c r="G122" s="52"/>
      <c r="H122" s="486"/>
    </row>
    <row r="123" spans="1:10" s="58" customFormat="1">
      <c r="A123" s="10"/>
      <c r="B123" s="53" t="s">
        <v>736</v>
      </c>
      <c r="C123" s="195"/>
      <c r="D123" s="238"/>
      <c r="E123" s="298"/>
      <c r="G123" s="52"/>
      <c r="H123" s="490"/>
    </row>
    <row r="124" spans="1:10" s="58" customFormat="1">
      <c r="A124" s="10"/>
      <c r="B124" s="53" t="s">
        <v>737</v>
      </c>
      <c r="C124" s="195" t="s">
        <v>322</v>
      </c>
      <c r="D124" s="236">
        <v>28</v>
      </c>
      <c r="E124" s="52"/>
      <c r="F124" s="198">
        <f>ROUND(D124*E124,2)</f>
        <v>0</v>
      </c>
      <c r="G124" s="52"/>
      <c r="H124" s="486" t="s">
        <v>1022</v>
      </c>
    </row>
    <row r="125" spans="1:10" s="58" customFormat="1">
      <c r="A125" s="10"/>
      <c r="B125" s="53"/>
      <c r="C125" s="195"/>
      <c r="D125" s="296"/>
      <c r="E125" s="52"/>
      <c r="F125" s="356"/>
      <c r="G125" s="52"/>
      <c r="H125" s="490"/>
    </row>
    <row r="126" spans="1:10" s="58" customFormat="1">
      <c r="A126" s="10"/>
      <c r="B126" s="53"/>
      <c r="C126" s="195"/>
      <c r="D126" s="296"/>
      <c r="E126" s="52"/>
      <c r="F126" s="356"/>
      <c r="G126" s="52"/>
      <c r="H126" s="490"/>
    </row>
    <row r="127" spans="1:10" s="58" customFormat="1">
      <c r="A127" s="10" t="s">
        <v>385</v>
      </c>
      <c r="B127" s="53" t="s">
        <v>741</v>
      </c>
      <c r="C127" s="195"/>
      <c r="D127" s="296"/>
      <c r="E127" s="52"/>
      <c r="F127" s="356"/>
      <c r="G127" s="52"/>
      <c r="H127" s="490"/>
    </row>
    <row r="128" spans="1:10" s="58" customFormat="1">
      <c r="A128" s="10"/>
      <c r="B128" s="16" t="s">
        <v>742</v>
      </c>
      <c r="C128" s="195" t="s">
        <v>322</v>
      </c>
      <c r="D128" s="296">
        <v>25</v>
      </c>
      <c r="E128" s="52"/>
      <c r="F128" s="198">
        <f t="shared" ref="F128:F129" si="1">ROUND(D128*E128,2)</f>
        <v>0</v>
      </c>
      <c r="G128" s="52"/>
      <c r="H128" s="486" t="s">
        <v>1022</v>
      </c>
    </row>
    <row r="129" spans="1:8" s="58" customFormat="1">
      <c r="A129" s="10"/>
      <c r="B129" s="16" t="s">
        <v>746</v>
      </c>
      <c r="C129" s="195" t="s">
        <v>322</v>
      </c>
      <c r="D129" s="296">
        <v>25</v>
      </c>
      <c r="E129" s="52"/>
      <c r="F129" s="198">
        <f t="shared" si="1"/>
        <v>0</v>
      </c>
      <c r="G129" s="52"/>
      <c r="H129" s="486" t="s">
        <v>1022</v>
      </c>
    </row>
    <row r="130" spans="1:8" s="58" customFormat="1">
      <c r="A130" s="10"/>
      <c r="B130" s="16" t="s">
        <v>744</v>
      </c>
      <c r="C130" s="195" t="s">
        <v>322</v>
      </c>
      <c r="D130" s="296">
        <v>25</v>
      </c>
      <c r="E130" s="52"/>
      <c r="F130" s="198">
        <f t="shared" ref="F130" si="2">ROUND(D130*E130,2)</f>
        <v>0</v>
      </c>
      <c r="G130" s="52"/>
      <c r="H130" s="486" t="s">
        <v>1022</v>
      </c>
    </row>
    <row r="131" spans="1:8" s="58" customFormat="1">
      <c r="A131" s="10"/>
      <c r="B131" s="16"/>
      <c r="C131" s="195"/>
      <c r="D131" s="296"/>
      <c r="E131" s="52"/>
      <c r="F131" s="198"/>
      <c r="G131" s="52"/>
      <c r="H131" s="490"/>
    </row>
    <row r="132" spans="1:8" s="58" customFormat="1">
      <c r="A132" s="10"/>
      <c r="B132" s="53"/>
      <c r="C132" s="195"/>
      <c r="D132" s="238"/>
      <c r="E132" s="298"/>
      <c r="G132" s="52"/>
      <c r="H132" s="490"/>
    </row>
    <row r="133" spans="1:8" s="58" customFormat="1" ht="25.5">
      <c r="A133" s="10" t="s">
        <v>387</v>
      </c>
      <c r="B133" s="53" t="s">
        <v>738</v>
      </c>
      <c r="C133" s="195"/>
      <c r="D133" s="238"/>
      <c r="E133" s="52"/>
      <c r="F133" s="356"/>
      <c r="G133" s="52"/>
      <c r="H133" s="490"/>
    </row>
    <row r="134" spans="1:8" s="58" customFormat="1">
      <c r="A134" s="10"/>
      <c r="B134" s="53" t="s">
        <v>737</v>
      </c>
      <c r="C134" s="195"/>
      <c r="D134" s="238"/>
      <c r="E134" s="52"/>
      <c r="F134" s="356"/>
      <c r="G134" s="52"/>
      <c r="H134" s="490"/>
    </row>
    <row r="135" spans="1:8" s="58" customFormat="1">
      <c r="A135" s="10"/>
      <c r="B135" s="53" t="s">
        <v>739</v>
      </c>
      <c r="C135" s="195" t="s">
        <v>322</v>
      </c>
      <c r="D135" s="236">
        <v>72</v>
      </c>
      <c r="E135" s="52"/>
      <c r="F135" s="198">
        <f>ROUND(D135*E135,2)</f>
        <v>0</v>
      </c>
      <c r="G135" s="52"/>
      <c r="H135" s="486" t="s">
        <v>1022</v>
      </c>
    </row>
    <row r="136" spans="1:8" s="58" customFormat="1">
      <c r="A136" s="10"/>
      <c r="B136" s="53"/>
      <c r="C136" s="195"/>
      <c r="D136" s="238"/>
      <c r="E136" s="52"/>
      <c r="F136" s="356"/>
      <c r="G136" s="52"/>
      <c r="H136" s="490"/>
    </row>
    <row r="137" spans="1:8" s="58" customFormat="1">
      <c r="A137" s="10"/>
      <c r="B137" s="53"/>
      <c r="C137" s="195"/>
      <c r="D137" s="238"/>
      <c r="E137" s="52"/>
      <c r="F137" s="356"/>
      <c r="G137" s="52"/>
      <c r="H137" s="490"/>
    </row>
    <row r="138" spans="1:8" s="58" customFormat="1" ht="25.5">
      <c r="A138" s="10" t="s">
        <v>389</v>
      </c>
      <c r="B138" s="16" t="s">
        <v>748</v>
      </c>
      <c r="C138" s="195"/>
      <c r="D138" s="233"/>
      <c r="E138" s="52"/>
      <c r="F138" s="356"/>
      <c r="H138" s="490"/>
    </row>
    <row r="139" spans="1:8" s="58" customFormat="1">
      <c r="A139" s="10"/>
      <c r="B139" s="53" t="s">
        <v>736</v>
      </c>
      <c r="C139" s="195"/>
      <c r="D139" s="238"/>
      <c r="E139" s="298"/>
      <c r="G139" s="52"/>
      <c r="H139" s="490"/>
    </row>
    <row r="140" spans="1:8" s="58" customFormat="1">
      <c r="A140" s="10"/>
      <c r="B140" s="53" t="s">
        <v>737</v>
      </c>
      <c r="C140" s="195" t="s">
        <v>322</v>
      </c>
      <c r="D140" s="42">
        <v>31</v>
      </c>
      <c r="E140" s="52"/>
      <c r="F140" s="198">
        <f>ROUND(D140*E140,2)</f>
        <v>0</v>
      </c>
      <c r="H140" s="486" t="s">
        <v>1022</v>
      </c>
    </row>
    <row r="141" spans="1:8" s="58" customFormat="1">
      <c r="A141" s="10"/>
      <c r="B141" s="53"/>
      <c r="C141" s="195"/>
      <c r="D141" s="233"/>
      <c r="E141" s="52"/>
      <c r="F141" s="356"/>
      <c r="H141" s="490"/>
    </row>
    <row r="142" spans="1:8" s="58" customFormat="1">
      <c r="A142" s="20"/>
      <c r="B142" s="53"/>
      <c r="C142" s="195"/>
      <c r="D142" s="238"/>
      <c r="E142" s="298"/>
      <c r="F142" s="298"/>
      <c r="G142" s="205"/>
      <c r="H142" s="490"/>
    </row>
    <row r="143" spans="1:8" s="58" customFormat="1" ht="38.25">
      <c r="A143" s="10" t="s">
        <v>391</v>
      </c>
      <c r="B143" s="16" t="s">
        <v>740</v>
      </c>
      <c r="C143" s="195"/>
      <c r="D143" s="238"/>
      <c r="E143" s="298"/>
      <c r="F143" s="297"/>
      <c r="G143" s="205"/>
      <c r="H143" s="490"/>
    </row>
    <row r="144" spans="1:8" s="58" customFormat="1" ht="25.5">
      <c r="A144" s="10"/>
      <c r="B144" s="53" t="s">
        <v>587</v>
      </c>
      <c r="D144" s="297"/>
      <c r="E144" s="297"/>
      <c r="F144" s="297"/>
      <c r="G144" s="205"/>
      <c r="H144" s="490"/>
    </row>
    <row r="145" spans="1:10" s="58" customFormat="1">
      <c r="A145" s="10"/>
      <c r="B145" s="53" t="s">
        <v>733</v>
      </c>
      <c r="C145" s="195" t="s">
        <v>322</v>
      </c>
      <c r="D145" s="42">
        <v>110</v>
      </c>
      <c r="E145" s="298"/>
      <c r="F145" s="198">
        <f>ROUND(D145*E145,2)</f>
        <v>0</v>
      </c>
      <c r="G145" s="205"/>
      <c r="H145" s="486" t="s">
        <v>1022</v>
      </c>
    </row>
    <row r="146" spans="1:10" s="58" customFormat="1">
      <c r="A146" s="10"/>
      <c r="B146" s="53"/>
      <c r="C146" s="195"/>
      <c r="D146" s="238"/>
      <c r="E146" s="298"/>
      <c r="F146" s="298"/>
      <c r="G146" s="205"/>
      <c r="H146" s="490"/>
    </row>
    <row r="147" spans="1:10" s="58" customFormat="1">
      <c r="A147" s="10"/>
      <c r="B147" s="53"/>
      <c r="C147" s="195"/>
      <c r="D147" s="296"/>
      <c r="E147" s="298"/>
      <c r="F147" s="297"/>
      <c r="G147" s="205"/>
      <c r="H147" s="490"/>
    </row>
    <row r="148" spans="1:10" s="58" customFormat="1" ht="38.25">
      <c r="A148" s="10" t="s">
        <v>393</v>
      </c>
      <c r="B148" s="16" t="s">
        <v>745</v>
      </c>
      <c r="C148" s="195"/>
      <c r="D148" s="52"/>
      <c r="E148" s="52"/>
      <c r="F148" s="356"/>
      <c r="G148" s="205"/>
      <c r="H148" s="490"/>
    </row>
    <row r="149" spans="1:10" s="58" customFormat="1">
      <c r="A149" s="10"/>
      <c r="B149" s="53" t="s">
        <v>736</v>
      </c>
      <c r="C149" s="195"/>
      <c r="D149" s="52"/>
      <c r="E149" s="52"/>
      <c r="F149" s="356"/>
      <c r="G149" s="205"/>
      <c r="H149" s="490"/>
    </row>
    <row r="150" spans="1:10" s="58" customFormat="1">
      <c r="A150" s="10"/>
      <c r="B150" s="16" t="s">
        <v>737</v>
      </c>
      <c r="C150" s="195" t="s">
        <v>322</v>
      </c>
      <c r="D150" s="52">
        <v>25</v>
      </c>
      <c r="E150" s="52"/>
      <c r="F150" s="198">
        <f>ROUND(D150*E150,2)</f>
        <v>0</v>
      </c>
      <c r="G150" s="205"/>
      <c r="H150" s="486" t="s">
        <v>1022</v>
      </c>
    </row>
    <row r="151" spans="1:10" s="58" customFormat="1">
      <c r="A151" s="10"/>
      <c r="B151" s="53"/>
      <c r="C151" s="195"/>
      <c r="D151" s="296"/>
      <c r="E151" s="298"/>
      <c r="F151" s="297"/>
      <c r="G151" s="205"/>
      <c r="H151" s="490"/>
    </row>
    <row r="152" spans="1:10" s="58" customFormat="1" ht="12.75" customHeight="1">
      <c r="A152" s="10"/>
      <c r="B152" s="53"/>
      <c r="C152" s="195"/>
      <c r="D152" s="238"/>
      <c r="E152" s="298"/>
      <c r="F152" s="298"/>
      <c r="G152" s="205"/>
      <c r="H152" s="490"/>
    </row>
    <row r="153" spans="1:10" s="58" customFormat="1" ht="27" customHeight="1">
      <c r="A153" s="10" t="s">
        <v>377</v>
      </c>
      <c r="B153" s="16" t="s">
        <v>749</v>
      </c>
      <c r="C153" s="195"/>
      <c r="D153" s="238"/>
      <c r="E153" s="298"/>
      <c r="F153" s="297"/>
      <c r="G153" s="205"/>
      <c r="H153" s="490"/>
    </row>
    <row r="154" spans="1:10" s="58" customFormat="1">
      <c r="A154" s="10"/>
      <c r="B154" s="53" t="s">
        <v>733</v>
      </c>
      <c r="C154" s="195"/>
      <c r="D154" s="238"/>
      <c r="E154" s="298"/>
      <c r="F154" s="297"/>
      <c r="G154" s="205"/>
      <c r="H154" s="490"/>
    </row>
    <row r="155" spans="1:10" s="58" customFormat="1" ht="27" customHeight="1">
      <c r="A155" s="10"/>
      <c r="B155" s="53" t="s">
        <v>587</v>
      </c>
      <c r="C155" s="195" t="s">
        <v>322</v>
      </c>
      <c r="D155" s="42">
        <v>9</v>
      </c>
      <c r="E155" s="298"/>
      <c r="F155" s="198">
        <f>ROUND(D155*E155,2)</f>
        <v>0</v>
      </c>
      <c r="G155" s="205"/>
      <c r="H155" s="486" t="s">
        <v>1022</v>
      </c>
      <c r="I155" s="373"/>
      <c r="J155" s="374"/>
    </row>
    <row r="156" spans="1:10" s="6" customFormat="1">
      <c r="A156" s="20"/>
      <c r="B156" s="16"/>
      <c r="C156" s="45"/>
      <c r="D156" s="139"/>
      <c r="E156" s="167"/>
      <c r="F156" s="342"/>
      <c r="G156" s="18"/>
      <c r="H156" s="490"/>
    </row>
    <row r="157" spans="1:10" s="58" customFormat="1">
      <c r="A157" s="65"/>
      <c r="B157" s="53"/>
      <c r="C157" s="195"/>
      <c r="D157" s="52"/>
      <c r="E157" s="52"/>
      <c r="F157" s="356"/>
      <c r="H157" s="490"/>
    </row>
    <row r="158" spans="1:10" s="58" customFormat="1" ht="42" customHeight="1">
      <c r="A158" s="10" t="s">
        <v>396</v>
      </c>
      <c r="B158" s="16" t="s">
        <v>757</v>
      </c>
      <c r="C158" s="195"/>
      <c r="D158" s="52"/>
      <c r="E158" s="52"/>
      <c r="F158" s="356"/>
      <c r="H158" s="490"/>
    </row>
    <row r="159" spans="1:10" s="58" customFormat="1" ht="25.5">
      <c r="A159" s="65"/>
      <c r="B159" s="53" t="s">
        <v>586</v>
      </c>
      <c r="C159" s="195"/>
      <c r="D159" s="52"/>
      <c r="E159" s="52"/>
      <c r="F159" s="356"/>
      <c r="H159" s="490"/>
    </row>
    <row r="160" spans="1:10" s="58" customFormat="1">
      <c r="A160" s="65"/>
      <c r="B160" s="53" t="s">
        <v>747</v>
      </c>
      <c r="C160" s="195" t="s">
        <v>316</v>
      </c>
      <c r="D160" s="42">
        <v>6</v>
      </c>
      <c r="E160" s="52"/>
      <c r="F160" s="198">
        <f>ROUND(D160*E160,2)</f>
        <v>0</v>
      </c>
      <c r="H160" s="486" t="s">
        <v>1022</v>
      </c>
    </row>
    <row r="161" spans="1:9" s="58" customFormat="1">
      <c r="A161" s="65"/>
      <c r="B161" s="53"/>
      <c r="C161" s="195"/>
      <c r="D161" s="52"/>
      <c r="E161" s="52"/>
      <c r="F161" s="356"/>
      <c r="H161" s="490"/>
    </row>
    <row r="162" spans="1:9" s="58" customFormat="1" ht="13.5" customHeight="1">
      <c r="A162" s="214"/>
      <c r="B162" s="53"/>
      <c r="C162" s="195"/>
      <c r="D162" s="52"/>
      <c r="E162" s="52"/>
      <c r="F162" s="356"/>
      <c r="G162" s="205"/>
      <c r="H162" s="490"/>
    </row>
    <row r="163" spans="1:9" s="58" customFormat="1" ht="28.5" customHeight="1">
      <c r="A163" s="20" t="s">
        <v>398</v>
      </c>
      <c r="B163" s="16" t="s">
        <v>750</v>
      </c>
      <c r="C163" s="195"/>
      <c r="D163" s="296"/>
      <c r="E163" s="298"/>
      <c r="F163" s="297"/>
      <c r="G163" s="205"/>
      <c r="H163" s="490"/>
    </row>
    <row r="164" spans="1:9" s="58" customFormat="1" ht="26.25" customHeight="1">
      <c r="A164" s="20"/>
      <c r="B164" s="16" t="s">
        <v>859</v>
      </c>
      <c r="C164" s="195"/>
      <c r="D164" s="296"/>
      <c r="E164" s="298"/>
      <c r="F164" s="297"/>
      <c r="G164" s="205"/>
      <c r="H164" s="490"/>
    </row>
    <row r="165" spans="1:9" s="58" customFormat="1">
      <c r="A165" s="20"/>
      <c r="B165" s="16" t="s">
        <v>860</v>
      </c>
      <c r="C165" s="195"/>
      <c r="D165" s="296"/>
      <c r="E165" s="298"/>
      <c r="F165" s="297"/>
      <c r="G165" s="205"/>
      <c r="H165" s="490"/>
    </row>
    <row r="166" spans="1:9" s="58" customFormat="1" ht="25.5" customHeight="1">
      <c r="A166" s="20"/>
      <c r="B166" s="53" t="s">
        <v>587</v>
      </c>
      <c r="C166" s="195"/>
      <c r="D166" s="296"/>
      <c r="E166" s="298"/>
      <c r="F166" s="297"/>
      <c r="G166" s="205"/>
      <c r="H166" s="490"/>
    </row>
    <row r="167" spans="1:9" s="58" customFormat="1" ht="15" customHeight="1">
      <c r="A167" s="20"/>
      <c r="B167" s="53" t="s">
        <v>589</v>
      </c>
      <c r="C167" s="195" t="s">
        <v>321</v>
      </c>
      <c r="D167" s="42">
        <v>96</v>
      </c>
      <c r="E167" s="298"/>
      <c r="F167" s="198">
        <f>ROUND(D167*E167,2)</f>
        <v>0</v>
      </c>
      <c r="G167" s="205"/>
      <c r="H167" s="486" t="s">
        <v>1021</v>
      </c>
    </row>
    <row r="168" spans="1:9" s="58" customFormat="1">
      <c r="A168" s="20"/>
      <c r="B168" s="53"/>
      <c r="C168" s="195"/>
      <c r="D168" s="395"/>
      <c r="E168" s="298"/>
      <c r="F168" s="298"/>
      <c r="G168" s="205"/>
      <c r="H168" s="490"/>
    </row>
    <row r="169" spans="1:9" s="5" customFormat="1">
      <c r="A169" s="10"/>
      <c r="B169" s="386"/>
      <c r="C169" s="45"/>
      <c r="D169" s="385"/>
      <c r="E169" s="197"/>
      <c r="F169" s="198"/>
      <c r="G169" s="9"/>
      <c r="H169" s="487"/>
      <c r="I169" s="164"/>
    </row>
    <row r="170" spans="1:9" s="4" customFormat="1" ht="38.25" customHeight="1">
      <c r="A170" s="10" t="s">
        <v>400</v>
      </c>
      <c r="B170" s="3" t="s">
        <v>751</v>
      </c>
      <c r="C170" s="45"/>
      <c r="D170" s="385"/>
      <c r="E170" s="197"/>
      <c r="F170" s="198"/>
      <c r="G170" s="9"/>
      <c r="H170" s="487"/>
      <c r="I170" s="164"/>
    </row>
    <row r="171" spans="1:9" s="7" customFormat="1" ht="25.5">
      <c r="A171" s="10"/>
      <c r="B171" s="3" t="s">
        <v>587</v>
      </c>
      <c r="C171" s="45"/>
      <c r="D171" s="385"/>
      <c r="E171" s="387"/>
      <c r="F171" s="198"/>
      <c r="G171" s="9"/>
      <c r="H171" s="487"/>
      <c r="I171" s="164"/>
    </row>
    <row r="172" spans="1:9" s="7" customFormat="1">
      <c r="A172" s="10"/>
      <c r="B172" s="16" t="s">
        <v>589</v>
      </c>
      <c r="C172" s="45" t="s">
        <v>321</v>
      </c>
      <c r="D172" s="43">
        <v>32</v>
      </c>
      <c r="E172" s="387"/>
      <c r="F172" s="198">
        <f>ROUND(D172*E172,2)</f>
        <v>0</v>
      </c>
      <c r="G172" s="9"/>
      <c r="H172" s="486" t="s">
        <v>1021</v>
      </c>
      <c r="I172" s="164"/>
    </row>
    <row r="173" spans="1:9" s="7" customFormat="1">
      <c r="A173" s="10"/>
      <c r="B173" s="16"/>
      <c r="C173" s="45"/>
      <c r="D173" s="43"/>
      <c r="E173" s="387"/>
      <c r="F173" s="198"/>
      <c r="G173" s="9"/>
      <c r="H173" s="486"/>
      <c r="I173" s="164"/>
    </row>
    <row r="174" spans="1:9" s="7" customFormat="1">
      <c r="A174" s="10"/>
      <c r="B174" s="16"/>
      <c r="C174" s="45"/>
      <c r="D174" s="43"/>
      <c r="E174" s="197"/>
      <c r="F174" s="198"/>
      <c r="G174" s="9"/>
      <c r="H174" s="487"/>
      <c r="I174" s="164"/>
    </row>
    <row r="175" spans="1:9" s="58" customFormat="1" ht="39" customHeight="1">
      <c r="A175" s="10" t="s">
        <v>402</v>
      </c>
      <c r="B175" s="16" t="s">
        <v>900</v>
      </c>
      <c r="C175" s="195"/>
      <c r="D175" s="296"/>
      <c r="E175" s="298"/>
      <c r="F175" s="297"/>
      <c r="G175" s="205"/>
      <c r="H175" s="490"/>
    </row>
    <row r="176" spans="1:9" s="58" customFormat="1" ht="27.75" customHeight="1">
      <c r="A176" s="20"/>
      <c r="B176" s="53" t="s">
        <v>587</v>
      </c>
      <c r="C176" s="195"/>
      <c r="D176" s="296"/>
      <c r="E176" s="298"/>
      <c r="F176" s="297"/>
      <c r="G176" s="205"/>
      <c r="H176" s="490"/>
    </row>
    <row r="177" spans="1:10" s="58" customFormat="1" ht="13.5" customHeight="1">
      <c r="A177" s="20"/>
      <c r="B177" s="53" t="s">
        <v>752</v>
      </c>
      <c r="C177" s="195" t="s">
        <v>317</v>
      </c>
      <c r="D177" s="52">
        <v>73</v>
      </c>
      <c r="E177" s="298"/>
      <c r="F177" s="198">
        <f t="shared" ref="F177:F178" si="3">ROUND(D177*E177,2)</f>
        <v>0</v>
      </c>
      <c r="G177" s="473"/>
      <c r="H177" s="486" t="s">
        <v>1021</v>
      </c>
      <c r="I177" s="373"/>
      <c r="J177" s="374"/>
    </row>
    <row r="178" spans="1:10" s="5" customFormat="1">
      <c r="A178" s="10"/>
      <c r="B178" s="53" t="s">
        <v>753</v>
      </c>
      <c r="C178" s="187" t="s">
        <v>322</v>
      </c>
      <c r="D178" s="52">
        <v>18</v>
      </c>
      <c r="E178" s="298"/>
      <c r="F178" s="198">
        <f t="shared" si="3"/>
        <v>0</v>
      </c>
      <c r="G178" s="205"/>
      <c r="H178" s="486" t="s">
        <v>1021</v>
      </c>
      <c r="I178" s="373"/>
      <c r="J178" s="374"/>
    </row>
    <row r="179" spans="1:10" s="5" customFormat="1">
      <c r="A179" s="10"/>
      <c r="B179" s="53"/>
      <c r="C179" s="187"/>
      <c r="D179" s="52"/>
      <c r="E179" s="298"/>
      <c r="F179" s="298"/>
      <c r="G179" s="205"/>
      <c r="H179" s="486"/>
    </row>
    <row r="180" spans="1:10" s="57" customFormat="1" ht="12" customHeight="1">
      <c r="A180" s="20"/>
      <c r="B180" s="53"/>
      <c r="C180" s="195"/>
      <c r="D180" s="52"/>
      <c r="E180" s="52"/>
      <c r="F180" s="356"/>
      <c r="G180" s="205"/>
      <c r="H180" s="490"/>
    </row>
    <row r="181" spans="1:10" s="57" customFormat="1" ht="39" customHeight="1">
      <c r="A181" s="10" t="s">
        <v>404</v>
      </c>
      <c r="B181" s="16" t="s">
        <v>756</v>
      </c>
      <c r="C181" s="195"/>
      <c r="D181" s="52"/>
      <c r="E181" s="52"/>
      <c r="F181" s="356"/>
      <c r="G181" s="205"/>
      <c r="H181" s="490"/>
    </row>
    <row r="182" spans="1:10" s="57" customFormat="1" ht="54" customHeight="1">
      <c r="A182" s="10"/>
      <c r="B182" s="53" t="s">
        <v>755</v>
      </c>
      <c r="C182" s="195"/>
      <c r="D182" s="52"/>
      <c r="E182" s="52"/>
      <c r="F182" s="356"/>
      <c r="G182" s="205"/>
      <c r="H182" s="490"/>
    </row>
    <row r="183" spans="1:10" s="330" customFormat="1" ht="15" customHeight="1">
      <c r="A183" s="427"/>
      <c r="B183" s="53" t="s">
        <v>588</v>
      </c>
      <c r="C183" s="195" t="s">
        <v>335</v>
      </c>
      <c r="D183" s="52">
        <v>1</v>
      </c>
      <c r="E183" s="52"/>
      <c r="F183" s="198">
        <f>ROUND(D183*E183,2)</f>
        <v>0</v>
      </c>
      <c r="G183" s="474"/>
      <c r="H183" s="486" t="s">
        <v>1021</v>
      </c>
    </row>
    <row r="184" spans="1:10" s="330" customFormat="1">
      <c r="A184" s="427"/>
      <c r="B184" s="53"/>
      <c r="C184" s="195"/>
      <c r="D184" s="52"/>
      <c r="E184" s="52"/>
      <c r="F184" s="56"/>
      <c r="G184" s="474"/>
      <c r="H184" s="490"/>
    </row>
    <row r="185" spans="1:10" s="7" customFormat="1">
      <c r="A185" s="10"/>
      <c r="B185" s="16" t="s">
        <v>759</v>
      </c>
      <c r="C185" s="45"/>
      <c r="D185" s="43"/>
      <c r="E185" s="197"/>
      <c r="F185" s="198"/>
      <c r="G185" s="9"/>
      <c r="H185" s="487"/>
      <c r="I185" s="164"/>
    </row>
    <row r="186" spans="1:10" s="7" customFormat="1" ht="42.75" customHeight="1">
      <c r="A186" s="10" t="s">
        <v>406</v>
      </c>
      <c r="B186" s="396" t="s">
        <v>899</v>
      </c>
      <c r="C186" s="45"/>
      <c r="D186" s="397"/>
      <c r="E186" s="197"/>
      <c r="F186" s="198"/>
      <c r="G186" s="9"/>
      <c r="H186" s="487"/>
      <c r="I186" s="164"/>
    </row>
    <row r="187" spans="1:10" s="7" customFormat="1" ht="51">
      <c r="A187" s="10"/>
      <c r="B187" s="250" t="s">
        <v>591</v>
      </c>
      <c r="C187" s="45"/>
      <c r="D187" s="397"/>
      <c r="E187" s="197"/>
      <c r="F187" s="198"/>
      <c r="G187" s="9"/>
      <c r="H187" s="487"/>
      <c r="I187" s="164"/>
    </row>
    <row r="188" spans="1:10" s="7" customFormat="1">
      <c r="A188" s="10"/>
      <c r="B188" t="s">
        <v>592</v>
      </c>
      <c r="C188" s="45" t="s">
        <v>321</v>
      </c>
      <c r="D188" s="43">
        <v>3</v>
      </c>
      <c r="E188" s="197"/>
      <c r="F188" s="198">
        <f>ROUND(D188*E188,2)</f>
        <v>0</v>
      </c>
      <c r="G188" s="9"/>
      <c r="H188" s="487" t="s">
        <v>1023</v>
      </c>
      <c r="I188" s="164"/>
    </row>
    <row r="189" spans="1:10" s="7" customFormat="1">
      <c r="A189" s="10"/>
      <c r="B189"/>
      <c r="C189" s="45"/>
      <c r="D189" s="43"/>
      <c r="E189" s="197"/>
      <c r="F189" s="198"/>
      <c r="G189" s="9"/>
      <c r="H189" s="487"/>
      <c r="I189" s="164"/>
    </row>
    <row r="190" spans="1:10" s="403" customFormat="1">
      <c r="A190" s="48"/>
      <c r="B190" s="60"/>
      <c r="C190" s="398"/>
      <c r="D190" s="399"/>
      <c r="E190" s="400"/>
      <c r="F190" s="401"/>
      <c r="G190" s="234"/>
      <c r="H190" s="487"/>
      <c r="I190" s="402"/>
    </row>
    <row r="191" spans="1:10" s="403" customFormat="1" ht="25.5">
      <c r="A191" s="48" t="s">
        <v>408</v>
      </c>
      <c r="B191" s="50" t="s">
        <v>898</v>
      </c>
      <c r="C191" s="398"/>
      <c r="D191" s="399"/>
      <c r="E191" s="400"/>
      <c r="F191" s="401"/>
      <c r="G191" s="234"/>
      <c r="H191" s="487"/>
      <c r="I191" s="402"/>
    </row>
    <row r="192" spans="1:10" s="7" customFormat="1" ht="38.25">
      <c r="A192" s="10"/>
      <c r="B192" s="4" t="s">
        <v>772</v>
      </c>
      <c r="C192" s="45"/>
      <c r="D192" s="43"/>
      <c r="E192" s="197"/>
      <c r="F192" s="198"/>
      <c r="G192" s="9"/>
      <c r="H192" s="492"/>
      <c r="I192" s="207"/>
    </row>
    <row r="193" spans="1:9" s="7" customFormat="1" ht="25.5">
      <c r="A193" s="10"/>
      <c r="B193" s="4" t="s">
        <v>698</v>
      </c>
      <c r="C193" s="45"/>
      <c r="D193" s="43"/>
      <c r="E193" s="42"/>
      <c r="F193" s="341"/>
      <c r="H193" s="490"/>
    </row>
    <row r="194" spans="1:9" s="403" customFormat="1" ht="38.25">
      <c r="A194" s="48"/>
      <c r="B194" s="50" t="s">
        <v>616</v>
      </c>
      <c r="C194" s="398"/>
      <c r="D194" s="399"/>
      <c r="E194" s="400"/>
      <c r="F194" s="401"/>
      <c r="G194" s="234"/>
      <c r="H194" s="487"/>
      <c r="I194" s="402"/>
    </row>
    <row r="195" spans="1:9" s="403" customFormat="1">
      <c r="A195" s="48"/>
      <c r="B195" s="235" t="s">
        <v>777</v>
      </c>
      <c r="C195" s="398" t="s">
        <v>322</v>
      </c>
      <c r="D195" s="399">
        <v>24</v>
      </c>
      <c r="E195" s="400"/>
      <c r="F195" s="198">
        <f>ROUND(D195*E195,2)</f>
        <v>0</v>
      </c>
      <c r="G195" s="234"/>
      <c r="H195" s="489" t="s">
        <v>1025</v>
      </c>
      <c r="I195" s="402"/>
    </row>
    <row r="196" spans="1:9" s="403" customFormat="1">
      <c r="A196" s="48"/>
      <c r="B196" s="235" t="s">
        <v>776</v>
      </c>
      <c r="C196" s="398" t="s">
        <v>316</v>
      </c>
      <c r="D196" s="399">
        <v>8</v>
      </c>
      <c r="E196" s="400"/>
      <c r="F196" s="198">
        <f>ROUND(D196*E196,2)</f>
        <v>0</v>
      </c>
      <c r="G196" s="234"/>
      <c r="H196" s="489" t="s">
        <v>1025</v>
      </c>
      <c r="I196" s="402"/>
    </row>
    <row r="197" spans="1:9" s="403" customFormat="1">
      <c r="A197" s="48"/>
      <c r="B197" s="235" t="s">
        <v>778</v>
      </c>
      <c r="C197" s="398" t="s">
        <v>322</v>
      </c>
      <c r="D197" s="399">
        <v>24</v>
      </c>
      <c r="E197" s="400"/>
      <c r="F197" s="198">
        <f>ROUND(D197*E197,2)</f>
        <v>0</v>
      </c>
      <c r="G197" s="234"/>
      <c r="H197" s="489" t="s">
        <v>1025</v>
      </c>
      <c r="I197" s="402"/>
    </row>
    <row r="198" spans="1:9" s="403" customFormat="1">
      <c r="A198" s="48"/>
      <c r="B198" s="235" t="s">
        <v>775</v>
      </c>
      <c r="C198" s="398" t="s">
        <v>316</v>
      </c>
      <c r="D198" s="399">
        <v>16</v>
      </c>
      <c r="E198" s="400"/>
      <c r="F198" s="198">
        <f>ROUND(D198*E198,2)</f>
        <v>0</v>
      </c>
      <c r="G198" s="234"/>
      <c r="H198" s="489" t="s">
        <v>1025</v>
      </c>
      <c r="I198" s="402"/>
    </row>
    <row r="199" spans="1:9" s="8" customFormat="1">
      <c r="A199" s="10"/>
      <c r="B199" s="16"/>
      <c r="C199" s="45"/>
      <c r="D199" s="43"/>
      <c r="E199" s="42"/>
      <c r="F199" s="343">
        <f t="shared" ref="F199" si="4">D199*E199</f>
        <v>0</v>
      </c>
      <c r="H199" s="490"/>
    </row>
    <row r="200" spans="1:9" s="8" customFormat="1">
      <c r="A200" s="10"/>
      <c r="B200" s="248" t="s">
        <v>795</v>
      </c>
      <c r="C200" s="45"/>
      <c r="D200" s="43"/>
      <c r="E200" s="42"/>
      <c r="F200" s="343"/>
      <c r="H200" s="490"/>
    </row>
    <row r="201" spans="1:9" s="8" customFormat="1">
      <c r="A201" s="10"/>
      <c r="B201" s="16"/>
      <c r="C201" s="45"/>
      <c r="D201" s="43"/>
      <c r="E201" s="42"/>
      <c r="F201" s="343"/>
      <c r="H201" s="490"/>
    </row>
    <row r="202" spans="1:9" s="50" customFormat="1" ht="78" customHeight="1">
      <c r="A202" s="406" t="s">
        <v>410</v>
      </c>
      <c r="B202" s="50" t="s">
        <v>764</v>
      </c>
      <c r="C202" s="404"/>
      <c r="D202" s="228"/>
      <c r="E202" s="398"/>
      <c r="F202" s="405"/>
      <c r="H202" s="489"/>
    </row>
    <row r="203" spans="1:9" s="50" customFormat="1" ht="25.5">
      <c r="A203" s="48"/>
      <c r="B203" s="50" t="s">
        <v>699</v>
      </c>
      <c r="C203" s="408"/>
      <c r="D203" s="409"/>
      <c r="E203" s="409" t="s">
        <v>372</v>
      </c>
      <c r="F203" s="405"/>
      <c r="H203" s="489"/>
    </row>
    <row r="204" spans="1:9" s="50" customFormat="1" ht="25.5">
      <c r="A204" s="48"/>
      <c r="B204" s="4" t="s">
        <v>760</v>
      </c>
      <c r="C204" s="408"/>
      <c r="D204" s="409"/>
      <c r="E204" s="409"/>
      <c r="F204" s="405"/>
      <c r="H204" s="489"/>
    </row>
    <row r="205" spans="1:9" s="50" customFormat="1" ht="25.5">
      <c r="A205" s="48"/>
      <c r="B205" s="50" t="s">
        <v>587</v>
      </c>
      <c r="C205" s="404"/>
      <c r="D205" s="228"/>
      <c r="E205" s="398"/>
      <c r="F205" s="405"/>
      <c r="H205" s="489"/>
    </row>
    <row r="206" spans="1:9" s="50" customFormat="1">
      <c r="A206" s="48"/>
      <c r="B206" s="413" t="s">
        <v>763</v>
      </c>
      <c r="C206" s="202" t="s">
        <v>316</v>
      </c>
      <c r="D206" s="228">
        <v>1</v>
      </c>
      <c r="E206" s="228"/>
      <c r="F206" s="198">
        <f>ROUND(D206*E206,2)</f>
        <v>0</v>
      </c>
      <c r="H206" s="489" t="s">
        <v>1023</v>
      </c>
    </row>
    <row r="207" spans="1:9" s="50" customFormat="1">
      <c r="A207" s="48"/>
      <c r="B207" s="407"/>
      <c r="C207" s="202"/>
      <c r="D207" s="228"/>
      <c r="E207" s="228"/>
      <c r="F207" s="401"/>
      <c r="H207" s="489"/>
    </row>
    <row r="208" spans="1:9" s="403" customFormat="1">
      <c r="A208" s="48"/>
      <c r="B208" s="60"/>
      <c r="C208" s="404"/>
      <c r="D208" s="399"/>
      <c r="E208" s="400"/>
      <c r="F208" s="401"/>
      <c r="G208" s="234"/>
      <c r="H208" s="487"/>
      <c r="I208" s="402"/>
    </row>
    <row r="209" spans="1:9" s="403" customFormat="1" ht="41.25" customHeight="1">
      <c r="A209" s="48" t="s">
        <v>412</v>
      </c>
      <c r="B209" s="50" t="s">
        <v>770</v>
      </c>
      <c r="C209" s="398"/>
      <c r="D209" s="399"/>
      <c r="E209" s="400"/>
      <c r="F209" s="401"/>
      <c r="G209" s="234"/>
      <c r="H209" s="487"/>
      <c r="I209" s="402"/>
    </row>
    <row r="210" spans="1:9" s="403" customFormat="1">
      <c r="A210" s="48"/>
      <c r="B210" s="50" t="s">
        <v>761</v>
      </c>
      <c r="C210" s="398"/>
      <c r="D210" s="399"/>
      <c r="E210" s="400"/>
      <c r="F210" s="401"/>
      <c r="G210" s="234"/>
      <c r="H210" s="487"/>
      <c r="I210" s="402"/>
    </row>
    <row r="211" spans="1:9" s="50" customFormat="1" ht="25.5">
      <c r="A211" s="48"/>
      <c r="B211" s="4" t="s">
        <v>760</v>
      </c>
      <c r="C211" s="408"/>
      <c r="D211" s="409"/>
      <c r="E211" s="409"/>
      <c r="F211" s="405"/>
      <c r="H211" s="489"/>
    </row>
    <row r="212" spans="1:9" s="403" customFormat="1" ht="38.25">
      <c r="A212" s="48"/>
      <c r="B212" s="50" t="s">
        <v>612</v>
      </c>
      <c r="C212" s="398"/>
      <c r="D212" s="399"/>
      <c r="E212" s="400"/>
      <c r="F212" s="401"/>
      <c r="G212" s="234"/>
      <c r="H212" s="487"/>
      <c r="I212" s="402"/>
    </row>
    <row r="213" spans="1:9" s="403" customFormat="1">
      <c r="A213" s="48"/>
      <c r="B213" s="412" t="s">
        <v>766</v>
      </c>
      <c r="C213" s="398" t="s">
        <v>316</v>
      </c>
      <c r="D213" s="399">
        <v>12</v>
      </c>
      <c r="E213" s="400"/>
      <c r="F213" s="198">
        <f>ROUND(D213*E213,2)</f>
        <v>0</v>
      </c>
      <c r="G213" s="234"/>
      <c r="H213" s="489" t="s">
        <v>1023</v>
      </c>
      <c r="I213" s="402"/>
    </row>
    <row r="214" spans="1:9" s="403" customFormat="1">
      <c r="A214" s="48"/>
      <c r="B214" s="412" t="s">
        <v>767</v>
      </c>
      <c r="C214" s="398" t="s">
        <v>316</v>
      </c>
      <c r="D214" s="399">
        <v>14</v>
      </c>
      <c r="E214" s="400"/>
      <c r="F214" s="198">
        <f>ROUND(D214*E214,2)</f>
        <v>0</v>
      </c>
      <c r="G214" s="234"/>
      <c r="H214" s="489" t="s">
        <v>1023</v>
      </c>
      <c r="I214" s="402"/>
    </row>
    <row r="215" spans="1:9" s="403" customFormat="1">
      <c r="A215" s="48"/>
      <c r="B215" s="50"/>
      <c r="C215" s="398"/>
      <c r="D215" s="399"/>
      <c r="E215" s="400"/>
      <c r="F215" s="198"/>
      <c r="G215" s="234"/>
      <c r="H215" s="487"/>
      <c r="I215" s="402"/>
    </row>
    <row r="216" spans="1:9" s="58" customFormat="1" ht="15" customHeight="1">
      <c r="A216" s="428"/>
      <c r="B216" s="5"/>
      <c r="C216" s="410"/>
      <c r="D216" s="52"/>
      <c r="E216" s="52"/>
      <c r="F216" s="356"/>
      <c r="G216" s="205"/>
      <c r="H216" s="490"/>
    </row>
    <row r="217" spans="1:9" s="58" customFormat="1" ht="51">
      <c r="A217" s="48" t="s">
        <v>584</v>
      </c>
      <c r="B217" s="16" t="s">
        <v>762</v>
      </c>
      <c r="C217" s="195"/>
      <c r="D217" s="52"/>
      <c r="E217" s="52"/>
      <c r="F217" s="356" t="str">
        <f>IF(D:D*E:E=0," ",D:D*E:E)</f>
        <v xml:space="preserve"> </v>
      </c>
      <c r="G217" s="205"/>
      <c r="H217" s="490"/>
    </row>
    <row r="218" spans="1:9" s="58" customFormat="1">
      <c r="A218" s="48"/>
      <c r="B218" s="50" t="s">
        <v>769</v>
      </c>
      <c r="C218" s="195"/>
      <c r="D218" s="52"/>
      <c r="E218" s="52"/>
      <c r="F218" s="356"/>
      <c r="G218" s="205"/>
      <c r="H218" s="490"/>
    </row>
    <row r="219" spans="1:9" s="50" customFormat="1" ht="25.5">
      <c r="A219" s="48"/>
      <c r="B219" s="4" t="s">
        <v>760</v>
      </c>
      <c r="C219" s="408"/>
      <c r="D219" s="409"/>
      <c r="E219" s="409"/>
      <c r="F219" s="405"/>
      <c r="H219" s="489"/>
    </row>
    <row r="220" spans="1:9" s="58" customFormat="1" ht="26.25" customHeight="1">
      <c r="A220" s="10"/>
      <c r="B220" s="53" t="s">
        <v>587</v>
      </c>
      <c r="C220" s="297"/>
      <c r="D220" s="52"/>
      <c r="E220" s="52"/>
      <c r="F220" s="356" t="str">
        <f>IF(D:D*E:E=0," ",D:D*E:E)</f>
        <v xml:space="preserve"> </v>
      </c>
      <c r="G220" s="205"/>
      <c r="H220" s="490"/>
    </row>
    <row r="221" spans="1:9" s="58" customFormat="1" ht="15" customHeight="1">
      <c r="A221" s="10"/>
      <c r="B221" s="411" t="s">
        <v>768</v>
      </c>
      <c r="C221" s="195" t="s">
        <v>316</v>
      </c>
      <c r="D221" s="52">
        <v>2</v>
      </c>
      <c r="E221" s="52"/>
      <c r="F221" s="198">
        <f>ROUND(D221*E221,2)</f>
        <v>0</v>
      </c>
      <c r="G221" s="205"/>
      <c r="H221" s="489" t="s">
        <v>1023</v>
      </c>
    </row>
    <row r="222" spans="1:9" s="58" customFormat="1" ht="15" customHeight="1">
      <c r="A222" s="10"/>
      <c r="B222" s="411" t="s">
        <v>765</v>
      </c>
      <c r="C222" s="195" t="s">
        <v>316</v>
      </c>
      <c r="D222" s="52">
        <v>5</v>
      </c>
      <c r="E222" s="52"/>
      <c r="F222" s="198">
        <f>ROUND(D222*E222,2)</f>
        <v>0</v>
      </c>
      <c r="G222" s="205"/>
      <c r="H222" s="487" t="s">
        <v>1028</v>
      </c>
    </row>
    <row r="223" spans="1:9" s="58" customFormat="1">
      <c r="A223" s="10"/>
      <c r="B223" s="16"/>
      <c r="C223" s="195"/>
      <c r="D223" s="52"/>
      <c r="E223" s="52"/>
      <c r="F223" s="198"/>
      <c r="G223" s="205"/>
      <c r="H223" s="490"/>
    </row>
    <row r="224" spans="1:9" s="393" customFormat="1">
      <c r="A224" s="384"/>
      <c r="B224" s="60" t="s">
        <v>759</v>
      </c>
      <c r="C224" s="394"/>
      <c r="D224" s="388"/>
      <c r="E224" s="389"/>
      <c r="F224" s="390"/>
      <c r="G224" s="391"/>
      <c r="H224" s="487"/>
      <c r="I224" s="392"/>
    </row>
    <row r="225" spans="1:10" s="403" customFormat="1" ht="25.5">
      <c r="A225" s="48" t="s">
        <v>610</v>
      </c>
      <c r="B225" s="50" t="s">
        <v>771</v>
      </c>
      <c r="C225" s="398"/>
      <c r="D225" s="399"/>
      <c r="E225" s="400"/>
      <c r="F225" s="401"/>
      <c r="G225" s="234"/>
      <c r="H225" s="487"/>
      <c r="I225" s="402"/>
    </row>
    <row r="226" spans="1:10" s="7" customFormat="1" ht="38.25">
      <c r="A226" s="10"/>
      <c r="B226" s="4" t="s">
        <v>779</v>
      </c>
      <c r="C226" s="45"/>
      <c r="D226" s="43"/>
      <c r="E226" s="197"/>
      <c r="F226" s="198"/>
      <c r="G226" s="9"/>
      <c r="H226" s="492"/>
      <c r="I226" s="207"/>
    </row>
    <row r="227" spans="1:10" s="7" customFormat="1" ht="25.5">
      <c r="A227" s="10"/>
      <c r="B227" s="4" t="s">
        <v>698</v>
      </c>
      <c r="C227" s="45"/>
      <c r="D227" s="43"/>
      <c r="E227" s="42"/>
      <c r="F227" s="341"/>
      <c r="H227" s="490"/>
    </row>
    <row r="228" spans="1:10" s="403" customFormat="1" ht="38.25">
      <c r="A228" s="48"/>
      <c r="B228" s="50" t="s">
        <v>616</v>
      </c>
      <c r="C228" s="398"/>
      <c r="D228" s="399"/>
      <c r="E228" s="400"/>
      <c r="F228" s="401"/>
      <c r="G228" s="234"/>
      <c r="H228" s="487"/>
      <c r="I228" s="402"/>
    </row>
    <row r="229" spans="1:10" s="403" customFormat="1">
      <c r="A229" s="48"/>
      <c r="B229" s="235" t="s">
        <v>773</v>
      </c>
      <c r="C229" s="398" t="s">
        <v>316</v>
      </c>
      <c r="D229" s="399">
        <v>2</v>
      </c>
      <c r="E229" s="400"/>
      <c r="F229" s="198">
        <f>ROUND(D229*E229,2)</f>
        <v>0</v>
      </c>
      <c r="G229" s="234"/>
      <c r="H229" s="487" t="s">
        <v>1025</v>
      </c>
      <c r="I229" s="402"/>
    </row>
    <row r="230" spans="1:10" s="403" customFormat="1">
      <c r="A230" s="48"/>
      <c r="B230" s="235" t="s">
        <v>774</v>
      </c>
      <c r="C230" s="398" t="s">
        <v>316</v>
      </c>
      <c r="D230" s="399">
        <v>2</v>
      </c>
      <c r="E230" s="400"/>
      <c r="F230" s="198">
        <f>ROUND(D230*E230,2)</f>
        <v>0</v>
      </c>
      <c r="G230" s="234"/>
      <c r="H230" s="487" t="s">
        <v>1025</v>
      </c>
      <c r="I230" s="402"/>
    </row>
    <row r="231" spans="1:10" s="403" customFormat="1">
      <c r="A231" s="48"/>
      <c r="B231" s="235"/>
      <c r="C231" s="398"/>
      <c r="D231" s="399"/>
      <c r="E231" s="400"/>
      <c r="F231" s="198"/>
      <c r="G231" s="234"/>
      <c r="H231" s="487"/>
      <c r="I231" s="402"/>
    </row>
    <row r="232" spans="1:10" s="403" customFormat="1">
      <c r="A232" s="48"/>
      <c r="B232" s="235"/>
      <c r="C232" s="398"/>
      <c r="D232" s="399"/>
      <c r="E232" s="400"/>
      <c r="F232" s="198"/>
      <c r="G232" s="234"/>
      <c r="H232" s="487"/>
      <c r="I232" s="402"/>
    </row>
    <row r="233" spans="1:10" s="57" customFormat="1">
      <c r="A233" s="48" t="s">
        <v>611</v>
      </c>
      <c r="B233" s="414" t="s">
        <v>780</v>
      </c>
      <c r="C233" s="195"/>
      <c r="D233" s="332"/>
      <c r="H233" s="490"/>
    </row>
    <row r="234" spans="1:10" s="54" customFormat="1" ht="63.75">
      <c r="A234" s="65"/>
      <c r="B234" s="4" t="s">
        <v>783</v>
      </c>
      <c r="C234" s="195"/>
      <c r="D234" s="56"/>
      <c r="E234" s="56"/>
      <c r="F234" s="356"/>
      <c r="H234" s="489"/>
    </row>
    <row r="235" spans="1:10" s="54" customFormat="1" ht="25.5">
      <c r="A235" s="65"/>
      <c r="B235" s="4" t="s">
        <v>786</v>
      </c>
      <c r="C235" s="195"/>
      <c r="D235" s="56"/>
      <c r="E235" s="56"/>
      <c r="F235" s="356"/>
      <c r="H235" s="489"/>
    </row>
    <row r="236" spans="1:10" s="57" customFormat="1" ht="25.5">
      <c r="A236" s="428"/>
      <c r="B236" s="415" t="s">
        <v>781</v>
      </c>
      <c r="C236" s="195"/>
      <c r="D236" s="332"/>
      <c r="H236" s="490"/>
    </row>
    <row r="237" spans="1:10" s="57" customFormat="1">
      <c r="A237" s="428"/>
      <c r="B237" s="55" t="s">
        <v>782</v>
      </c>
      <c r="C237" s="195"/>
      <c r="D237" s="332"/>
      <c r="H237" s="490"/>
    </row>
    <row r="238" spans="1:10" s="57" customFormat="1">
      <c r="A238" s="428"/>
      <c r="B238" s="55"/>
      <c r="C238" s="195"/>
      <c r="D238" s="332"/>
      <c r="H238" s="490"/>
    </row>
    <row r="239" spans="1:10" s="54" customFormat="1" ht="12.75" customHeight="1">
      <c r="A239" s="286"/>
      <c r="B239" s="3" t="s">
        <v>789</v>
      </c>
      <c r="C239" s="195" t="s">
        <v>317</v>
      </c>
      <c r="D239" s="56">
        <v>75</v>
      </c>
      <c r="E239" s="52"/>
      <c r="F239" s="198">
        <f t="shared" ref="F239:F247" si="5">ROUND(D239*E239,2)</f>
        <v>0</v>
      </c>
      <c r="H239" s="486" t="s">
        <v>1021</v>
      </c>
      <c r="I239" s="373"/>
      <c r="J239" s="374"/>
    </row>
    <row r="240" spans="1:10" s="54" customFormat="1" ht="12.75" customHeight="1">
      <c r="A240" s="286"/>
      <c r="B240" s="55"/>
      <c r="C240" s="195"/>
      <c r="D240" s="56"/>
      <c r="E240" s="52"/>
      <c r="F240" s="198"/>
      <c r="H240" s="486"/>
    </row>
    <row r="241" spans="1:10" s="54" customFormat="1" ht="17.25" customHeight="1">
      <c r="A241" s="286"/>
      <c r="B241" s="3" t="s">
        <v>787</v>
      </c>
      <c r="C241" s="195" t="s">
        <v>317</v>
      </c>
      <c r="D241" s="56">
        <v>70</v>
      </c>
      <c r="E241" s="52"/>
      <c r="F241" s="198">
        <f t="shared" si="5"/>
        <v>0</v>
      </c>
      <c r="H241" s="486" t="s">
        <v>1021</v>
      </c>
      <c r="I241" s="373"/>
      <c r="J241" s="374"/>
    </row>
    <row r="242" spans="1:10" s="54" customFormat="1">
      <c r="A242" s="286"/>
      <c r="B242" s="55"/>
      <c r="C242" s="195"/>
      <c r="D242" s="56"/>
      <c r="E242" s="52"/>
      <c r="F242" s="198"/>
      <c r="H242" s="489"/>
    </row>
    <row r="243" spans="1:10" s="54" customFormat="1" ht="25.5">
      <c r="A243" s="286"/>
      <c r="B243" s="3" t="s">
        <v>792</v>
      </c>
      <c r="C243" s="195" t="s">
        <v>317</v>
      </c>
      <c r="D243" s="56">
        <v>220</v>
      </c>
      <c r="E243" s="52"/>
      <c r="F243" s="198">
        <f t="shared" si="5"/>
        <v>0</v>
      </c>
      <c r="H243" s="486" t="s">
        <v>1021</v>
      </c>
      <c r="I243" s="373"/>
      <c r="J243" s="374"/>
    </row>
    <row r="244" spans="1:10" s="54" customFormat="1">
      <c r="A244" s="286"/>
      <c r="B244" s="55"/>
      <c r="C244" s="195"/>
      <c r="D244" s="56"/>
      <c r="E244" s="52"/>
      <c r="F244" s="198"/>
      <c r="H244" s="489"/>
    </row>
    <row r="245" spans="1:10" s="54" customFormat="1">
      <c r="A245" s="286"/>
      <c r="B245" s="3" t="s">
        <v>788</v>
      </c>
      <c r="C245" s="195" t="s">
        <v>317</v>
      </c>
      <c r="D245" s="56">
        <v>60</v>
      </c>
      <c r="E245" s="52"/>
      <c r="F245" s="198">
        <f t="shared" si="5"/>
        <v>0</v>
      </c>
      <c r="H245" s="486" t="s">
        <v>1021</v>
      </c>
      <c r="I245" s="373"/>
      <c r="J245" s="374"/>
    </row>
    <row r="246" spans="1:10" s="54" customFormat="1">
      <c r="A246" s="286"/>
      <c r="B246" s="55"/>
      <c r="C246" s="195"/>
      <c r="D246" s="56"/>
      <c r="E246" s="52"/>
      <c r="F246" s="198"/>
      <c r="H246" s="489"/>
    </row>
    <row r="247" spans="1:10" s="54" customFormat="1">
      <c r="A247" s="286"/>
      <c r="B247" s="3" t="s">
        <v>784</v>
      </c>
      <c r="C247" s="195" t="s">
        <v>322</v>
      </c>
      <c r="D247" s="56">
        <v>230</v>
      </c>
      <c r="E247" s="52"/>
      <c r="F247" s="198">
        <f t="shared" si="5"/>
        <v>0</v>
      </c>
      <c r="H247" s="486" t="s">
        <v>1021</v>
      </c>
      <c r="I247" s="373"/>
      <c r="J247" s="374"/>
    </row>
    <row r="248" spans="1:10" s="54" customFormat="1">
      <c r="A248" s="286"/>
      <c r="B248" s="3"/>
      <c r="C248" s="195"/>
      <c r="D248" s="56"/>
      <c r="E248" s="52"/>
      <c r="F248" s="198"/>
      <c r="H248" s="486"/>
      <c r="I248" s="373"/>
      <c r="J248" s="374"/>
    </row>
    <row r="249" spans="1:10" s="54" customFormat="1">
      <c r="A249" s="286"/>
      <c r="B249" s="55"/>
      <c r="C249" s="195"/>
      <c r="D249" s="56"/>
      <c r="E249" s="52"/>
      <c r="F249" s="198"/>
      <c r="H249" s="489"/>
    </row>
    <row r="250" spans="1:10" s="58" customFormat="1" ht="15" customHeight="1">
      <c r="A250" s="48" t="s">
        <v>618</v>
      </c>
      <c r="B250" s="53" t="s">
        <v>790</v>
      </c>
      <c r="C250" s="195" t="s">
        <v>317</v>
      </c>
      <c r="D250" s="56">
        <v>4.5</v>
      </c>
      <c r="E250" s="52"/>
      <c r="F250" s="198">
        <f t="shared" ref="F250" si="6">ROUND(D250*E250,2)</f>
        <v>0</v>
      </c>
      <c r="H250" s="486" t="s">
        <v>1021</v>
      </c>
    </row>
    <row r="251" spans="1:10" s="58" customFormat="1">
      <c r="A251" s="65"/>
      <c r="B251" s="53"/>
      <c r="C251" s="195"/>
      <c r="D251" s="52"/>
      <c r="E251" s="52"/>
      <c r="F251" s="356"/>
      <c r="H251" s="490"/>
    </row>
    <row r="252" spans="1:10" s="58" customFormat="1">
      <c r="A252" s="65"/>
      <c r="B252" s="53"/>
      <c r="C252" s="195"/>
      <c r="D252" s="52"/>
      <c r="E252" s="52"/>
      <c r="F252" s="356"/>
      <c r="H252" s="490"/>
    </row>
    <row r="253" spans="1:10" s="58" customFormat="1" ht="25.5">
      <c r="A253" s="48" t="s">
        <v>613</v>
      </c>
      <c r="B253" s="53" t="s">
        <v>785</v>
      </c>
      <c r="C253" s="195"/>
      <c r="D253" s="416"/>
      <c r="E253" s="52"/>
      <c r="F253" s="356"/>
      <c r="H253" s="490"/>
    </row>
    <row r="254" spans="1:10" s="58" customFormat="1">
      <c r="A254" s="65"/>
      <c r="B254" s="53" t="s">
        <v>325</v>
      </c>
      <c r="C254" s="195" t="s">
        <v>326</v>
      </c>
      <c r="D254" s="56">
        <v>40</v>
      </c>
      <c r="E254" s="52"/>
      <c r="F254" s="198">
        <f t="shared" ref="F254:F255" si="7">ROUND(D254*E254,2)</f>
        <v>0</v>
      </c>
      <c r="H254" s="486" t="s">
        <v>1021</v>
      </c>
    </row>
    <row r="255" spans="1:10" s="58" customFormat="1">
      <c r="A255" s="65"/>
      <c r="B255" s="53" t="s">
        <v>327</v>
      </c>
      <c r="C255" s="195" t="s">
        <v>326</v>
      </c>
      <c r="D255" s="56">
        <v>40</v>
      </c>
      <c r="E255" s="52"/>
      <c r="F255" s="198">
        <f t="shared" si="7"/>
        <v>0</v>
      </c>
      <c r="H255" s="486" t="s">
        <v>1021</v>
      </c>
    </row>
    <row r="256" spans="1:10" s="58" customFormat="1">
      <c r="A256" s="65"/>
      <c r="B256" s="53"/>
      <c r="C256" s="195"/>
      <c r="D256" s="52"/>
      <c r="E256" s="52"/>
      <c r="F256" s="356"/>
      <c r="H256" s="490"/>
    </row>
    <row r="257" spans="1:9" s="7" customFormat="1">
      <c r="A257" s="10"/>
      <c r="B257" s="110"/>
      <c r="C257" s="45"/>
      <c r="D257" s="249"/>
      <c r="E257" s="13"/>
      <c r="F257" s="198"/>
      <c r="H257" s="492"/>
      <c r="I257" s="207"/>
    </row>
    <row r="258" spans="1:9" s="7" customFormat="1" ht="14.25" customHeight="1">
      <c r="A258" s="10"/>
      <c r="B258" s="248" t="s">
        <v>861</v>
      </c>
      <c r="C258" s="42"/>
      <c r="D258" s="43"/>
      <c r="E258" s="197"/>
      <c r="F258" s="198"/>
      <c r="G258" s="9"/>
      <c r="H258" s="492"/>
      <c r="I258" s="207"/>
    </row>
    <row r="259" spans="1:9" s="7" customFormat="1" ht="14.25" customHeight="1">
      <c r="A259" s="10"/>
      <c r="B259" s="16"/>
      <c r="C259" s="42"/>
      <c r="D259" s="43"/>
      <c r="E259" s="197"/>
      <c r="F259" s="198"/>
      <c r="G259" s="9"/>
      <c r="H259" s="492"/>
      <c r="I259" s="207"/>
    </row>
    <row r="260" spans="1:9" s="7" customFormat="1">
      <c r="A260" s="10"/>
      <c r="B260" s="4" t="s">
        <v>759</v>
      </c>
      <c r="C260" s="45"/>
      <c r="D260" s="43"/>
      <c r="E260" s="197"/>
      <c r="F260" s="198"/>
      <c r="G260" s="9"/>
      <c r="H260" s="487"/>
      <c r="I260" s="164"/>
    </row>
    <row r="261" spans="1:9" s="7" customFormat="1" ht="25.5">
      <c r="A261" s="10" t="s">
        <v>614</v>
      </c>
      <c r="B261" s="4" t="s">
        <v>791</v>
      </c>
      <c r="C261" s="45"/>
      <c r="D261" s="43"/>
      <c r="E261" s="197"/>
      <c r="F261" s="198"/>
      <c r="G261" s="9"/>
      <c r="H261" s="487"/>
      <c r="I261" s="164"/>
    </row>
    <row r="262" spans="1:9" s="57" customFormat="1" ht="51">
      <c r="A262" s="20"/>
      <c r="B262" s="16" t="s">
        <v>755</v>
      </c>
      <c r="C262" s="195"/>
      <c r="D262" s="52"/>
      <c r="E262" s="52"/>
      <c r="F262" s="356"/>
      <c r="G262" s="205"/>
      <c r="H262" s="490"/>
    </row>
    <row r="263" spans="1:9" s="7" customFormat="1">
      <c r="A263" s="10"/>
      <c r="B263" s="4" t="s">
        <v>588</v>
      </c>
      <c r="C263" s="45" t="s">
        <v>335</v>
      </c>
      <c r="D263" s="43">
        <v>1</v>
      </c>
      <c r="E263" s="197"/>
      <c r="F263" s="198">
        <f t="shared" ref="F263" si="8">ROUND(D263*E263,2)</f>
        <v>0</v>
      </c>
      <c r="G263" s="9"/>
      <c r="H263" s="487" t="s">
        <v>1026</v>
      </c>
      <c r="I263" s="164"/>
    </row>
    <row r="264" spans="1:9" s="7" customFormat="1">
      <c r="A264" s="10"/>
      <c r="B264" s="4"/>
      <c r="C264" s="45"/>
      <c r="D264" s="43"/>
      <c r="E264" s="197"/>
      <c r="F264" s="198"/>
      <c r="G264" s="9"/>
      <c r="H264" s="487"/>
      <c r="I264" s="164"/>
    </row>
    <row r="265" spans="1:9" s="7" customFormat="1">
      <c r="A265" s="10"/>
      <c r="C265" s="45"/>
      <c r="D265" s="43"/>
      <c r="E265" s="197"/>
      <c r="F265" s="198"/>
      <c r="G265" s="9"/>
      <c r="H265" s="487"/>
      <c r="I265" s="164"/>
    </row>
    <row r="266" spans="1:9" s="7" customFormat="1" ht="51">
      <c r="A266" s="10" t="s">
        <v>615</v>
      </c>
      <c r="B266" s="4" t="s">
        <v>864</v>
      </c>
      <c r="C266" s="45"/>
      <c r="D266" s="43"/>
      <c r="E266" s="197"/>
      <c r="F266" s="198"/>
      <c r="G266" s="9"/>
      <c r="H266" s="487"/>
      <c r="I266" s="164"/>
    </row>
    <row r="267" spans="1:9" s="57" customFormat="1" ht="51">
      <c r="A267" s="20"/>
      <c r="B267" s="16" t="s">
        <v>755</v>
      </c>
      <c r="C267" s="195"/>
      <c r="D267" s="52"/>
      <c r="E267" s="52"/>
      <c r="F267" s="356"/>
      <c r="G267" s="205"/>
      <c r="H267" s="490"/>
    </row>
    <row r="268" spans="1:9" s="7" customFormat="1">
      <c r="A268" s="10"/>
      <c r="B268" s="4" t="s">
        <v>588</v>
      </c>
      <c r="C268" s="45" t="s">
        <v>335</v>
      </c>
      <c r="D268" s="43">
        <v>1</v>
      </c>
      <c r="E268" s="197"/>
      <c r="F268" s="198">
        <f t="shared" ref="F268" si="9">ROUND(D268*E268,2)</f>
        <v>0</v>
      </c>
      <c r="G268" s="9"/>
      <c r="H268" s="487" t="s">
        <v>1026</v>
      </c>
      <c r="I268" s="164"/>
    </row>
    <row r="269" spans="1:9" s="7" customFormat="1">
      <c r="A269" s="10"/>
      <c r="B269" s="4"/>
      <c r="C269" s="45"/>
      <c r="D269" s="43"/>
      <c r="E269" s="197"/>
      <c r="F269" s="198"/>
      <c r="G269" s="9"/>
      <c r="H269" s="487"/>
      <c r="I269" s="164"/>
    </row>
    <row r="270" spans="1:9" s="7" customFormat="1">
      <c r="A270" s="10"/>
      <c r="B270" s="4"/>
      <c r="C270" s="45"/>
      <c r="D270" s="43"/>
      <c r="E270" s="197"/>
      <c r="F270" s="198"/>
      <c r="G270" s="9"/>
      <c r="H270" s="487"/>
      <c r="I270" s="164"/>
    </row>
    <row r="271" spans="1:9" s="7" customFormat="1">
      <c r="A271" s="10"/>
      <c r="B271" s="4" t="s">
        <v>759</v>
      </c>
      <c r="C271" s="45"/>
      <c r="D271" s="43"/>
      <c r="E271" s="42"/>
      <c r="F271" s="341"/>
      <c r="H271" s="490"/>
    </row>
    <row r="272" spans="1:9" s="7" customFormat="1" ht="25.5">
      <c r="A272" s="10" t="s">
        <v>862</v>
      </c>
      <c r="B272" s="4" t="s">
        <v>865</v>
      </c>
      <c r="C272" s="45"/>
      <c r="D272" s="43"/>
      <c r="E272" s="42"/>
      <c r="F272" s="341"/>
      <c r="H272" s="490"/>
    </row>
    <row r="273" spans="1:8" s="7" customFormat="1">
      <c r="A273" s="10"/>
      <c r="B273" s="4" t="s">
        <v>867</v>
      </c>
      <c r="C273" s="45"/>
      <c r="D273" s="43"/>
      <c r="E273" s="42"/>
      <c r="F273" s="341"/>
      <c r="H273" s="490"/>
    </row>
    <row r="274" spans="1:8" s="7" customFormat="1" ht="51">
      <c r="A274" s="10"/>
      <c r="B274" s="3" t="s">
        <v>866</v>
      </c>
      <c r="C274" s="45"/>
      <c r="D274" s="431"/>
      <c r="E274" s="432"/>
      <c r="F274" s="341"/>
      <c r="H274" s="490"/>
    </row>
    <row r="275" spans="1:8" s="7" customFormat="1" ht="13.5" customHeight="1">
      <c r="A275" s="10"/>
      <c r="B275" s="16" t="s">
        <v>589</v>
      </c>
      <c r="C275" s="45" t="s">
        <v>321</v>
      </c>
      <c r="D275" s="43">
        <v>15</v>
      </c>
      <c r="E275" s="42"/>
      <c r="F275" s="198">
        <f t="shared" ref="F275" si="10">ROUND(D275*E275,2)</f>
        <v>0</v>
      </c>
      <c r="H275" s="490" t="s">
        <v>1023</v>
      </c>
    </row>
    <row r="276" spans="1:8" s="7" customFormat="1">
      <c r="A276" s="10"/>
      <c r="B276" s="4"/>
      <c r="C276" s="45"/>
      <c r="D276" s="249"/>
      <c r="E276" s="13"/>
      <c r="F276" s="341"/>
      <c r="H276" s="490"/>
    </row>
    <row r="277" spans="1:8" s="7" customFormat="1">
      <c r="A277" s="10"/>
      <c r="B277" s="16"/>
      <c r="C277" s="45"/>
      <c r="D277" s="43"/>
      <c r="E277" s="42"/>
      <c r="F277" s="341"/>
      <c r="H277" s="490"/>
    </row>
    <row r="278" spans="1:8" s="4" customFormat="1" ht="25.5">
      <c r="A278" s="20" t="s">
        <v>863</v>
      </c>
      <c r="B278" s="3" t="s">
        <v>617</v>
      </c>
      <c r="C278" s="194"/>
      <c r="D278" s="9"/>
      <c r="E278" s="11"/>
      <c r="F278" s="341"/>
      <c r="H278" s="489"/>
    </row>
    <row r="279" spans="1:8" s="4" customFormat="1">
      <c r="A279" s="20"/>
      <c r="B279" s="4" t="s">
        <v>323</v>
      </c>
      <c r="C279" s="194" t="s">
        <v>322</v>
      </c>
      <c r="D279" s="9">
        <v>50</v>
      </c>
      <c r="E279" s="13"/>
      <c r="F279" s="198">
        <f t="shared" ref="F279:F280" si="11">ROUND(D279*E279,2)</f>
        <v>0</v>
      </c>
      <c r="H279" s="490" t="s">
        <v>1026</v>
      </c>
    </row>
    <row r="280" spans="1:8" s="4" customFormat="1">
      <c r="A280" s="20"/>
      <c r="B280" s="4" t="s">
        <v>324</v>
      </c>
      <c r="C280" s="194" t="s">
        <v>322</v>
      </c>
      <c r="D280" s="9">
        <v>10</v>
      </c>
      <c r="E280" s="13"/>
      <c r="F280" s="198">
        <f t="shared" si="11"/>
        <v>0</v>
      </c>
      <c r="H280" s="490" t="s">
        <v>1026</v>
      </c>
    </row>
    <row r="281" spans="1:8" s="4" customFormat="1">
      <c r="A281" s="20"/>
      <c r="C281" s="194"/>
      <c r="D281" s="9"/>
      <c r="E281" s="13"/>
      <c r="F281" s="341"/>
      <c r="H281" s="489"/>
    </row>
    <row r="282" spans="1:8" s="7" customFormat="1">
      <c r="A282" s="10"/>
      <c r="B282" s="16"/>
      <c r="C282" s="13"/>
      <c r="D282" s="43"/>
      <c r="E282" s="42"/>
      <c r="F282" s="339"/>
      <c r="H282" s="490"/>
    </row>
    <row r="283" spans="1:8" s="5" customFormat="1">
      <c r="A283" s="38" t="s">
        <v>318</v>
      </c>
      <c r="B283" s="166" t="s">
        <v>328</v>
      </c>
      <c r="C283" s="39"/>
      <c r="D283" s="220"/>
      <c r="E283" s="241"/>
      <c r="F283" s="338">
        <f>SUM(F101:F282)</f>
        <v>0</v>
      </c>
      <c r="H283" s="489"/>
    </row>
    <row r="284" spans="1:8" s="7" customFormat="1">
      <c r="A284" s="10"/>
      <c r="B284" s="44"/>
      <c r="C284" s="13"/>
      <c r="D284" s="43"/>
      <c r="E284" s="42"/>
      <c r="F284" s="339"/>
      <c r="H284" s="490"/>
    </row>
    <row r="285" spans="1:8" s="4" customFormat="1">
      <c r="A285" s="10"/>
      <c r="B285" s="5"/>
      <c r="C285" s="194"/>
      <c r="D285" s="9"/>
      <c r="E285" s="11"/>
      <c r="F285" s="339"/>
      <c r="H285" s="489"/>
    </row>
    <row r="286" spans="1:8" s="4" customFormat="1">
      <c r="A286" s="38" t="s">
        <v>329</v>
      </c>
      <c r="B286" s="168" t="s">
        <v>538</v>
      </c>
      <c r="C286" s="194"/>
      <c r="D286" s="9"/>
      <c r="E286" s="11"/>
      <c r="F286" s="339"/>
      <c r="H286" s="489"/>
    </row>
    <row r="287" spans="1:8" s="4" customFormat="1">
      <c r="A287" s="10"/>
      <c r="B287" s="5"/>
      <c r="C287" s="194"/>
      <c r="D287" s="9"/>
      <c r="E287" s="11"/>
      <c r="F287" s="339"/>
      <c r="H287" s="489"/>
    </row>
    <row r="288" spans="1:8" s="4" customFormat="1">
      <c r="A288" s="10"/>
      <c r="B288" s="5"/>
      <c r="C288" s="194"/>
      <c r="D288" s="9"/>
      <c r="E288" s="11"/>
      <c r="F288" s="339"/>
      <c r="H288" s="489"/>
    </row>
    <row r="289" spans="1:11" s="49" customFormat="1" ht="63.75">
      <c r="A289" s="10" t="s">
        <v>353</v>
      </c>
      <c r="B289" s="60" t="s">
        <v>869</v>
      </c>
      <c r="C289" s="202"/>
      <c r="D289" s="56"/>
      <c r="E289" s="228"/>
      <c r="F289" s="405"/>
      <c r="G289" s="475"/>
      <c r="H289" s="489"/>
    </row>
    <row r="290" spans="1:11" s="49" customFormat="1">
      <c r="A290" s="10"/>
      <c r="B290" s="60" t="s">
        <v>871</v>
      </c>
      <c r="C290" s="202" t="s">
        <v>322</v>
      </c>
      <c r="D290" s="267">
        <v>82</v>
      </c>
      <c r="E290" s="228"/>
      <c r="F290" s="198">
        <f t="shared" ref="F290" si="12">ROUND(D290*E290,2)</f>
        <v>0</v>
      </c>
      <c r="G290" s="468"/>
      <c r="H290" s="486" t="s">
        <v>1023</v>
      </c>
      <c r="I290" s="373"/>
      <c r="J290" s="374"/>
      <c r="K290" s="54"/>
    </row>
    <row r="291" spans="1:11" s="49" customFormat="1">
      <c r="A291" s="10"/>
      <c r="B291" s="60"/>
      <c r="C291" s="202"/>
      <c r="D291" s="11"/>
      <c r="E291" s="228"/>
      <c r="F291" s="405"/>
      <c r="G291" s="468"/>
      <c r="H291" s="489"/>
    </row>
    <row r="292" spans="1:11" s="49" customFormat="1">
      <c r="A292" s="10"/>
      <c r="B292" s="60"/>
      <c r="C292" s="202"/>
      <c r="D292" s="11"/>
      <c r="E292" s="228"/>
      <c r="F292" s="405"/>
      <c r="G292" s="468"/>
      <c r="H292" s="489"/>
    </row>
    <row r="293" spans="1:11" s="54" customFormat="1" ht="51">
      <c r="A293" s="10" t="s">
        <v>376</v>
      </c>
      <c r="B293" s="16" t="s">
        <v>870</v>
      </c>
      <c r="C293" s="187"/>
      <c r="D293" s="11"/>
      <c r="E293" s="56"/>
      <c r="F293" s="356"/>
      <c r="G293" s="468"/>
      <c r="H293" s="489"/>
    </row>
    <row r="294" spans="1:11" s="54" customFormat="1">
      <c r="A294" s="10"/>
      <c r="B294" s="16" t="s">
        <v>868</v>
      </c>
      <c r="C294" s="187" t="s">
        <v>322</v>
      </c>
      <c r="D294" s="267">
        <v>82</v>
      </c>
      <c r="E294" s="56"/>
      <c r="F294" s="198">
        <f t="shared" ref="F294" si="13">ROUND(D294*E294,2)</f>
        <v>0</v>
      </c>
      <c r="G294" s="468"/>
      <c r="H294" s="486" t="s">
        <v>1023</v>
      </c>
      <c r="I294" s="373"/>
      <c r="J294" s="374"/>
    </row>
    <row r="295" spans="1:11" s="54" customFormat="1">
      <c r="A295" s="10"/>
      <c r="B295" s="53"/>
      <c r="C295" s="187"/>
      <c r="D295" s="231"/>
      <c r="E295" s="56"/>
      <c r="F295" s="198"/>
      <c r="G295" s="468"/>
      <c r="H295" s="489"/>
    </row>
    <row r="296" spans="1:11" s="49" customFormat="1">
      <c r="A296" s="10"/>
      <c r="B296" s="60"/>
      <c r="C296" s="202"/>
      <c r="D296" s="11"/>
      <c r="E296" s="228"/>
      <c r="F296" s="405"/>
      <c r="G296" s="468"/>
      <c r="H296" s="489"/>
    </row>
    <row r="297" spans="1:11" s="54" customFormat="1" ht="37.5" customHeight="1">
      <c r="A297" s="10" t="s">
        <v>376</v>
      </c>
      <c r="B297" s="16" t="s">
        <v>881</v>
      </c>
      <c r="C297" s="187"/>
      <c r="D297" s="11"/>
      <c r="E297" s="56"/>
      <c r="F297" s="356"/>
      <c r="G297" s="468"/>
      <c r="H297" s="489"/>
    </row>
    <row r="298" spans="1:11" s="54" customFormat="1">
      <c r="A298" s="10"/>
      <c r="B298" s="16" t="s">
        <v>882</v>
      </c>
      <c r="C298" s="187"/>
      <c r="D298" s="11"/>
      <c r="E298" s="56"/>
      <c r="F298" s="356"/>
      <c r="G298" s="468"/>
      <c r="H298" s="489"/>
    </row>
    <row r="299" spans="1:11" s="54" customFormat="1">
      <c r="A299" s="10"/>
      <c r="B299" s="16" t="s">
        <v>880</v>
      </c>
      <c r="C299" s="194" t="s">
        <v>317</v>
      </c>
      <c r="D299" s="230">
        <v>275</v>
      </c>
      <c r="E299" s="56"/>
      <c r="F299" s="198">
        <f t="shared" ref="F299" si="14">ROUND(D299*E299,2)</f>
        <v>0</v>
      </c>
      <c r="G299" s="468"/>
      <c r="H299" s="486" t="s">
        <v>1023</v>
      </c>
      <c r="I299" s="373"/>
      <c r="J299" s="374"/>
    </row>
    <row r="300" spans="1:11" s="54" customFormat="1">
      <c r="A300" s="10"/>
      <c r="B300" s="53"/>
      <c r="C300" s="187"/>
      <c r="D300" s="231"/>
      <c r="E300" s="56"/>
      <c r="F300" s="198"/>
      <c r="G300" s="468"/>
      <c r="H300" s="489"/>
    </row>
    <row r="301" spans="1:11" s="54" customFormat="1">
      <c r="A301" s="10"/>
      <c r="B301" s="53"/>
      <c r="C301" s="195"/>
      <c r="D301" s="52"/>
      <c r="E301" s="52"/>
      <c r="F301" s="247"/>
      <c r="G301" s="205"/>
      <c r="H301" s="489"/>
    </row>
    <row r="302" spans="1:11" s="7" customFormat="1" ht="76.5">
      <c r="A302" s="10" t="s">
        <v>385</v>
      </c>
      <c r="B302" s="16" t="s">
        <v>883</v>
      </c>
      <c r="C302" s="45"/>
      <c r="D302" s="52"/>
      <c r="E302" s="417"/>
      <c r="F302" s="247"/>
      <c r="G302" s="205"/>
      <c r="H302" s="490"/>
    </row>
    <row r="303" spans="1:11" s="7" customFormat="1">
      <c r="A303" s="10"/>
      <c r="B303" s="16" t="s">
        <v>793</v>
      </c>
      <c r="C303" s="45" t="s">
        <v>317</v>
      </c>
      <c r="D303" s="230">
        <v>340</v>
      </c>
      <c r="E303" s="42"/>
      <c r="F303" s="198">
        <f t="shared" ref="F303" si="15">ROUND(D303*E303,2)</f>
        <v>0</v>
      </c>
      <c r="G303" s="468"/>
      <c r="H303" s="486" t="s">
        <v>1023</v>
      </c>
      <c r="I303" s="373"/>
      <c r="J303" s="374"/>
    </row>
    <row r="304" spans="1:11" s="7" customFormat="1">
      <c r="A304" s="10"/>
      <c r="B304" s="16"/>
      <c r="C304" s="45"/>
      <c r="D304" s="52"/>
      <c r="E304" s="42"/>
      <c r="F304" s="247"/>
      <c r="G304" s="205"/>
      <c r="H304" s="490"/>
    </row>
    <row r="305" spans="1:10" s="58" customFormat="1">
      <c r="A305" s="10"/>
      <c r="B305" s="418"/>
      <c r="C305" s="326"/>
      <c r="D305" s="222"/>
      <c r="E305" s="234"/>
      <c r="F305" s="228"/>
      <c r="G305" s="205"/>
      <c r="H305" s="490"/>
    </row>
    <row r="306" spans="1:10" s="58" customFormat="1" ht="69" customHeight="1">
      <c r="A306" s="10" t="s">
        <v>387</v>
      </c>
      <c r="B306" s="16" t="s">
        <v>884</v>
      </c>
      <c r="C306" s="202"/>
      <c r="D306" s="222"/>
      <c r="E306" s="234"/>
      <c r="F306" s="419"/>
      <c r="G306" s="205"/>
      <c r="H306" s="490"/>
    </row>
    <row r="307" spans="1:10" s="58" customFormat="1">
      <c r="A307" s="10"/>
      <c r="B307" s="60" t="s">
        <v>793</v>
      </c>
      <c r="C307" s="202" t="s">
        <v>317</v>
      </c>
      <c r="D307" s="230">
        <v>340</v>
      </c>
      <c r="E307" s="42"/>
      <c r="F307" s="198">
        <f t="shared" ref="F307" si="16">ROUND(D307*E307,2)</f>
        <v>0</v>
      </c>
      <c r="G307" s="468"/>
      <c r="H307" s="486" t="s">
        <v>1023</v>
      </c>
      <c r="I307" s="373"/>
      <c r="J307" s="374"/>
    </row>
    <row r="308" spans="1:10" s="58" customFormat="1">
      <c r="A308" s="10"/>
      <c r="B308" s="60"/>
      <c r="C308" s="202"/>
      <c r="D308" s="230"/>
      <c r="E308" s="42"/>
      <c r="F308" s="198"/>
      <c r="G308" s="468"/>
      <c r="H308" s="486"/>
      <c r="I308" s="373"/>
      <c r="J308" s="374"/>
    </row>
    <row r="309" spans="1:10" s="58" customFormat="1">
      <c r="A309" s="10"/>
      <c r="B309" s="60"/>
      <c r="C309" s="202"/>
      <c r="D309" s="230"/>
      <c r="E309" s="42"/>
      <c r="F309" s="198"/>
      <c r="G309" s="468"/>
      <c r="H309" s="486"/>
      <c r="I309" s="373"/>
      <c r="J309" s="374"/>
    </row>
    <row r="310" spans="1:10" s="58" customFormat="1" ht="25.5">
      <c r="A310" s="10" t="s">
        <v>389</v>
      </c>
      <c r="B310" s="60" t="s">
        <v>873</v>
      </c>
      <c r="C310" s="202"/>
      <c r="D310" s="230"/>
      <c r="E310" s="234"/>
      <c r="F310" s="419"/>
      <c r="G310" s="205"/>
      <c r="H310" s="490"/>
    </row>
    <row r="311" spans="1:10" s="4" customFormat="1">
      <c r="A311" s="10"/>
      <c r="B311" s="16" t="s">
        <v>874</v>
      </c>
      <c r="C311" s="202"/>
      <c r="D311" s="228"/>
      <c r="E311" s="433">
        <v>0</v>
      </c>
      <c r="F311" s="198"/>
      <c r="G311" s="234"/>
      <c r="H311" s="487"/>
      <c r="I311" s="164"/>
    </row>
    <row r="312" spans="1:10" s="4" customFormat="1" ht="24.75" customHeight="1">
      <c r="A312" s="48"/>
      <c r="B312" s="16" t="s">
        <v>875</v>
      </c>
      <c r="C312" s="202"/>
      <c r="D312" s="228"/>
      <c r="E312" s="433">
        <v>0</v>
      </c>
      <c r="F312" s="198"/>
      <c r="G312" s="234"/>
      <c r="H312" s="492"/>
      <c r="I312" s="164"/>
    </row>
    <row r="313" spans="1:10" s="4" customFormat="1">
      <c r="A313" s="48"/>
      <c r="B313" s="16" t="s">
        <v>872</v>
      </c>
      <c r="C313" s="202" t="s">
        <v>321</v>
      </c>
      <c r="D313" s="228">
        <v>35</v>
      </c>
      <c r="E313" s="197"/>
      <c r="F313" s="198">
        <f>D313*E313</f>
        <v>0</v>
      </c>
      <c r="G313" s="9"/>
      <c r="H313" s="486" t="s">
        <v>1023</v>
      </c>
      <c r="I313" s="434"/>
    </row>
    <row r="314" spans="1:10" s="4" customFormat="1">
      <c r="A314" s="48"/>
      <c r="B314" s="16"/>
      <c r="C314" s="202"/>
      <c r="D314" s="228"/>
      <c r="E314" s="197"/>
      <c r="F314" s="198"/>
      <c r="G314" s="9"/>
      <c r="H314" s="492"/>
      <c r="I314" s="434"/>
    </row>
    <row r="315" spans="1:10" s="7" customFormat="1">
      <c r="A315" s="10"/>
      <c r="B315" s="16"/>
      <c r="C315" s="45"/>
      <c r="D315" s="42"/>
      <c r="E315" s="42"/>
      <c r="F315" s="13">
        <f t="shared" ref="F315:F317" si="17">D315*E315</f>
        <v>0</v>
      </c>
      <c r="H315" s="490"/>
    </row>
    <row r="316" spans="1:10" s="7" customFormat="1">
      <c r="A316" s="10" t="s">
        <v>391</v>
      </c>
      <c r="B316" s="16" t="s">
        <v>673</v>
      </c>
      <c r="C316" s="45"/>
      <c r="D316" s="322"/>
      <c r="E316" s="42"/>
      <c r="F316" s="13">
        <f t="shared" si="17"/>
        <v>0</v>
      </c>
      <c r="H316" s="490"/>
    </row>
    <row r="317" spans="1:10" s="7" customFormat="1" ht="38.25">
      <c r="A317" s="10"/>
      <c r="B317" s="16" t="s">
        <v>675</v>
      </c>
      <c r="C317" s="45"/>
      <c r="D317" s="322"/>
      <c r="E317" s="42"/>
      <c r="F317" s="13">
        <f t="shared" si="17"/>
        <v>0</v>
      </c>
      <c r="H317" s="490"/>
    </row>
    <row r="318" spans="1:10" s="7" customFormat="1">
      <c r="A318" s="10"/>
      <c r="B318" t="s">
        <v>674</v>
      </c>
      <c r="C318" s="45" t="s">
        <v>322</v>
      </c>
      <c r="D318" s="42">
        <v>33</v>
      </c>
      <c r="E318" s="42"/>
      <c r="F318" s="198">
        <f t="shared" ref="F318" si="18">ROUND(D318*E318,2)</f>
        <v>0</v>
      </c>
      <c r="H318" s="486" t="s">
        <v>1023</v>
      </c>
    </row>
    <row r="319" spans="1:10" s="183" customFormat="1">
      <c r="A319" s="199"/>
      <c r="B319" s="323"/>
      <c r="C319" s="196"/>
      <c r="D319" s="232"/>
      <c r="H319" s="490"/>
    </row>
    <row r="320" spans="1:10" s="4" customFormat="1">
      <c r="A320" s="10"/>
      <c r="B320" s="237"/>
      <c r="C320" s="11"/>
      <c r="D320" s="9"/>
      <c r="E320" s="11"/>
      <c r="F320" s="339"/>
      <c r="H320" s="489"/>
    </row>
    <row r="321" spans="1:8" s="4" customFormat="1">
      <c r="A321" s="38" t="s">
        <v>329</v>
      </c>
      <c r="B321" s="169" t="s">
        <v>544</v>
      </c>
      <c r="C321" s="252"/>
      <c r="D321" s="253"/>
      <c r="E321" s="241"/>
      <c r="F321" s="338">
        <f>SUM(F286:F320)</f>
        <v>0</v>
      </c>
      <c r="H321" s="489"/>
    </row>
    <row r="322" spans="1:8" s="4" customFormat="1">
      <c r="A322" s="10"/>
      <c r="B322" s="5"/>
      <c r="C322" s="194"/>
      <c r="D322" s="9"/>
      <c r="E322" s="11"/>
      <c r="F322" s="339"/>
      <c r="H322" s="489"/>
    </row>
    <row r="323" spans="1:8" s="4" customFormat="1">
      <c r="A323" s="10"/>
      <c r="B323" s="5"/>
      <c r="C323" s="13"/>
      <c r="D323" s="120"/>
      <c r="E323" s="11"/>
      <c r="F323" s="339"/>
      <c r="H323" s="489"/>
    </row>
    <row r="324" spans="1:8" s="5" customFormat="1">
      <c r="A324" s="38" t="s">
        <v>303</v>
      </c>
      <c r="B324" s="168" t="s">
        <v>331</v>
      </c>
      <c r="C324" s="13"/>
      <c r="D324" s="120"/>
      <c r="E324" s="11"/>
      <c r="F324" s="339"/>
      <c r="H324" s="489"/>
    </row>
    <row r="325" spans="1:8" s="5" customFormat="1">
      <c r="A325" s="10"/>
      <c r="C325" s="13"/>
      <c r="D325" s="120"/>
      <c r="E325" s="11"/>
      <c r="F325" s="339"/>
      <c r="H325" s="489"/>
    </row>
    <row r="326" spans="1:8" s="4" customFormat="1">
      <c r="A326" s="10"/>
      <c r="C326" s="194"/>
      <c r="D326" s="11"/>
      <c r="E326" s="11"/>
      <c r="F326" s="341"/>
      <c r="H326" s="489"/>
    </row>
    <row r="327" spans="1:8" s="4" customFormat="1" ht="25.5">
      <c r="A327" s="10" t="s">
        <v>353</v>
      </c>
      <c r="B327" s="4" t="s">
        <v>876</v>
      </c>
      <c r="C327" s="194"/>
      <c r="D327" s="11"/>
      <c r="E327" s="11"/>
      <c r="F327" s="341"/>
      <c r="H327" s="489"/>
    </row>
    <row r="328" spans="1:8" s="4" customFormat="1" ht="15" customHeight="1">
      <c r="A328" s="10"/>
      <c r="B328" s="4" t="s">
        <v>624</v>
      </c>
      <c r="C328" s="194"/>
      <c r="D328" s="11"/>
      <c r="E328" s="11"/>
      <c r="F328" s="341"/>
      <c r="H328" s="489"/>
    </row>
    <row r="329" spans="1:8" s="4" customFormat="1">
      <c r="A329" s="10"/>
      <c r="B329" s="4" t="s">
        <v>625</v>
      </c>
      <c r="C329" s="194"/>
      <c r="D329" s="11"/>
      <c r="E329" s="11"/>
      <c r="F329" s="341"/>
      <c r="H329" s="489"/>
    </row>
    <row r="330" spans="1:8" s="4" customFormat="1" ht="25.5">
      <c r="A330" s="10"/>
      <c r="B330" s="4" t="s">
        <v>626</v>
      </c>
      <c r="C330" s="194"/>
      <c r="D330" s="11"/>
      <c r="E330" s="11"/>
      <c r="F330" s="341"/>
      <c r="H330" s="489"/>
    </row>
    <row r="331" spans="1:8" s="4" customFormat="1">
      <c r="A331" s="10"/>
      <c r="B331" s="4" t="s">
        <v>627</v>
      </c>
      <c r="C331" s="194" t="s">
        <v>321</v>
      </c>
      <c r="D331" s="11">
        <v>5</v>
      </c>
      <c r="E331" s="11"/>
      <c r="F331" s="198">
        <f t="shared" ref="F331:F332" si="19">ROUND(D331*E331,2)</f>
        <v>0</v>
      </c>
      <c r="H331" s="489" t="s">
        <v>1021</v>
      </c>
    </row>
    <row r="332" spans="1:8" s="4" customFormat="1">
      <c r="A332" s="10"/>
      <c r="B332" s="4" t="s">
        <v>628</v>
      </c>
      <c r="C332" s="194" t="s">
        <v>317</v>
      </c>
      <c r="D332" s="11">
        <v>50</v>
      </c>
      <c r="E332" s="11"/>
      <c r="F332" s="198">
        <f t="shared" si="19"/>
        <v>0</v>
      </c>
      <c r="H332" s="489" t="s">
        <v>1021</v>
      </c>
    </row>
    <row r="333" spans="1:8" s="4" customFormat="1" ht="13.5" customHeight="1">
      <c r="A333" s="10"/>
      <c r="C333" s="194"/>
      <c r="D333" s="11"/>
      <c r="E333" s="11"/>
      <c r="F333" s="341"/>
      <c r="H333" s="489"/>
    </row>
    <row r="334" spans="1:8" s="4" customFormat="1">
      <c r="A334" s="10"/>
      <c r="C334" s="194"/>
      <c r="D334" s="9"/>
      <c r="E334" s="11"/>
      <c r="F334" s="339"/>
      <c r="H334" s="489"/>
    </row>
    <row r="335" spans="1:8" s="4" customFormat="1">
      <c r="A335" s="38" t="s">
        <v>303</v>
      </c>
      <c r="B335" s="169" t="s">
        <v>542</v>
      </c>
      <c r="C335" s="201"/>
      <c r="D335" s="220"/>
      <c r="E335" s="241"/>
      <c r="F335" s="338">
        <f>SUM(F324:F334)</f>
        <v>0</v>
      </c>
      <c r="H335" s="489"/>
    </row>
    <row r="336" spans="1:8" s="4" customFormat="1">
      <c r="A336" s="10"/>
      <c r="B336" s="5"/>
      <c r="C336" s="70"/>
      <c r="D336" s="120"/>
      <c r="E336" s="11"/>
      <c r="F336" s="339"/>
      <c r="H336" s="489"/>
    </row>
    <row r="337" spans="1:10" s="4" customFormat="1">
      <c r="A337" s="10"/>
      <c r="B337" s="5"/>
      <c r="C337" s="194"/>
      <c r="D337" s="9"/>
      <c r="E337" s="11"/>
      <c r="F337" s="339"/>
      <c r="H337" s="489"/>
    </row>
    <row r="338" spans="1:10" s="4" customFormat="1">
      <c r="A338" s="38" t="s">
        <v>330</v>
      </c>
      <c r="B338" s="168" t="s">
        <v>539</v>
      </c>
      <c r="C338" s="194"/>
      <c r="D338" s="9"/>
      <c r="E338" s="11"/>
      <c r="F338" s="339"/>
      <c r="H338" s="489"/>
    </row>
    <row r="339" spans="1:10" s="4" customFormat="1">
      <c r="A339" s="10"/>
      <c r="B339" s="5"/>
      <c r="C339" s="194"/>
      <c r="D339" s="9"/>
      <c r="E339" s="11"/>
      <c r="F339" s="339"/>
      <c r="H339" s="489"/>
    </row>
    <row r="340" spans="1:10" s="4" customFormat="1">
      <c r="A340" s="10"/>
      <c r="B340" s="5"/>
      <c r="C340" s="194"/>
      <c r="D340" s="11"/>
      <c r="E340" s="13"/>
      <c r="F340" s="13"/>
      <c r="H340" s="489"/>
    </row>
    <row r="341" spans="1:10" s="4" customFormat="1" ht="25.5">
      <c r="A341" s="10" t="s">
        <v>353</v>
      </c>
      <c r="B341" s="4" t="s">
        <v>619</v>
      </c>
      <c r="C341" s="194"/>
      <c r="D341" s="11"/>
      <c r="E341" s="13"/>
      <c r="F341" s="13"/>
      <c r="H341" s="489"/>
    </row>
    <row r="342" spans="1:10" s="4" customFormat="1" ht="38.25">
      <c r="A342" s="10"/>
      <c r="B342" s="4" t="s">
        <v>620</v>
      </c>
      <c r="C342" s="194"/>
      <c r="D342" s="11"/>
      <c r="E342" s="13"/>
      <c r="F342" s="13"/>
      <c r="H342" s="489"/>
    </row>
    <row r="343" spans="1:10" s="4" customFormat="1">
      <c r="A343" s="10"/>
      <c r="B343" s="4" t="s">
        <v>621</v>
      </c>
      <c r="C343" s="194"/>
      <c r="D343" s="11"/>
      <c r="E343" s="13"/>
      <c r="F343" s="13"/>
      <c r="H343" s="489"/>
    </row>
    <row r="344" spans="1:10" s="4" customFormat="1" ht="25.5">
      <c r="A344" s="10"/>
      <c r="B344" s="4" t="s">
        <v>622</v>
      </c>
      <c r="C344" s="194" t="s">
        <v>623</v>
      </c>
      <c r="D344" s="11">
        <v>200</v>
      </c>
      <c r="E344" s="11"/>
      <c r="F344" s="198">
        <f t="shared" ref="F344" si="20">ROUND(D344*E344,2)</f>
        <v>0</v>
      </c>
      <c r="H344" s="489" t="s">
        <v>1021</v>
      </c>
      <c r="I344" s="334"/>
    </row>
    <row r="345" spans="1:10" s="4" customFormat="1" ht="12.75" customHeight="1">
      <c r="A345" s="10"/>
      <c r="C345" s="194"/>
      <c r="D345" s="11"/>
      <c r="E345" s="11"/>
      <c r="F345" s="341"/>
      <c r="H345" s="492"/>
      <c r="I345" s="218"/>
      <c r="J345" s="5"/>
    </row>
    <row r="346" spans="1:10" s="4" customFormat="1">
      <c r="A346" s="10"/>
      <c r="C346" s="13"/>
      <c r="D346" s="9"/>
      <c r="E346" s="11"/>
      <c r="F346" s="339"/>
      <c r="H346" s="489"/>
    </row>
    <row r="347" spans="1:10" s="4" customFormat="1">
      <c r="A347" s="38" t="s">
        <v>330</v>
      </c>
      <c r="B347" s="169" t="s">
        <v>543</v>
      </c>
      <c r="C347" s="252"/>
      <c r="D347" s="253"/>
      <c r="E347" s="241"/>
      <c r="F347" s="338">
        <f>SUM(F338:F346)</f>
        <v>0</v>
      </c>
      <c r="H347" s="489"/>
    </row>
    <row r="348" spans="1:10" s="4" customFormat="1">
      <c r="A348" s="10"/>
      <c r="B348" s="5"/>
      <c r="C348" s="194"/>
      <c r="D348" s="9"/>
      <c r="E348" s="11"/>
      <c r="F348" s="339"/>
      <c r="H348" s="489"/>
    </row>
    <row r="349" spans="1:10" s="4" customFormat="1">
      <c r="A349" s="10"/>
      <c r="B349" s="5"/>
      <c r="C349" s="194"/>
      <c r="D349" s="9"/>
      <c r="E349" s="11"/>
      <c r="F349" s="339"/>
      <c r="H349" s="489"/>
    </row>
    <row r="350" spans="1:10" s="4" customFormat="1">
      <c r="A350" s="38" t="s">
        <v>332</v>
      </c>
      <c r="B350" s="168" t="s">
        <v>334</v>
      </c>
      <c r="C350" s="194"/>
      <c r="D350" s="9"/>
      <c r="E350" s="11"/>
      <c r="F350" s="339"/>
      <c r="H350" s="489"/>
    </row>
    <row r="351" spans="1:10" s="4" customFormat="1">
      <c r="A351" s="10"/>
      <c r="B351" s="5"/>
      <c r="C351" s="194"/>
      <c r="D351" s="9"/>
      <c r="E351" s="11"/>
      <c r="F351" s="339"/>
      <c r="H351" s="489"/>
    </row>
    <row r="352" spans="1:10" s="4" customFormat="1">
      <c r="A352" s="10"/>
      <c r="B352" s="5"/>
      <c r="C352" s="194"/>
      <c r="D352" s="9"/>
      <c r="E352" s="11"/>
      <c r="F352" s="339"/>
      <c r="H352" s="489"/>
    </row>
    <row r="353" spans="1:8" s="4" customFormat="1" ht="394.5" customHeight="1">
      <c r="A353" s="10"/>
      <c r="B353" s="5"/>
      <c r="C353" s="194"/>
      <c r="D353" s="9"/>
      <c r="E353" s="11"/>
      <c r="F353" s="339"/>
      <c r="H353" s="489"/>
    </row>
    <row r="354" spans="1:8" s="54" customFormat="1" ht="207" customHeight="1">
      <c r="A354" s="10"/>
      <c r="B354" s="5"/>
      <c r="C354" s="187"/>
      <c r="D354" s="56"/>
      <c r="E354" s="56"/>
      <c r="F354" s="356"/>
      <c r="H354" s="489"/>
    </row>
    <row r="355" spans="1:8" s="54" customFormat="1" ht="73.5" customHeight="1">
      <c r="A355" s="10"/>
      <c r="B355" s="5"/>
      <c r="C355" s="187"/>
      <c r="D355" s="56"/>
      <c r="E355" s="56"/>
      <c r="F355" s="356"/>
      <c r="H355" s="489"/>
    </row>
    <row r="356" spans="1:8" s="7" customFormat="1" ht="298.5" customHeight="1">
      <c r="A356" s="10"/>
      <c r="B356" s="16"/>
      <c r="C356" s="45"/>
      <c r="D356" s="42"/>
      <c r="E356" s="42"/>
      <c r="F356" s="341"/>
      <c r="H356" s="490"/>
    </row>
    <row r="357" spans="1:8" s="54" customFormat="1" ht="153" customHeight="1">
      <c r="A357" s="10"/>
      <c r="B357" s="5"/>
      <c r="C357" s="187"/>
      <c r="D357" s="56"/>
      <c r="E357" s="56"/>
      <c r="F357" s="356"/>
      <c r="H357" s="489"/>
    </row>
    <row r="358" spans="1:8" s="54" customFormat="1" ht="353.25" customHeight="1">
      <c r="A358" s="10"/>
      <c r="B358" s="5"/>
      <c r="C358" s="187"/>
      <c r="D358" s="56"/>
      <c r="E358" s="56"/>
      <c r="F358" s="356"/>
      <c r="H358" s="489"/>
    </row>
    <row r="359" spans="1:8" s="54" customFormat="1" ht="360.75" customHeight="1">
      <c r="A359" s="10"/>
      <c r="B359" s="5"/>
      <c r="C359" s="187"/>
      <c r="D359" s="56"/>
      <c r="E359" s="56"/>
      <c r="F359" s="356"/>
      <c r="H359" s="489"/>
    </row>
    <row r="360" spans="1:8" s="54" customFormat="1" ht="142.5" customHeight="1">
      <c r="A360" s="10"/>
      <c r="B360" s="5"/>
      <c r="C360" s="187"/>
      <c r="D360" s="56"/>
      <c r="E360" s="56"/>
      <c r="F360" s="356"/>
      <c r="H360" s="489"/>
    </row>
    <row r="361" spans="1:8" s="54" customFormat="1">
      <c r="A361" s="10"/>
      <c r="B361" s="5"/>
      <c r="C361" s="187"/>
      <c r="D361" s="56"/>
      <c r="E361" s="56"/>
      <c r="F361" s="356"/>
      <c r="H361" s="489"/>
    </row>
    <row r="362" spans="1:8" s="54" customFormat="1">
      <c r="A362" s="10"/>
      <c r="B362" s="5"/>
      <c r="C362" s="187"/>
      <c r="D362" s="56"/>
      <c r="E362" s="56"/>
      <c r="F362" s="356"/>
      <c r="H362" s="489"/>
    </row>
    <row r="363" spans="1:8" s="54" customFormat="1">
      <c r="A363" s="10"/>
      <c r="B363" s="5" t="s">
        <v>685</v>
      </c>
      <c r="C363" s="187"/>
      <c r="D363" s="56"/>
      <c r="E363" s="56"/>
      <c r="F363" s="356"/>
      <c r="H363" s="489"/>
    </row>
    <row r="364" spans="1:8" s="54" customFormat="1">
      <c r="A364" s="10"/>
      <c r="B364" s="5"/>
      <c r="C364" s="187"/>
      <c r="D364" s="56"/>
      <c r="E364" s="56"/>
      <c r="F364" s="356"/>
      <c r="H364" s="489"/>
    </row>
    <row r="365" spans="1:8" s="54" customFormat="1" ht="70.5" customHeight="1">
      <c r="A365" s="20" t="s">
        <v>353</v>
      </c>
      <c r="B365" s="54" t="s">
        <v>796</v>
      </c>
      <c r="C365" s="182"/>
      <c r="H365" s="489"/>
    </row>
    <row r="366" spans="1:8" s="54" customFormat="1" ht="25.5">
      <c r="A366" s="65"/>
      <c r="B366" s="54" t="s">
        <v>688</v>
      </c>
      <c r="C366" s="182"/>
      <c r="H366" s="489"/>
    </row>
    <row r="367" spans="1:8" s="54" customFormat="1">
      <c r="A367" s="65"/>
      <c r="B367" s="54" t="s">
        <v>797</v>
      </c>
      <c r="C367" s="182"/>
      <c r="H367" s="489"/>
    </row>
    <row r="368" spans="1:8" s="54" customFormat="1">
      <c r="A368" s="65"/>
      <c r="C368" s="182"/>
      <c r="H368" s="489"/>
    </row>
    <row r="369" spans="1:8" s="54" customFormat="1">
      <c r="A369" s="65"/>
      <c r="C369" s="182"/>
      <c r="H369" s="489"/>
    </row>
    <row r="370" spans="1:8" s="54" customFormat="1">
      <c r="A370" s="286" t="s">
        <v>799</v>
      </c>
      <c r="B370" s="3" t="s">
        <v>831</v>
      </c>
      <c r="C370" s="195" t="s">
        <v>335</v>
      </c>
      <c r="D370" s="11">
        <v>1</v>
      </c>
      <c r="E370" s="56"/>
      <c r="F370" s="198">
        <f t="shared" ref="F370:F384" si="21">ROUND(D370*E370,2)</f>
        <v>0</v>
      </c>
      <c r="H370" s="489" t="s">
        <v>1024</v>
      </c>
    </row>
    <row r="371" spans="1:8" s="54" customFormat="1">
      <c r="A371" s="286"/>
      <c r="B371" s="55"/>
      <c r="C371" s="195"/>
      <c r="D371" s="11"/>
      <c r="E371" s="56"/>
      <c r="F371" s="198"/>
      <c r="H371" s="489"/>
    </row>
    <row r="372" spans="1:8" s="54" customFormat="1">
      <c r="A372" s="286" t="s">
        <v>800</v>
      </c>
      <c r="B372" s="3" t="s">
        <v>829</v>
      </c>
      <c r="C372" s="195" t="s">
        <v>335</v>
      </c>
      <c r="D372" s="11">
        <v>1</v>
      </c>
      <c r="E372" s="56"/>
      <c r="F372" s="198">
        <f t="shared" si="21"/>
        <v>0</v>
      </c>
      <c r="H372" s="489" t="s">
        <v>1024</v>
      </c>
    </row>
    <row r="373" spans="1:8" s="54" customFormat="1">
      <c r="A373" s="286"/>
      <c r="B373" s="55"/>
      <c r="C373" s="195"/>
      <c r="D373" s="11"/>
      <c r="E373" s="56"/>
      <c r="F373" s="198"/>
      <c r="H373" s="489"/>
    </row>
    <row r="374" spans="1:8" s="4" customFormat="1">
      <c r="A374" s="286" t="s">
        <v>830</v>
      </c>
      <c r="B374" s="3" t="s">
        <v>832</v>
      </c>
      <c r="C374" s="45" t="s">
        <v>335</v>
      </c>
      <c r="D374" s="11">
        <v>1</v>
      </c>
      <c r="E374" s="11"/>
      <c r="F374" s="198">
        <f t="shared" si="21"/>
        <v>0</v>
      </c>
      <c r="H374" s="489" t="s">
        <v>1024</v>
      </c>
    </row>
    <row r="375" spans="1:8" s="425" customFormat="1">
      <c r="A375" s="429"/>
      <c r="B375" s="421"/>
      <c r="C375" s="422"/>
      <c r="D375" s="423"/>
      <c r="E375" s="423"/>
      <c r="F375" s="424"/>
      <c r="H375" s="489"/>
    </row>
    <row r="376" spans="1:8" s="4" customFormat="1" ht="27.75" customHeight="1">
      <c r="A376" s="286" t="s">
        <v>835</v>
      </c>
      <c r="B376" s="3" t="s">
        <v>837</v>
      </c>
      <c r="C376" s="45" t="s">
        <v>335</v>
      </c>
      <c r="D376" s="11">
        <v>1</v>
      </c>
      <c r="E376" s="11"/>
      <c r="F376" s="198">
        <f t="shared" ref="F376" si="22">ROUND(D376*E376,2)</f>
        <v>0</v>
      </c>
      <c r="H376" s="489" t="s">
        <v>1024</v>
      </c>
    </row>
    <row r="377" spans="1:8" s="425" customFormat="1">
      <c r="A377" s="429"/>
      <c r="B377" s="421"/>
      <c r="C377" s="422"/>
      <c r="D377" s="423"/>
      <c r="E377" s="423"/>
      <c r="F377" s="426"/>
      <c r="H377" s="489"/>
    </row>
    <row r="378" spans="1:8" s="4" customFormat="1" ht="25.5">
      <c r="A378" s="286" t="s">
        <v>801</v>
      </c>
      <c r="B378" s="3" t="s">
        <v>833</v>
      </c>
      <c r="C378" s="45" t="s">
        <v>335</v>
      </c>
      <c r="D378" s="11">
        <v>1</v>
      </c>
      <c r="E378" s="11"/>
      <c r="F378" s="198">
        <f t="shared" si="21"/>
        <v>0</v>
      </c>
      <c r="H378" s="489" t="s">
        <v>1024</v>
      </c>
    </row>
    <row r="379" spans="1:8" s="4" customFormat="1">
      <c r="A379" s="286"/>
      <c r="B379" s="3"/>
      <c r="C379" s="45"/>
      <c r="D379" s="11"/>
      <c r="E379" s="11"/>
      <c r="F379" s="198"/>
      <c r="H379" s="489"/>
    </row>
    <row r="380" spans="1:8" s="4" customFormat="1" ht="25.5">
      <c r="A380" s="286" t="s">
        <v>802</v>
      </c>
      <c r="B380" s="3" t="s">
        <v>834</v>
      </c>
      <c r="C380" s="45" t="s">
        <v>335</v>
      </c>
      <c r="D380" s="11">
        <v>1</v>
      </c>
      <c r="E380" s="11"/>
      <c r="F380" s="198">
        <f t="shared" si="21"/>
        <v>0</v>
      </c>
      <c r="H380" s="489" t="s">
        <v>1024</v>
      </c>
    </row>
    <row r="381" spans="1:8" s="4" customFormat="1">
      <c r="A381" s="286"/>
      <c r="B381" s="3"/>
      <c r="C381" s="45"/>
      <c r="D381" s="11"/>
      <c r="E381" s="11"/>
      <c r="F381" s="198"/>
      <c r="H381" s="489"/>
    </row>
    <row r="382" spans="1:8" s="425" customFormat="1">
      <c r="A382" s="286" t="s">
        <v>803</v>
      </c>
      <c r="B382" s="3" t="s">
        <v>846</v>
      </c>
      <c r="C382" s="45" t="s">
        <v>335</v>
      </c>
      <c r="D382" s="11">
        <v>1</v>
      </c>
      <c r="E382" s="11"/>
      <c r="F382" s="198">
        <f t="shared" si="21"/>
        <v>0</v>
      </c>
      <c r="H382" s="489" t="s">
        <v>1024</v>
      </c>
    </row>
    <row r="383" spans="1:8" s="425" customFormat="1">
      <c r="A383" s="429"/>
      <c r="B383" s="421"/>
      <c r="C383" s="45"/>
      <c r="D383" s="11"/>
      <c r="E383" s="11"/>
      <c r="F383" s="198"/>
      <c r="H383" s="489"/>
    </row>
    <row r="384" spans="1:8" s="425" customFormat="1" ht="15.75" customHeight="1">
      <c r="A384" s="286" t="s">
        <v>838</v>
      </c>
      <c r="B384" s="3" t="s">
        <v>847</v>
      </c>
      <c r="C384" s="45" t="s">
        <v>335</v>
      </c>
      <c r="D384" s="11">
        <v>1</v>
      </c>
      <c r="E384" s="11"/>
      <c r="F384" s="198">
        <f t="shared" si="21"/>
        <v>0</v>
      </c>
      <c r="H384" s="489" t="s">
        <v>1024</v>
      </c>
    </row>
    <row r="385" spans="1:8" s="425" customFormat="1">
      <c r="A385" s="429"/>
      <c r="B385" s="421"/>
      <c r="C385" s="422"/>
      <c r="D385" s="423"/>
      <c r="E385" s="423"/>
      <c r="F385" s="424"/>
      <c r="H385" s="489"/>
    </row>
    <row r="386" spans="1:8" s="425" customFormat="1">
      <c r="A386" s="286" t="s">
        <v>804</v>
      </c>
      <c r="B386" s="3" t="s">
        <v>849</v>
      </c>
      <c r="C386" s="45" t="s">
        <v>335</v>
      </c>
      <c r="D386" s="11">
        <v>1</v>
      </c>
      <c r="E386" s="11"/>
      <c r="F386" s="198">
        <f t="shared" ref="F386" si="23">ROUND(D386*E386,2)</f>
        <v>0</v>
      </c>
      <c r="H386" s="489" t="s">
        <v>1024</v>
      </c>
    </row>
    <row r="387" spans="1:8" s="425" customFormat="1">
      <c r="A387" s="429"/>
      <c r="B387" s="421"/>
      <c r="C387" s="45"/>
      <c r="D387" s="11"/>
      <c r="E387" s="11"/>
      <c r="F387" s="198"/>
      <c r="H387" s="489"/>
    </row>
    <row r="388" spans="1:8" s="425" customFormat="1" ht="15.75" customHeight="1">
      <c r="A388" s="286" t="s">
        <v>839</v>
      </c>
      <c r="B388" s="3" t="s">
        <v>848</v>
      </c>
      <c r="C388" s="45" t="s">
        <v>335</v>
      </c>
      <c r="D388" s="11">
        <v>1</v>
      </c>
      <c r="E388" s="11"/>
      <c r="F388" s="198">
        <f t="shared" ref="F388" si="24">ROUND(D388*E388,2)</f>
        <v>0</v>
      </c>
      <c r="H388" s="489" t="s">
        <v>1024</v>
      </c>
    </row>
    <row r="389" spans="1:8" s="425" customFormat="1">
      <c r="A389" s="429"/>
      <c r="B389" s="421"/>
      <c r="C389" s="422"/>
      <c r="D389" s="423"/>
      <c r="E389" s="423"/>
      <c r="F389" s="424"/>
      <c r="H389" s="489"/>
    </row>
    <row r="390" spans="1:8" s="4" customFormat="1" ht="25.5">
      <c r="A390" s="286" t="s">
        <v>805</v>
      </c>
      <c r="B390" s="3" t="s">
        <v>842</v>
      </c>
      <c r="C390" s="45" t="s">
        <v>335</v>
      </c>
      <c r="D390" s="11">
        <v>1</v>
      </c>
      <c r="E390" s="11"/>
      <c r="F390" s="198">
        <f t="shared" ref="F390" si="25">ROUND(D390*E390,2)</f>
        <v>0</v>
      </c>
      <c r="H390" s="489" t="s">
        <v>1024</v>
      </c>
    </row>
    <row r="391" spans="1:8" s="4" customFormat="1">
      <c r="A391" s="286"/>
      <c r="B391" s="3"/>
      <c r="C391" s="45"/>
      <c r="D391" s="11"/>
      <c r="E391" s="11"/>
      <c r="F391" s="198"/>
      <c r="H391" s="489"/>
    </row>
    <row r="392" spans="1:8" s="4" customFormat="1" ht="25.5">
      <c r="A392" s="286" t="s">
        <v>840</v>
      </c>
      <c r="B392" s="3" t="s">
        <v>841</v>
      </c>
      <c r="C392" s="45" t="s">
        <v>335</v>
      </c>
      <c r="D392" s="11">
        <v>1</v>
      </c>
      <c r="E392" s="11"/>
      <c r="F392" s="198">
        <f t="shared" ref="F392" si="26">ROUND(D392*E392,2)</f>
        <v>0</v>
      </c>
      <c r="H392" s="489" t="s">
        <v>1024</v>
      </c>
    </row>
    <row r="393" spans="1:8" s="425" customFormat="1">
      <c r="A393" s="429"/>
      <c r="B393" s="421"/>
      <c r="C393" s="422"/>
      <c r="D393" s="423"/>
      <c r="E393" s="423"/>
      <c r="F393" s="424"/>
      <c r="H393" s="489"/>
    </row>
    <row r="394" spans="1:8" s="425" customFormat="1">
      <c r="A394" s="286" t="s">
        <v>806</v>
      </c>
      <c r="B394" s="3" t="s">
        <v>845</v>
      </c>
      <c r="C394" s="45" t="s">
        <v>335</v>
      </c>
      <c r="D394" s="11">
        <v>1</v>
      </c>
      <c r="E394" s="11"/>
      <c r="F394" s="198">
        <f t="shared" ref="F394" si="27">ROUND(D394*E394,2)</f>
        <v>0</v>
      </c>
      <c r="H394" s="489" t="s">
        <v>1024</v>
      </c>
    </row>
    <row r="395" spans="1:8" s="425" customFormat="1">
      <c r="A395" s="429"/>
      <c r="B395" s="421"/>
      <c r="C395" s="422"/>
      <c r="D395" s="423"/>
      <c r="E395" s="423"/>
      <c r="F395" s="426"/>
      <c r="H395" s="489"/>
    </row>
    <row r="396" spans="1:8" s="425" customFormat="1">
      <c r="A396" s="286" t="s">
        <v>807</v>
      </c>
      <c r="B396" s="3" t="s">
        <v>850</v>
      </c>
      <c r="C396" s="45" t="s">
        <v>335</v>
      </c>
      <c r="D396" s="11">
        <v>1</v>
      </c>
      <c r="E396" s="11"/>
      <c r="F396" s="198">
        <f t="shared" ref="F396" si="28">ROUND(D396*E396,2)</f>
        <v>0</v>
      </c>
      <c r="H396" s="489" t="s">
        <v>1024</v>
      </c>
    </row>
    <row r="397" spans="1:8" s="425" customFormat="1">
      <c r="A397" s="429"/>
      <c r="B397" s="421"/>
      <c r="C397" s="422"/>
      <c r="D397" s="423"/>
      <c r="E397" s="423"/>
      <c r="F397" s="426"/>
      <c r="H397" s="489"/>
    </row>
    <row r="398" spans="1:8" s="425" customFormat="1" ht="15" customHeight="1">
      <c r="A398" s="286" t="s">
        <v>808</v>
      </c>
      <c r="B398" s="3" t="s">
        <v>851</v>
      </c>
      <c r="C398" s="45" t="s">
        <v>335</v>
      </c>
      <c r="D398" s="11">
        <v>1</v>
      </c>
      <c r="E398" s="11"/>
      <c r="F398" s="198">
        <f t="shared" ref="F398" si="29">ROUND(D398*E398,2)</f>
        <v>0</v>
      </c>
      <c r="H398" s="489" t="s">
        <v>1024</v>
      </c>
    </row>
    <row r="399" spans="1:8" s="425" customFormat="1">
      <c r="A399" s="429"/>
      <c r="B399" s="421"/>
      <c r="C399" s="422"/>
      <c r="D399" s="423"/>
      <c r="E399" s="423"/>
      <c r="F399" s="426"/>
      <c r="H399" s="489"/>
    </row>
    <row r="400" spans="1:8" s="425" customFormat="1" ht="25.5">
      <c r="A400" s="286" t="s">
        <v>809</v>
      </c>
      <c r="B400" s="3" t="s">
        <v>852</v>
      </c>
      <c r="C400" s="45" t="s">
        <v>335</v>
      </c>
      <c r="D400" s="11">
        <v>1</v>
      </c>
      <c r="E400" s="11"/>
      <c r="F400" s="198">
        <f t="shared" ref="F400" si="30">ROUND(D400*E400,2)</f>
        <v>0</v>
      </c>
      <c r="H400" s="489" t="s">
        <v>1024</v>
      </c>
    </row>
    <row r="401" spans="1:11" s="425" customFormat="1">
      <c r="A401" s="429"/>
      <c r="B401" s="421"/>
      <c r="C401" s="422"/>
      <c r="D401" s="423"/>
      <c r="E401" s="423"/>
      <c r="F401" s="426"/>
      <c r="H401" s="489"/>
    </row>
    <row r="402" spans="1:11" s="425" customFormat="1" ht="17.25" customHeight="1">
      <c r="A402" s="286" t="s">
        <v>810</v>
      </c>
      <c r="B402" s="3" t="s">
        <v>853</v>
      </c>
      <c r="C402" s="45" t="s">
        <v>335</v>
      </c>
      <c r="D402" s="11">
        <v>1</v>
      </c>
      <c r="E402" s="11"/>
      <c r="F402" s="198">
        <f t="shared" ref="F402" si="31">ROUND(D402*E402,2)</f>
        <v>0</v>
      </c>
      <c r="H402" s="489" t="s">
        <v>1024</v>
      </c>
    </row>
    <row r="403" spans="1:11" s="425" customFormat="1">
      <c r="A403" s="286"/>
      <c r="B403" s="3"/>
      <c r="C403" s="45"/>
      <c r="D403" s="11"/>
      <c r="E403" s="11"/>
      <c r="F403" s="198"/>
      <c r="H403" s="489"/>
    </row>
    <row r="404" spans="1:11" s="425" customFormat="1" ht="23.25" customHeight="1">
      <c r="A404" s="286" t="s">
        <v>811</v>
      </c>
      <c r="B404" s="3" t="s">
        <v>854</v>
      </c>
      <c r="C404" s="45" t="s">
        <v>335</v>
      </c>
      <c r="D404" s="11">
        <v>1</v>
      </c>
      <c r="E404" s="11"/>
      <c r="F404" s="198">
        <f t="shared" ref="F404" si="32">ROUND(D404*E404,2)</f>
        <v>0</v>
      </c>
      <c r="H404" s="489" t="s">
        <v>1024</v>
      </c>
    </row>
    <row r="405" spans="1:11" s="4" customFormat="1" ht="14.25" customHeight="1">
      <c r="A405" s="286"/>
      <c r="B405" s="3"/>
      <c r="C405" s="45"/>
      <c r="D405" s="11"/>
      <c r="E405" s="11"/>
      <c r="F405" s="198"/>
      <c r="H405" s="489"/>
    </row>
    <row r="406" spans="1:11" s="4" customFormat="1" ht="13.5" customHeight="1">
      <c r="A406" s="286" t="s">
        <v>812</v>
      </c>
      <c r="B406" s="3" t="s">
        <v>855</v>
      </c>
      <c r="C406" s="45" t="s">
        <v>335</v>
      </c>
      <c r="D406" s="11">
        <v>1</v>
      </c>
      <c r="E406" s="11"/>
      <c r="F406" s="198">
        <f t="shared" ref="F406" si="33">ROUND(D406*E406,2)</f>
        <v>0</v>
      </c>
      <c r="H406" s="489" t="s">
        <v>1024</v>
      </c>
    </row>
    <row r="407" spans="1:11" s="4" customFormat="1" ht="13.5" customHeight="1">
      <c r="A407" s="286"/>
      <c r="B407" s="3"/>
      <c r="C407" s="45"/>
      <c r="D407" s="11"/>
      <c r="E407" s="11"/>
      <c r="F407" s="198"/>
      <c r="H407" s="489"/>
    </row>
    <row r="408" spans="1:11" s="4" customFormat="1" ht="15.75" customHeight="1">
      <c r="A408" s="286" t="s">
        <v>813</v>
      </c>
      <c r="B408" s="3" t="s">
        <v>856</v>
      </c>
      <c r="C408" s="45" t="s">
        <v>335</v>
      </c>
      <c r="D408" s="11">
        <v>1</v>
      </c>
      <c r="E408" s="11"/>
      <c r="F408" s="198">
        <f t="shared" ref="F408" si="34">ROUND(D408*E408,2)</f>
        <v>0</v>
      </c>
      <c r="H408" s="489" t="s">
        <v>1024</v>
      </c>
    </row>
    <row r="409" spans="1:11" s="425" customFormat="1">
      <c r="A409" s="429"/>
      <c r="B409" s="421"/>
      <c r="C409" s="422"/>
      <c r="D409" s="423"/>
      <c r="E409" s="423"/>
      <c r="F409" s="426"/>
      <c r="H409" s="489"/>
    </row>
    <row r="410" spans="1:11" s="4" customFormat="1" ht="15.75" customHeight="1">
      <c r="A410" s="286" t="s">
        <v>814</v>
      </c>
      <c r="B410" s="3" t="s">
        <v>857</v>
      </c>
      <c r="C410" s="45" t="s">
        <v>335</v>
      </c>
      <c r="D410" s="11">
        <v>1</v>
      </c>
      <c r="E410" s="11"/>
      <c r="F410" s="198">
        <f t="shared" ref="F410" si="35">ROUND(D410*E410,2)</f>
        <v>0</v>
      </c>
      <c r="H410" s="489" t="s">
        <v>1024</v>
      </c>
    </row>
    <row r="411" spans="1:11" s="54" customFormat="1">
      <c r="A411" s="286"/>
      <c r="B411" s="55"/>
      <c r="C411" s="195"/>
      <c r="D411" s="56"/>
      <c r="E411" s="56"/>
      <c r="F411" s="356"/>
      <c r="H411" s="489"/>
    </row>
    <row r="412" spans="1:11" s="54" customFormat="1">
      <c r="A412" s="286"/>
      <c r="B412" s="55"/>
      <c r="C412" s="195"/>
      <c r="D412" s="56"/>
      <c r="E412" s="56"/>
      <c r="F412" s="356"/>
      <c r="H412" s="489"/>
    </row>
    <row r="413" spans="1:11" s="54" customFormat="1" ht="25.5">
      <c r="A413" s="20" t="s">
        <v>376</v>
      </c>
      <c r="B413" s="55" t="s">
        <v>638</v>
      </c>
      <c r="C413" s="195" t="s">
        <v>317</v>
      </c>
      <c r="D413" s="56">
        <v>450</v>
      </c>
      <c r="E413" s="56"/>
      <c r="F413" s="198">
        <f t="shared" ref="F413" si="36">ROUND(D413*E413,2)</f>
        <v>0</v>
      </c>
      <c r="H413" s="489" t="s">
        <v>1021</v>
      </c>
    </row>
    <row r="414" spans="1:11" s="57" customFormat="1">
      <c r="A414" s="20"/>
      <c r="B414" s="54"/>
      <c r="C414" s="195"/>
      <c r="D414" s="56"/>
      <c r="H414" s="490"/>
    </row>
    <row r="415" spans="1:11" s="54" customFormat="1">
      <c r="A415" s="20"/>
      <c r="B415" s="55"/>
      <c r="C415" s="195"/>
      <c r="D415" s="56"/>
      <c r="E415" s="56"/>
      <c r="F415" s="356"/>
      <c r="H415" s="489"/>
    </row>
    <row r="416" spans="1:11" s="54" customFormat="1" ht="38.25">
      <c r="A416" s="20" t="s">
        <v>383</v>
      </c>
      <c r="B416" s="55" t="s">
        <v>815</v>
      </c>
      <c r="H416" s="486"/>
      <c r="I416" s="373"/>
      <c r="J416" s="374"/>
      <c r="K416" s="430"/>
    </row>
    <row r="417" spans="1:10" s="54" customFormat="1">
      <c r="A417" s="20"/>
      <c r="B417" s="55" t="s">
        <v>816</v>
      </c>
      <c r="C417" s="195" t="s">
        <v>322</v>
      </c>
      <c r="D417" s="56">
        <v>112</v>
      </c>
      <c r="E417" s="56"/>
      <c r="F417" s="198">
        <f t="shared" ref="F417" si="37">ROUND(D417*E417,2)</f>
        <v>0</v>
      </c>
      <c r="H417" s="486" t="s">
        <v>1026</v>
      </c>
      <c r="I417" s="373"/>
      <c r="J417" s="374"/>
    </row>
    <row r="418" spans="1:10" s="54" customFormat="1">
      <c r="A418" s="20"/>
      <c r="B418" s="55"/>
      <c r="C418" s="195"/>
      <c r="D418" s="56"/>
      <c r="E418" s="56"/>
      <c r="F418" s="356"/>
      <c r="H418" s="489"/>
    </row>
    <row r="419" spans="1:10" s="54" customFormat="1">
      <c r="A419" s="20"/>
      <c r="B419" s="55"/>
      <c r="C419" s="195"/>
      <c r="D419" s="56"/>
      <c r="E419" s="56"/>
      <c r="F419" s="356"/>
      <c r="H419" s="489"/>
    </row>
    <row r="420" spans="1:10" s="54" customFormat="1" ht="51">
      <c r="A420" s="20" t="s">
        <v>385</v>
      </c>
      <c r="B420" s="55" t="s">
        <v>817</v>
      </c>
      <c r="C420" s="195" t="s">
        <v>317</v>
      </c>
      <c r="D420" s="56">
        <v>450</v>
      </c>
      <c r="E420" s="56"/>
      <c r="F420" s="198">
        <f t="shared" ref="F420" si="38">ROUND(D420*E420,2)</f>
        <v>0</v>
      </c>
      <c r="H420" s="489" t="s">
        <v>1021</v>
      </c>
    </row>
    <row r="421" spans="1:10" s="54" customFormat="1">
      <c r="A421" s="20"/>
      <c r="B421" s="55"/>
      <c r="C421" s="195"/>
      <c r="D421" s="56"/>
      <c r="E421" s="56"/>
      <c r="F421" s="356"/>
      <c r="H421" s="489"/>
    </row>
    <row r="422" spans="1:10" s="54" customFormat="1">
      <c r="A422" s="20"/>
      <c r="B422" s="55"/>
      <c r="C422" s="195"/>
      <c r="D422" s="56"/>
      <c r="E422" s="56"/>
      <c r="F422" s="356"/>
      <c r="H422" s="489"/>
    </row>
    <row r="423" spans="1:10" s="54" customFormat="1" ht="105.75" customHeight="1">
      <c r="A423" s="20" t="s">
        <v>387</v>
      </c>
      <c r="B423" s="3" t="s">
        <v>878</v>
      </c>
      <c r="C423" s="182"/>
      <c r="H423" s="489"/>
    </row>
    <row r="424" spans="1:10" s="54" customFormat="1" ht="38.25">
      <c r="A424" s="20"/>
      <c r="B424" s="55" t="s">
        <v>818</v>
      </c>
      <c r="C424" s="195"/>
      <c r="D424" s="56"/>
      <c r="E424" s="56"/>
      <c r="F424" s="356"/>
      <c r="H424" s="489"/>
    </row>
    <row r="425" spans="1:10" s="54" customFormat="1" ht="25.5">
      <c r="A425" s="20"/>
      <c r="B425" s="55" t="s">
        <v>819</v>
      </c>
      <c r="C425" s="195"/>
      <c r="D425" s="56"/>
      <c r="E425" s="56"/>
      <c r="F425" s="356"/>
      <c r="H425" s="489"/>
    </row>
    <row r="426" spans="1:10" s="54" customFormat="1">
      <c r="A426" s="20"/>
      <c r="B426" s="55" t="s">
        <v>369</v>
      </c>
      <c r="C426" s="195"/>
      <c r="D426" s="56"/>
      <c r="E426" s="56"/>
      <c r="F426" s="356"/>
      <c r="H426" s="489"/>
    </row>
    <row r="427" spans="1:10" s="57" customFormat="1" ht="38.25">
      <c r="A427" s="20"/>
      <c r="B427" s="55" t="s">
        <v>820</v>
      </c>
      <c r="C427" s="195" t="s">
        <v>317</v>
      </c>
      <c r="D427" s="56">
        <v>135</v>
      </c>
      <c r="E427" s="56"/>
      <c r="F427" s="198">
        <f t="shared" ref="F427" si="39">ROUND(D427*E427,2)</f>
        <v>0</v>
      </c>
      <c r="H427" s="489" t="s">
        <v>1021</v>
      </c>
    </row>
    <row r="428" spans="1:10" s="57" customFormat="1">
      <c r="A428" s="20"/>
      <c r="B428" s="55"/>
      <c r="C428" s="195"/>
      <c r="D428" s="332"/>
      <c r="E428" s="56"/>
      <c r="F428" s="356"/>
      <c r="H428" s="490"/>
    </row>
    <row r="429" spans="1:10" s="54" customFormat="1">
      <c r="A429" s="20"/>
      <c r="B429" s="55"/>
      <c r="C429" s="195"/>
      <c r="D429" s="56"/>
      <c r="E429" s="56"/>
      <c r="F429" s="356"/>
      <c r="H429" s="489"/>
    </row>
    <row r="430" spans="1:10" s="54" customFormat="1" ht="105.75" customHeight="1">
      <c r="A430" s="20" t="s">
        <v>389</v>
      </c>
      <c r="B430" s="3" t="s">
        <v>877</v>
      </c>
      <c r="C430" s="182"/>
      <c r="H430" s="489"/>
    </row>
    <row r="431" spans="1:10" s="54" customFormat="1" ht="38.25">
      <c r="A431" s="20"/>
      <c r="B431" s="55" t="s">
        <v>818</v>
      </c>
      <c r="C431" s="195"/>
      <c r="D431" s="56"/>
      <c r="E431" s="56"/>
      <c r="F431" s="356"/>
      <c r="H431" s="489"/>
    </row>
    <row r="432" spans="1:10" s="54" customFormat="1" ht="25.5">
      <c r="A432" s="20"/>
      <c r="B432" s="55" t="s">
        <v>819</v>
      </c>
      <c r="C432" s="195"/>
      <c r="D432" s="56"/>
      <c r="E432" s="56"/>
      <c r="F432" s="356"/>
      <c r="H432" s="489"/>
    </row>
    <row r="433" spans="1:10" s="54" customFormat="1">
      <c r="A433" s="20"/>
      <c r="B433" s="55" t="s">
        <v>369</v>
      </c>
      <c r="C433" s="195"/>
      <c r="D433" s="56"/>
      <c r="E433" s="56"/>
      <c r="F433" s="356"/>
      <c r="H433" s="489"/>
    </row>
    <row r="434" spans="1:10" s="57" customFormat="1" ht="38.25">
      <c r="A434" s="20"/>
      <c r="B434" s="55" t="s">
        <v>820</v>
      </c>
      <c r="C434" s="195" t="s">
        <v>317</v>
      </c>
      <c r="D434" s="56">
        <v>220</v>
      </c>
      <c r="E434" s="52"/>
      <c r="F434" s="198">
        <f t="shared" ref="F434" si="40">ROUND(D434*E434,2)</f>
        <v>0</v>
      </c>
      <c r="G434" s="54"/>
      <c r="H434" s="489" t="s">
        <v>1021</v>
      </c>
      <c r="I434" s="373"/>
      <c r="J434" s="374"/>
    </row>
    <row r="435" spans="1:10" s="57" customFormat="1">
      <c r="A435" s="20"/>
      <c r="B435" s="55"/>
      <c r="C435" s="195"/>
      <c r="D435" s="332"/>
      <c r="E435" s="56"/>
      <c r="F435" s="356"/>
      <c r="H435" s="490"/>
    </row>
    <row r="436" spans="1:10" s="57" customFormat="1">
      <c r="A436" s="20"/>
      <c r="B436" s="55"/>
      <c r="C436" s="195"/>
      <c r="D436" s="332"/>
      <c r="E436" s="56"/>
      <c r="F436" s="356"/>
      <c r="H436" s="490"/>
    </row>
    <row r="437" spans="1:10" s="54" customFormat="1" ht="26.25" customHeight="1">
      <c r="A437" s="20" t="s">
        <v>391</v>
      </c>
      <c r="B437" s="3" t="s">
        <v>879</v>
      </c>
      <c r="C437" s="182"/>
      <c r="H437" s="489"/>
    </row>
    <row r="438" spans="1:10" s="54" customFormat="1" ht="76.5">
      <c r="A438" s="20"/>
      <c r="B438" s="55" t="s">
        <v>821</v>
      </c>
      <c r="C438" s="182"/>
      <c r="H438" s="489"/>
    </row>
    <row r="439" spans="1:10" s="54" customFormat="1" ht="38.25">
      <c r="A439" s="20"/>
      <c r="B439" s="55" t="s">
        <v>639</v>
      </c>
      <c r="C439" s="195"/>
      <c r="D439" s="56"/>
      <c r="E439" s="56"/>
      <c r="F439" s="356"/>
      <c r="H439" s="489"/>
    </row>
    <row r="440" spans="1:10" s="57" customFormat="1" ht="38.25">
      <c r="A440" s="20"/>
      <c r="B440" s="55" t="s">
        <v>822</v>
      </c>
      <c r="C440" s="195"/>
      <c r="D440" s="56"/>
      <c r="E440" s="56"/>
      <c r="F440" s="356"/>
      <c r="H440" s="490"/>
    </row>
    <row r="441" spans="1:10" s="57" customFormat="1" ht="15" customHeight="1">
      <c r="A441" s="20"/>
      <c r="B441" s="55" t="s">
        <v>823</v>
      </c>
      <c r="C441" s="195" t="s">
        <v>317</v>
      </c>
      <c r="D441" s="56">
        <v>70</v>
      </c>
      <c r="E441" s="56"/>
      <c r="F441" s="356"/>
      <c r="H441" s="489" t="s">
        <v>1021</v>
      </c>
      <c r="I441" s="373"/>
      <c r="J441" s="374"/>
    </row>
    <row r="442" spans="1:10" s="331" customFormat="1">
      <c r="A442" s="20"/>
      <c r="B442" s="55"/>
      <c r="C442" s="187"/>
      <c r="D442" s="328"/>
      <c r="E442" s="329"/>
      <c r="F442" s="420"/>
      <c r="G442" s="476"/>
      <c r="H442" s="489"/>
    </row>
    <row r="443" spans="1:10" s="331" customFormat="1">
      <c r="A443" s="20"/>
      <c r="B443" s="55"/>
      <c r="C443" s="187"/>
      <c r="D443" s="328"/>
      <c r="E443" s="329"/>
      <c r="F443" s="420"/>
      <c r="G443" s="476"/>
      <c r="H443" s="489"/>
    </row>
    <row r="444" spans="1:10" s="54" customFormat="1" ht="25.5" customHeight="1">
      <c r="A444" s="20" t="s">
        <v>393</v>
      </c>
      <c r="B444" s="55" t="s">
        <v>824</v>
      </c>
      <c r="C444" s="195"/>
      <c r="D444" s="56"/>
      <c r="E444" s="56"/>
      <c r="F444" s="356"/>
      <c r="H444" s="489"/>
    </row>
    <row r="445" spans="1:10" s="54" customFormat="1" ht="76.5">
      <c r="A445" s="65"/>
      <c r="B445" s="55" t="s">
        <v>821</v>
      </c>
      <c r="C445" s="195"/>
      <c r="D445" s="56"/>
      <c r="E445" s="56"/>
      <c r="F445" s="356"/>
      <c r="H445" s="489"/>
    </row>
    <row r="446" spans="1:10" s="54" customFormat="1" ht="38.25">
      <c r="A446" s="65"/>
      <c r="B446" s="55" t="s">
        <v>639</v>
      </c>
      <c r="C446" s="195"/>
      <c r="D446" s="56"/>
      <c r="E446" s="56"/>
      <c r="F446" s="356"/>
      <c r="H446" s="489"/>
    </row>
    <row r="447" spans="1:10" s="54" customFormat="1" ht="25.5">
      <c r="A447" s="65"/>
      <c r="B447" s="55" t="s">
        <v>691</v>
      </c>
      <c r="C447" s="195"/>
      <c r="D447" s="56"/>
      <c r="E447" s="56"/>
      <c r="F447" s="356"/>
      <c r="H447" s="489"/>
    </row>
    <row r="448" spans="1:10" s="54" customFormat="1" ht="25.5">
      <c r="A448" s="65"/>
      <c r="B448" s="55" t="s">
        <v>825</v>
      </c>
      <c r="C448" s="195"/>
      <c r="D448" s="56"/>
      <c r="E448" s="56"/>
      <c r="F448" s="356"/>
      <c r="H448" s="489"/>
    </row>
    <row r="449" spans="1:8" s="54" customFormat="1">
      <c r="A449" s="65"/>
      <c r="B449" s="55"/>
      <c r="C449" s="195"/>
      <c r="D449" s="56"/>
      <c r="E449" s="56"/>
      <c r="F449" s="356"/>
      <c r="H449" s="489"/>
    </row>
    <row r="450" spans="1:8" s="54" customFormat="1">
      <c r="A450" s="286" t="s">
        <v>799</v>
      </c>
      <c r="B450" s="3" t="s">
        <v>831</v>
      </c>
      <c r="C450" s="195" t="s">
        <v>322</v>
      </c>
      <c r="D450" s="56">
        <v>9</v>
      </c>
      <c r="E450" s="56"/>
      <c r="F450" s="198">
        <f t="shared" ref="F450" si="41">ROUND(D450*E450,2)</f>
        <v>0</v>
      </c>
      <c r="H450" s="489" t="s">
        <v>1021</v>
      </c>
    </row>
    <row r="451" spans="1:8" s="54" customFormat="1">
      <c r="A451" s="286"/>
      <c r="B451" s="3"/>
      <c r="C451" s="195"/>
      <c r="D451" s="56"/>
      <c r="E451" s="56"/>
      <c r="F451" s="198"/>
      <c r="H451" s="489"/>
    </row>
    <row r="452" spans="1:8" s="54" customFormat="1">
      <c r="A452" s="286"/>
      <c r="B452" s="55"/>
      <c r="C452" s="195"/>
      <c r="D452" s="56"/>
      <c r="E452" s="56"/>
      <c r="F452" s="356"/>
      <c r="H452" s="489"/>
    </row>
    <row r="453" spans="1:8" s="54" customFormat="1">
      <c r="A453" s="286" t="s">
        <v>800</v>
      </c>
      <c r="B453" s="3" t="s">
        <v>829</v>
      </c>
      <c r="C453" s="195" t="s">
        <v>322</v>
      </c>
      <c r="D453" s="56">
        <v>2.2000000000000002</v>
      </c>
      <c r="E453" s="56"/>
      <c r="F453" s="198">
        <f t="shared" ref="F453" si="42">ROUND(D453*E453,2)</f>
        <v>0</v>
      </c>
      <c r="H453" s="489" t="s">
        <v>1021</v>
      </c>
    </row>
    <row r="454" spans="1:8" s="54" customFormat="1">
      <c r="A454" s="286"/>
      <c r="B454" s="55"/>
      <c r="C454" s="195"/>
      <c r="D454" s="56"/>
      <c r="E454" s="56"/>
      <c r="F454" s="356"/>
      <c r="H454" s="489"/>
    </row>
    <row r="455" spans="1:8" s="425" customFormat="1">
      <c r="A455" s="286" t="s">
        <v>830</v>
      </c>
      <c r="B455" s="3" t="s">
        <v>832</v>
      </c>
      <c r="C455" s="45" t="s">
        <v>322</v>
      </c>
      <c r="D455" s="11">
        <v>23</v>
      </c>
      <c r="E455" s="11"/>
      <c r="F455" s="198">
        <f t="shared" ref="F455" si="43">ROUND(D455*E455,2)</f>
        <v>0</v>
      </c>
      <c r="H455" s="489" t="s">
        <v>1021</v>
      </c>
    </row>
    <row r="456" spans="1:8" s="425" customFormat="1">
      <c r="A456" s="429"/>
      <c r="B456" s="421"/>
      <c r="C456" s="422"/>
      <c r="D456" s="423"/>
      <c r="E456" s="423"/>
      <c r="F456" s="426"/>
      <c r="H456" s="489"/>
    </row>
    <row r="457" spans="1:8" s="4" customFormat="1" ht="27.75" customHeight="1">
      <c r="A457" s="286" t="s">
        <v>835</v>
      </c>
      <c r="B457" s="3" t="s">
        <v>836</v>
      </c>
      <c r="C457" s="45" t="s">
        <v>322</v>
      </c>
      <c r="D457" s="11">
        <v>17</v>
      </c>
      <c r="E457" s="11"/>
      <c r="F457" s="198">
        <f t="shared" ref="F457" si="44">ROUND(D457*E457,2)</f>
        <v>0</v>
      </c>
      <c r="H457" s="489" t="s">
        <v>1021</v>
      </c>
    </row>
    <row r="458" spans="1:8" s="425" customFormat="1">
      <c r="A458" s="429"/>
      <c r="B458" s="421"/>
      <c r="C458" s="422"/>
      <c r="D458" s="423"/>
      <c r="E458" s="423"/>
      <c r="F458" s="426"/>
      <c r="H458" s="489"/>
    </row>
    <row r="459" spans="1:8" s="4" customFormat="1" ht="25.5">
      <c r="A459" s="286" t="s">
        <v>801</v>
      </c>
      <c r="B459" s="3" t="s">
        <v>833</v>
      </c>
      <c r="C459" s="45" t="s">
        <v>322</v>
      </c>
      <c r="D459" s="11">
        <v>17</v>
      </c>
      <c r="E459" s="11"/>
      <c r="F459" s="198">
        <f t="shared" ref="F459" si="45">ROUND(D459*E459,2)</f>
        <v>0</v>
      </c>
      <c r="H459" s="489" t="s">
        <v>1021</v>
      </c>
    </row>
    <row r="460" spans="1:8" s="4" customFormat="1">
      <c r="A460" s="286"/>
      <c r="B460" s="3"/>
      <c r="C460" s="45"/>
      <c r="D460" s="11"/>
      <c r="E460" s="11"/>
      <c r="F460" s="198"/>
      <c r="H460" s="489"/>
    </row>
    <row r="461" spans="1:8" s="4" customFormat="1" ht="25.5">
      <c r="A461" s="286" t="s">
        <v>802</v>
      </c>
      <c r="B461" s="3" t="s">
        <v>834</v>
      </c>
      <c r="C461" s="45" t="s">
        <v>322</v>
      </c>
      <c r="D461" s="11">
        <v>9</v>
      </c>
      <c r="E461" s="11"/>
      <c r="F461" s="198">
        <f t="shared" ref="F461:F463" si="46">ROUND(D461*E461,2)</f>
        <v>0</v>
      </c>
      <c r="H461" s="489" t="s">
        <v>1021</v>
      </c>
    </row>
    <row r="462" spans="1:8" s="54" customFormat="1" ht="15" customHeight="1">
      <c r="A462" s="286"/>
      <c r="B462" s="55"/>
      <c r="C462" s="57"/>
      <c r="D462" s="56"/>
      <c r="E462" s="56"/>
      <c r="F462" s="356"/>
      <c r="H462" s="489"/>
    </row>
    <row r="463" spans="1:8" s="54" customFormat="1" ht="15" customHeight="1">
      <c r="A463" s="286" t="s">
        <v>803</v>
      </c>
      <c r="B463" s="3" t="s">
        <v>843</v>
      </c>
      <c r="C463" s="45" t="s">
        <v>322</v>
      </c>
      <c r="D463" s="11">
        <v>99</v>
      </c>
      <c r="E463" s="56"/>
      <c r="F463" s="198">
        <f t="shared" si="46"/>
        <v>0</v>
      </c>
      <c r="H463" s="489" t="s">
        <v>1021</v>
      </c>
    </row>
    <row r="464" spans="1:8" s="425" customFormat="1">
      <c r="A464" s="429"/>
      <c r="B464" s="421"/>
      <c r="C464" s="422"/>
      <c r="D464" s="423"/>
      <c r="E464" s="423"/>
      <c r="F464" s="426"/>
      <c r="H464" s="489"/>
    </row>
    <row r="465" spans="1:8" s="54" customFormat="1" ht="15" customHeight="1">
      <c r="A465" s="286" t="s">
        <v>838</v>
      </c>
      <c r="B465" s="3" t="s">
        <v>844</v>
      </c>
      <c r="C465" s="45" t="s">
        <v>322</v>
      </c>
      <c r="D465" s="11">
        <v>51</v>
      </c>
      <c r="E465" s="56"/>
      <c r="F465" s="198">
        <f t="shared" ref="F465" si="47">ROUND(D465*E465,2)</f>
        <v>0</v>
      </c>
      <c r="H465" s="489" t="s">
        <v>1021</v>
      </c>
    </row>
    <row r="466" spans="1:8" s="425" customFormat="1">
      <c r="A466" s="429"/>
      <c r="B466" s="421"/>
      <c r="C466" s="422"/>
      <c r="D466" s="423"/>
      <c r="E466" s="423"/>
      <c r="F466" s="426"/>
      <c r="H466" s="489"/>
    </row>
    <row r="467" spans="1:8" s="425" customFormat="1" ht="15.75" customHeight="1">
      <c r="A467" s="286" t="s">
        <v>804</v>
      </c>
      <c r="B467" s="3" t="s">
        <v>849</v>
      </c>
      <c r="C467" s="45" t="s">
        <v>322</v>
      </c>
      <c r="D467" s="11">
        <v>18</v>
      </c>
      <c r="E467" s="11"/>
      <c r="F467" s="198">
        <f t="shared" ref="F467" si="48">ROUND(D467*E467,2)</f>
        <v>0</v>
      </c>
      <c r="H467" s="489" t="s">
        <v>1021</v>
      </c>
    </row>
    <row r="468" spans="1:8" s="425" customFormat="1">
      <c r="A468" s="429"/>
      <c r="B468" s="421"/>
      <c r="C468" s="422"/>
      <c r="D468" s="423"/>
      <c r="E468" s="423"/>
      <c r="F468" s="426"/>
      <c r="H468" s="489"/>
    </row>
    <row r="469" spans="1:8" s="425" customFormat="1" ht="15.75" customHeight="1">
      <c r="A469" s="286" t="s">
        <v>839</v>
      </c>
      <c r="B469" s="3" t="s">
        <v>848</v>
      </c>
      <c r="C469" s="45" t="s">
        <v>322</v>
      </c>
      <c r="D469" s="11">
        <v>30</v>
      </c>
      <c r="E469" s="11"/>
      <c r="F469" s="198">
        <f t="shared" ref="F469" si="49">ROUND(D469*E469,2)</f>
        <v>0</v>
      </c>
      <c r="H469" s="489" t="s">
        <v>1021</v>
      </c>
    </row>
    <row r="470" spans="1:8" s="425" customFormat="1">
      <c r="A470" s="429"/>
      <c r="B470" s="421"/>
      <c r="C470" s="422"/>
      <c r="D470" s="423"/>
      <c r="E470" s="423"/>
      <c r="F470" s="426"/>
      <c r="H470" s="489"/>
    </row>
    <row r="471" spans="1:8" s="425" customFormat="1" ht="25.5">
      <c r="A471" s="286" t="s">
        <v>805</v>
      </c>
      <c r="B471" s="3" t="s">
        <v>842</v>
      </c>
      <c r="C471" s="45" t="s">
        <v>322</v>
      </c>
      <c r="D471" s="11">
        <v>17</v>
      </c>
      <c r="E471" s="423"/>
      <c r="F471" s="198">
        <f t="shared" ref="F471" si="50">ROUND(D471*E471,2)</f>
        <v>0</v>
      </c>
      <c r="H471" s="489" t="s">
        <v>1021</v>
      </c>
    </row>
    <row r="472" spans="1:8" s="425" customFormat="1">
      <c r="A472" s="286"/>
      <c r="B472" s="3"/>
      <c r="C472" s="45"/>
      <c r="D472" s="11"/>
      <c r="E472" s="423"/>
      <c r="F472" s="341"/>
      <c r="H472" s="489"/>
    </row>
    <row r="473" spans="1:8" s="425" customFormat="1" ht="25.5">
      <c r="A473" s="286" t="s">
        <v>840</v>
      </c>
      <c r="B473" s="3" t="s">
        <v>841</v>
      </c>
      <c r="C473" s="45" t="s">
        <v>322</v>
      </c>
      <c r="D473" s="11">
        <v>9</v>
      </c>
      <c r="E473" s="423"/>
      <c r="F473" s="198">
        <f t="shared" ref="F473" si="51">ROUND(D473*E473,2)</f>
        <v>0</v>
      </c>
      <c r="H473" s="489" t="s">
        <v>1021</v>
      </c>
    </row>
    <row r="474" spans="1:8" s="425" customFormat="1">
      <c r="A474" s="429"/>
      <c r="B474" s="421"/>
      <c r="C474" s="422"/>
      <c r="D474" s="423"/>
      <c r="E474" s="423"/>
      <c r="F474" s="424"/>
      <c r="H474" s="489"/>
    </row>
    <row r="475" spans="1:8" s="425" customFormat="1">
      <c r="A475" s="286" t="s">
        <v>806</v>
      </c>
      <c r="B475" s="3" t="s">
        <v>845</v>
      </c>
      <c r="C475" s="45" t="s">
        <v>322</v>
      </c>
      <c r="D475" s="11">
        <v>282</v>
      </c>
      <c r="E475" s="11"/>
      <c r="F475" s="198">
        <f>ROUND(D475*E475,2)</f>
        <v>0</v>
      </c>
      <c r="H475" s="489" t="s">
        <v>1021</v>
      </c>
    </row>
    <row r="476" spans="1:8" s="425" customFormat="1">
      <c r="A476" s="429"/>
      <c r="B476" s="421"/>
      <c r="C476" s="422"/>
      <c r="D476" s="423"/>
      <c r="E476" s="423"/>
      <c r="F476" s="426"/>
      <c r="H476" s="489"/>
    </row>
    <row r="477" spans="1:8" s="425" customFormat="1">
      <c r="A477" s="286" t="s">
        <v>807</v>
      </c>
      <c r="B477" s="3" t="s">
        <v>850</v>
      </c>
      <c r="C477" s="45" t="s">
        <v>322</v>
      </c>
      <c r="D477" s="11">
        <v>63</v>
      </c>
      <c r="E477" s="11"/>
      <c r="F477" s="198">
        <f t="shared" ref="F477" si="52">ROUND(D477*E477,2)</f>
        <v>0</v>
      </c>
      <c r="H477" s="489" t="s">
        <v>1021</v>
      </c>
    </row>
    <row r="478" spans="1:8" s="425" customFormat="1">
      <c r="A478" s="429"/>
      <c r="B478" s="421"/>
      <c r="C478" s="422"/>
      <c r="D478" s="423"/>
      <c r="E478" s="423"/>
      <c r="F478" s="426"/>
      <c r="H478" s="489"/>
    </row>
    <row r="479" spans="1:8" s="4" customFormat="1" ht="15" customHeight="1">
      <c r="A479" s="286" t="s">
        <v>808</v>
      </c>
      <c r="B479" s="3" t="s">
        <v>851</v>
      </c>
      <c r="C479" s="45" t="s">
        <v>322</v>
      </c>
      <c r="D479" s="11">
        <v>21</v>
      </c>
      <c r="E479" s="11"/>
      <c r="F479" s="198">
        <f>ROUND(D479*E479,2)</f>
        <v>0</v>
      </c>
      <c r="H479" s="489" t="s">
        <v>1021</v>
      </c>
    </row>
    <row r="480" spans="1:8" s="425" customFormat="1" ht="12" customHeight="1">
      <c r="A480" s="429"/>
      <c r="B480" s="421"/>
      <c r="C480" s="422"/>
      <c r="D480" s="423"/>
      <c r="E480" s="423"/>
      <c r="F480" s="426"/>
      <c r="H480" s="489"/>
    </row>
    <row r="481" spans="1:10" s="4" customFormat="1" ht="15" customHeight="1">
      <c r="A481" s="286" t="s">
        <v>809</v>
      </c>
      <c r="B481" s="3" t="s">
        <v>852</v>
      </c>
      <c r="C481" s="45" t="s">
        <v>322</v>
      </c>
      <c r="D481" s="11">
        <v>30</v>
      </c>
      <c r="E481" s="11"/>
      <c r="F481" s="198">
        <f>ROUND(D481*E481,2)</f>
        <v>0</v>
      </c>
      <c r="H481" s="489" t="s">
        <v>1021</v>
      </c>
    </row>
    <row r="482" spans="1:10" s="425" customFormat="1" ht="14.25" customHeight="1">
      <c r="A482" s="429"/>
      <c r="B482" s="421"/>
      <c r="C482" s="422"/>
      <c r="D482" s="423"/>
      <c r="E482" s="423"/>
      <c r="F482" s="426"/>
      <c r="H482" s="489"/>
    </row>
    <row r="483" spans="1:10" s="425" customFormat="1" ht="14.25" customHeight="1">
      <c r="A483" s="286" t="s">
        <v>810</v>
      </c>
      <c r="B483" s="3" t="s">
        <v>853</v>
      </c>
      <c r="C483" s="45" t="s">
        <v>322</v>
      </c>
      <c r="D483" s="11">
        <v>35</v>
      </c>
      <c r="E483" s="11"/>
      <c r="F483" s="198">
        <f t="shared" ref="F483" si="53">ROUND(D483*E483,2)</f>
        <v>0</v>
      </c>
      <c r="H483" s="489" t="s">
        <v>1021</v>
      </c>
    </row>
    <row r="484" spans="1:10" s="425" customFormat="1" ht="14.25" customHeight="1">
      <c r="A484" s="286"/>
      <c r="B484" s="3"/>
      <c r="C484" s="45"/>
      <c r="D484" s="11"/>
      <c r="E484" s="11"/>
      <c r="F484" s="198"/>
      <c r="H484" s="489"/>
    </row>
    <row r="485" spans="1:10" s="425" customFormat="1" ht="25.5">
      <c r="A485" s="286" t="s">
        <v>811</v>
      </c>
      <c r="B485" s="3" t="s">
        <v>854</v>
      </c>
      <c r="C485" s="45" t="s">
        <v>322</v>
      </c>
      <c r="D485" s="11">
        <v>10</v>
      </c>
      <c r="E485" s="11"/>
      <c r="F485" s="198">
        <f t="shared" ref="F485" si="54">ROUND(D485*E485,2)</f>
        <v>0</v>
      </c>
      <c r="H485" s="489" t="s">
        <v>1021</v>
      </c>
    </row>
    <row r="486" spans="1:10" s="4" customFormat="1" ht="14.25" customHeight="1">
      <c r="A486" s="286"/>
      <c r="B486" s="3"/>
      <c r="C486" s="45"/>
      <c r="D486" s="11"/>
      <c r="E486" s="11"/>
      <c r="F486" s="198"/>
      <c r="H486" s="489"/>
    </row>
    <row r="487" spans="1:10" s="4" customFormat="1" ht="13.5" customHeight="1">
      <c r="A487" s="286" t="s">
        <v>812</v>
      </c>
      <c r="B487" s="3" t="s">
        <v>855</v>
      </c>
      <c r="C487" s="45" t="s">
        <v>322</v>
      </c>
      <c r="D487" s="11">
        <v>24</v>
      </c>
      <c r="E487" s="11"/>
      <c r="F487" s="198">
        <f t="shared" ref="F487" si="55">ROUND(D487*E487,2)</f>
        <v>0</v>
      </c>
      <c r="H487" s="489" t="s">
        <v>1021</v>
      </c>
    </row>
    <row r="488" spans="1:10" s="4" customFormat="1">
      <c r="A488" s="286"/>
      <c r="B488" s="3"/>
      <c r="C488" s="45"/>
      <c r="D488" s="11"/>
      <c r="E488" s="11"/>
      <c r="F488" s="341"/>
      <c r="H488" s="489"/>
    </row>
    <row r="489" spans="1:10" s="4" customFormat="1" ht="15.75" customHeight="1">
      <c r="A489" s="286" t="s">
        <v>813</v>
      </c>
      <c r="B489" s="3" t="s">
        <v>856</v>
      </c>
      <c r="C489" s="45" t="s">
        <v>322</v>
      </c>
      <c r="D489" s="11">
        <v>24</v>
      </c>
      <c r="E489" s="11"/>
      <c r="F489" s="198">
        <f t="shared" ref="F489" si="56">ROUND(D489*E489,2)</f>
        <v>0</v>
      </c>
      <c r="H489" s="489" t="s">
        <v>1021</v>
      </c>
    </row>
    <row r="490" spans="1:10" s="425" customFormat="1">
      <c r="A490" s="429"/>
      <c r="B490" s="421"/>
      <c r="C490" s="422"/>
      <c r="D490" s="423"/>
      <c r="E490" s="423"/>
      <c r="F490" s="426"/>
      <c r="H490" s="489"/>
    </row>
    <row r="491" spans="1:10" s="4" customFormat="1" ht="15.75" customHeight="1">
      <c r="A491" s="286" t="s">
        <v>814</v>
      </c>
      <c r="B491" s="3" t="s">
        <v>857</v>
      </c>
      <c r="C491" s="45" t="s">
        <v>322</v>
      </c>
      <c r="D491" s="11">
        <v>24</v>
      </c>
      <c r="E491" s="11"/>
      <c r="F491" s="198">
        <f>ROUND(D491*E491,2)</f>
        <v>0</v>
      </c>
      <c r="H491" s="489" t="s">
        <v>1021</v>
      </c>
    </row>
    <row r="492" spans="1:10" s="54" customFormat="1">
      <c r="A492" s="286"/>
      <c r="B492" s="55"/>
      <c r="C492" s="195"/>
      <c r="D492" s="56"/>
      <c r="E492" s="56"/>
      <c r="F492" s="356"/>
      <c r="H492" s="489"/>
    </row>
    <row r="493" spans="1:10" s="57" customFormat="1">
      <c r="A493" s="428"/>
      <c r="B493" s="380"/>
      <c r="C493" s="195"/>
      <c r="D493" s="56"/>
      <c r="H493" s="490"/>
    </row>
    <row r="494" spans="1:10" s="57" customFormat="1" ht="25.5">
      <c r="A494" s="20" t="s">
        <v>377</v>
      </c>
      <c r="B494" s="54" t="s">
        <v>826</v>
      </c>
      <c r="C494" s="195" t="s">
        <v>317</v>
      </c>
      <c r="D494" s="56">
        <v>75</v>
      </c>
      <c r="E494" s="56"/>
      <c r="F494" s="198">
        <f t="shared" ref="F494" si="57">ROUND(D494*E494,2)</f>
        <v>0</v>
      </c>
      <c r="H494" s="489" t="s">
        <v>1021</v>
      </c>
      <c r="I494" s="373"/>
      <c r="J494" s="374"/>
    </row>
    <row r="495" spans="1:10" s="57" customFormat="1">
      <c r="A495" s="428"/>
      <c r="B495" s="54"/>
      <c r="C495" s="195"/>
      <c r="D495" s="56"/>
      <c r="E495" s="56"/>
      <c r="F495" s="356"/>
      <c r="H495" s="490"/>
    </row>
    <row r="496" spans="1:10" s="57" customFormat="1">
      <c r="A496" s="10"/>
      <c r="B496" s="54"/>
      <c r="C496" s="187"/>
      <c r="D496" s="56"/>
      <c r="E496" s="56"/>
      <c r="F496" s="341"/>
      <c r="G496" s="9"/>
      <c r="H496" s="490"/>
    </row>
    <row r="497" spans="1:9" s="54" customFormat="1" ht="38.25">
      <c r="A497" s="10" t="s">
        <v>396</v>
      </c>
      <c r="B497" s="4" t="s">
        <v>798</v>
      </c>
      <c r="C497" s="187" t="s">
        <v>316</v>
      </c>
      <c r="D497" s="56">
        <v>10</v>
      </c>
      <c r="E497" s="56"/>
      <c r="F497" s="198">
        <f t="shared" ref="F497" si="58">ROUND(D497*E497,2)</f>
        <v>0</v>
      </c>
      <c r="H497" s="489" t="s">
        <v>1021</v>
      </c>
    </row>
    <row r="498" spans="1:9" s="50" customFormat="1">
      <c r="A498" s="10"/>
      <c r="C498" s="202"/>
      <c r="D498" s="56"/>
      <c r="E498" s="202"/>
      <c r="F498" s="194"/>
      <c r="H498" s="489"/>
    </row>
    <row r="499" spans="1:9" s="292" customFormat="1">
      <c r="A499" s="20"/>
      <c r="B499" s="16"/>
      <c r="C499" s="194"/>
      <c r="D499" s="236"/>
      <c r="E499" s="165">
        <v>0</v>
      </c>
      <c r="F499" s="198"/>
      <c r="G499" s="9"/>
      <c r="H499" s="487"/>
      <c r="I499" s="211"/>
    </row>
    <row r="500" spans="1:9" s="292" customFormat="1">
      <c r="A500" s="10" t="s">
        <v>398</v>
      </c>
      <c r="B500" s="54" t="s">
        <v>629</v>
      </c>
      <c r="C500" s="187"/>
      <c r="D500" s="56"/>
      <c r="E500" s="435">
        <v>0</v>
      </c>
      <c r="F500" s="198"/>
      <c r="G500" s="222"/>
      <c r="H500" s="489"/>
      <c r="I500" s="211"/>
    </row>
    <row r="501" spans="1:9" s="292" customFormat="1">
      <c r="A501" s="10"/>
      <c r="B501" s="4" t="s">
        <v>858</v>
      </c>
      <c r="C501" s="187"/>
      <c r="D501" s="56"/>
      <c r="E501" s="435">
        <v>0</v>
      </c>
      <c r="F501" s="198"/>
      <c r="G501" s="222"/>
      <c r="H501" s="487"/>
      <c r="I501" s="211"/>
    </row>
    <row r="502" spans="1:9" s="292" customFormat="1">
      <c r="A502" s="10"/>
      <c r="B502" s="54" t="s">
        <v>630</v>
      </c>
      <c r="C502" s="187"/>
      <c r="D502" s="56"/>
      <c r="E502" s="435">
        <v>0</v>
      </c>
      <c r="F502" s="198"/>
      <c r="G502" s="222"/>
      <c r="H502" s="487"/>
      <c r="I502" s="211"/>
    </row>
    <row r="503" spans="1:9" s="292" customFormat="1">
      <c r="A503" s="10"/>
      <c r="B503" s="54" t="s">
        <v>631</v>
      </c>
      <c r="C503" s="187"/>
      <c r="D503" s="56"/>
      <c r="E503" s="435">
        <v>0</v>
      </c>
      <c r="F503" s="198"/>
      <c r="G503" s="222"/>
      <c r="H503" s="487"/>
      <c r="I503" s="211"/>
    </row>
    <row r="504" spans="1:9" s="292" customFormat="1">
      <c r="A504" s="10"/>
      <c r="B504" s="54" t="s">
        <v>632</v>
      </c>
      <c r="C504" s="187"/>
      <c r="D504" s="56"/>
      <c r="E504" s="435">
        <v>0</v>
      </c>
      <c r="F504" s="198"/>
      <c r="G504" s="222"/>
      <c r="H504" s="487"/>
      <c r="I504" s="211"/>
    </row>
    <row r="505" spans="1:9" s="292" customFormat="1" ht="38.25">
      <c r="A505" s="10"/>
      <c r="B505" s="54" t="s">
        <v>633</v>
      </c>
      <c r="C505" s="187"/>
      <c r="D505" s="56"/>
      <c r="E505" s="435">
        <v>0</v>
      </c>
      <c r="F505" s="198"/>
      <c r="G505" s="222"/>
      <c r="H505" s="487"/>
      <c r="I505" s="211"/>
    </row>
    <row r="506" spans="1:9" s="292" customFormat="1">
      <c r="A506" s="10"/>
      <c r="B506" s="54" t="s">
        <v>634</v>
      </c>
      <c r="C506" s="187" t="s">
        <v>317</v>
      </c>
      <c r="D506" s="56">
        <v>400</v>
      </c>
      <c r="E506" s="435"/>
      <c r="F506" s="198">
        <f t="shared" ref="F506" si="59">ROUND(D506*E506,2)</f>
        <v>0</v>
      </c>
      <c r="G506" s="222"/>
      <c r="H506" s="489" t="s">
        <v>1021</v>
      </c>
      <c r="I506" s="211"/>
    </row>
    <row r="507" spans="1:9" s="292" customFormat="1">
      <c r="A507" s="10"/>
      <c r="B507" s="54"/>
      <c r="C507" s="187"/>
      <c r="D507" s="56"/>
      <c r="E507" s="435">
        <v>0</v>
      </c>
      <c r="F507" s="198"/>
      <c r="G507" s="222"/>
      <c r="H507" s="487"/>
      <c r="I507" s="211"/>
    </row>
    <row r="508" spans="1:9" s="292" customFormat="1">
      <c r="A508" s="10"/>
      <c r="B508" s="54"/>
      <c r="C508" s="187"/>
      <c r="D508" s="56"/>
      <c r="E508" s="435">
        <v>0</v>
      </c>
      <c r="F508" s="198"/>
      <c r="G508" s="222"/>
      <c r="H508" s="487"/>
      <c r="I508" s="211"/>
    </row>
    <row r="509" spans="1:9" s="292" customFormat="1">
      <c r="A509" s="10" t="s">
        <v>400</v>
      </c>
      <c r="B509" s="4" t="s">
        <v>635</v>
      </c>
      <c r="C509" s="194"/>
      <c r="D509" s="11"/>
      <c r="E509" s="165">
        <v>0</v>
      </c>
      <c r="F509" s="198"/>
      <c r="G509" s="9"/>
      <c r="H509" s="487"/>
      <c r="I509" s="211"/>
    </row>
    <row r="510" spans="1:9" s="292" customFormat="1">
      <c r="A510" s="10"/>
      <c r="B510" s="4" t="s">
        <v>325</v>
      </c>
      <c r="C510" s="194" t="s">
        <v>326</v>
      </c>
      <c r="D510" s="11">
        <v>100</v>
      </c>
      <c r="E510" s="165"/>
      <c r="F510" s="198">
        <f t="shared" ref="F510:F512" si="60">ROUND(D510*E510,2)</f>
        <v>0</v>
      </c>
      <c r="G510" s="9"/>
      <c r="H510" s="489" t="s">
        <v>1021</v>
      </c>
      <c r="I510" s="211"/>
    </row>
    <row r="511" spans="1:9" s="292" customFormat="1">
      <c r="A511" s="10"/>
      <c r="B511" s="4" t="s">
        <v>636</v>
      </c>
      <c r="C511" s="194" t="s">
        <v>326</v>
      </c>
      <c r="D511" s="11">
        <v>80</v>
      </c>
      <c r="E511" s="165"/>
      <c r="F511" s="198">
        <f t="shared" si="60"/>
        <v>0</v>
      </c>
      <c r="G511" s="9"/>
      <c r="H511" s="489" t="s">
        <v>1021</v>
      </c>
      <c r="I511" s="211"/>
    </row>
    <row r="512" spans="1:9" s="292" customFormat="1">
      <c r="A512" s="10"/>
      <c r="B512" s="4" t="s">
        <v>327</v>
      </c>
      <c r="C512" s="194" t="s">
        <v>326</v>
      </c>
      <c r="D512" s="11">
        <v>50</v>
      </c>
      <c r="E512" s="165"/>
      <c r="F512" s="198">
        <f t="shared" si="60"/>
        <v>0</v>
      </c>
      <c r="G512" s="9"/>
      <c r="H512" s="489" t="s">
        <v>1021</v>
      </c>
      <c r="I512" s="211"/>
    </row>
    <row r="513" spans="1:9" s="292" customFormat="1">
      <c r="A513" s="10"/>
      <c r="B513" s="293"/>
      <c r="C513" s="194"/>
      <c r="D513" s="11"/>
      <c r="E513" s="165">
        <v>0</v>
      </c>
      <c r="F513" s="198"/>
      <c r="G513" s="9"/>
      <c r="H513" s="487"/>
      <c r="I513" s="211"/>
    </row>
    <row r="514" spans="1:9" s="4" customFormat="1">
      <c r="A514" s="10"/>
      <c r="B514" s="237"/>
      <c r="C514" s="11"/>
      <c r="D514" s="9"/>
      <c r="E514" s="11"/>
      <c r="F514" s="339"/>
      <c r="H514" s="489"/>
    </row>
    <row r="515" spans="1:9" s="4" customFormat="1">
      <c r="A515" s="38" t="s">
        <v>332</v>
      </c>
      <c r="B515" s="169" t="s">
        <v>545</v>
      </c>
      <c r="C515" s="252"/>
      <c r="D515" s="253"/>
      <c r="E515" s="241"/>
      <c r="F515" s="338">
        <f>SUM(F350:F514)</f>
        <v>0</v>
      </c>
      <c r="H515" s="489"/>
    </row>
    <row r="516" spans="1:9" s="4" customFormat="1">
      <c r="A516" s="10"/>
      <c r="B516" s="5"/>
      <c r="C516" s="194"/>
      <c r="D516" s="9"/>
      <c r="E516" s="11"/>
      <c r="F516" s="339"/>
      <c r="H516" s="489"/>
    </row>
    <row r="517" spans="1:9" s="4" customFormat="1">
      <c r="A517" s="10"/>
      <c r="B517" s="5"/>
      <c r="C517" s="194"/>
      <c r="D517" s="9"/>
      <c r="E517" s="11"/>
      <c r="F517" s="339"/>
      <c r="H517" s="489"/>
    </row>
    <row r="518" spans="1:9" s="4" customFormat="1">
      <c r="A518" s="38" t="s">
        <v>333</v>
      </c>
      <c r="B518" s="168" t="s">
        <v>352</v>
      </c>
      <c r="C518" s="194"/>
      <c r="D518" s="9"/>
      <c r="E518" s="11"/>
      <c r="F518" s="339"/>
      <c r="H518" s="489"/>
    </row>
    <row r="519" spans="1:9" s="4" customFormat="1">
      <c r="A519" s="10"/>
      <c r="B519" s="5"/>
      <c r="C519" s="194"/>
      <c r="D519" s="9"/>
      <c r="E519" s="11"/>
      <c r="F519" s="339"/>
      <c r="H519" s="489"/>
    </row>
    <row r="520" spans="1:9" s="54" customFormat="1">
      <c r="A520" s="10"/>
      <c r="B520" s="299" t="s">
        <v>643</v>
      </c>
      <c r="C520" s="187"/>
      <c r="D520" s="56"/>
      <c r="E520" s="56"/>
      <c r="F520" s="341"/>
      <c r="H520" s="489"/>
    </row>
    <row r="521" spans="1:9" s="54" customFormat="1" ht="72">
      <c r="A521" s="10"/>
      <c r="B521" s="300" t="s">
        <v>644</v>
      </c>
      <c r="C521" s="187"/>
      <c r="D521" s="56"/>
      <c r="E521" s="56"/>
      <c r="F521" s="341"/>
      <c r="H521" s="489"/>
    </row>
    <row r="522" spans="1:9" s="54" customFormat="1">
      <c r="A522" s="10"/>
      <c r="B522" s="299" t="s">
        <v>645</v>
      </c>
      <c r="C522" s="187"/>
      <c r="D522" s="56"/>
      <c r="E522" s="56"/>
      <c r="F522" s="341"/>
      <c r="H522" s="489"/>
    </row>
    <row r="523" spans="1:9" s="54" customFormat="1">
      <c r="A523" s="10"/>
      <c r="B523" s="300"/>
      <c r="C523" s="187"/>
      <c r="D523" s="56"/>
      <c r="E523" s="56"/>
      <c r="F523" s="341"/>
      <c r="H523" s="489"/>
    </row>
    <row r="524" spans="1:9" s="54" customFormat="1" ht="48">
      <c r="A524" s="10"/>
      <c r="B524" s="300" t="s">
        <v>646</v>
      </c>
      <c r="C524" s="187"/>
      <c r="D524" s="56"/>
      <c r="E524" s="56"/>
      <c r="F524" s="341"/>
      <c r="H524" s="489"/>
    </row>
    <row r="525" spans="1:9" s="54" customFormat="1" ht="48">
      <c r="A525" s="10"/>
      <c r="B525" s="300" t="s">
        <v>647</v>
      </c>
      <c r="C525" s="187"/>
      <c r="D525" s="56"/>
      <c r="E525" s="56"/>
      <c r="F525" s="341"/>
      <c r="H525" s="489"/>
    </row>
    <row r="526" spans="1:9" s="54" customFormat="1">
      <c r="A526" s="10"/>
      <c r="C526" s="187"/>
      <c r="D526" s="56"/>
      <c r="E526" s="56"/>
      <c r="F526" s="341"/>
      <c r="H526" s="489"/>
    </row>
    <row r="527" spans="1:9" s="4" customFormat="1">
      <c r="A527" s="10"/>
      <c r="B527" s="248" t="s">
        <v>642</v>
      </c>
      <c r="C527" s="194"/>
      <c r="D527" s="11"/>
      <c r="E527" s="11"/>
      <c r="F527" s="341">
        <f t="shared" ref="F527:F529" si="61">D527*E527</f>
        <v>0</v>
      </c>
      <c r="H527" s="489"/>
    </row>
    <row r="528" spans="1:9" s="4" customFormat="1">
      <c r="A528" s="10"/>
      <c r="B528" s="16"/>
      <c r="C528" s="194"/>
      <c r="D528" s="11"/>
      <c r="E528" s="11"/>
      <c r="F528" s="341"/>
      <c r="H528" s="489"/>
    </row>
    <row r="529" spans="1:11" s="4" customFormat="1" ht="63.75">
      <c r="A529" s="10" t="s">
        <v>353</v>
      </c>
      <c r="B529" s="50" t="s">
        <v>891</v>
      </c>
      <c r="C529" s="194"/>
      <c r="D529" s="11"/>
      <c r="E529" s="11"/>
      <c r="F529" s="341">
        <f t="shared" si="61"/>
        <v>0</v>
      </c>
      <c r="H529" s="489"/>
    </row>
    <row r="530" spans="1:11" s="4" customFormat="1">
      <c r="A530" s="10"/>
      <c r="B530" s="4" t="s">
        <v>895</v>
      </c>
      <c r="C530" s="194" t="s">
        <v>317</v>
      </c>
      <c r="D530" s="11">
        <v>375</v>
      </c>
      <c r="E530" s="11"/>
      <c r="F530" s="198">
        <f t="shared" ref="F530" si="62">ROUND(D530*E530,2)</f>
        <v>0</v>
      </c>
      <c r="H530" s="486" t="s">
        <v>1027</v>
      </c>
      <c r="I530" s="373"/>
      <c r="J530" s="374"/>
    </row>
    <row r="531" spans="1:11" s="4" customFormat="1">
      <c r="A531" s="10"/>
      <c r="C531" s="194"/>
      <c r="D531" s="11"/>
      <c r="E531" s="11"/>
      <c r="F531" s="198"/>
      <c r="H531" s="486"/>
      <c r="I531" s="373"/>
      <c r="J531" s="374"/>
    </row>
    <row r="532" spans="1:11" s="4" customFormat="1">
      <c r="A532" s="10"/>
      <c r="C532" s="194"/>
      <c r="D532" s="227"/>
      <c r="E532" s="11"/>
      <c r="F532" s="198"/>
      <c r="H532" s="489"/>
    </row>
    <row r="533" spans="1:11" s="54" customFormat="1">
      <c r="A533" s="10" t="s">
        <v>376</v>
      </c>
      <c r="B533" s="439" t="s">
        <v>890</v>
      </c>
      <c r="C533" s="189"/>
      <c r="D533" s="190"/>
      <c r="E533" s="304"/>
      <c r="F533" s="356"/>
      <c r="G533" s="477"/>
      <c r="H533" s="489"/>
    </row>
    <row r="534" spans="1:11" s="54" customFormat="1" ht="38.25">
      <c r="A534" s="71"/>
      <c r="B534" s="305" t="s">
        <v>885</v>
      </c>
      <c r="C534" s="189"/>
      <c r="D534" s="190"/>
      <c r="E534" s="304"/>
      <c r="F534" s="356"/>
      <c r="G534" s="477"/>
      <c r="H534" s="489"/>
    </row>
    <row r="535" spans="1:11" s="54" customFormat="1" ht="165" customHeight="1">
      <c r="A535" s="71"/>
      <c r="B535" s="305" t="s">
        <v>886</v>
      </c>
      <c r="C535" s="189"/>
      <c r="D535" s="190"/>
      <c r="E535" s="304"/>
      <c r="F535" s="356"/>
      <c r="G535" s="477"/>
      <c r="H535" s="489"/>
    </row>
    <row r="536" spans="1:11" s="54" customFormat="1" ht="89.25">
      <c r="A536" s="71"/>
      <c r="B536" s="305" t="s">
        <v>887</v>
      </c>
      <c r="C536" s="189"/>
      <c r="D536" s="190"/>
      <c r="E536" s="304"/>
      <c r="F536" s="356"/>
      <c r="G536" s="477"/>
      <c r="H536" s="489"/>
    </row>
    <row r="537" spans="1:11" s="57" customFormat="1">
      <c r="A537" s="436"/>
      <c r="B537" s="437" t="s">
        <v>888</v>
      </c>
      <c r="C537" s="303" t="s">
        <v>317</v>
      </c>
      <c r="D537" s="230">
        <v>375</v>
      </c>
      <c r="E537" s="304"/>
      <c r="F537" s="198">
        <f t="shared" ref="F537:F538" si="63">ROUND(D537*E537,2)</f>
        <v>0</v>
      </c>
      <c r="G537" s="478"/>
      <c r="H537" s="486" t="s">
        <v>1027</v>
      </c>
      <c r="I537" s="373"/>
      <c r="J537" s="374"/>
    </row>
    <row r="538" spans="1:11" s="54" customFormat="1" ht="14.25" customHeight="1">
      <c r="A538" s="71"/>
      <c r="B538" s="440" t="s">
        <v>892</v>
      </c>
      <c r="C538" s="187" t="s">
        <v>317</v>
      </c>
      <c r="D538" s="230">
        <v>15</v>
      </c>
      <c r="E538" s="56"/>
      <c r="F538" s="198">
        <f t="shared" si="63"/>
        <v>0</v>
      </c>
      <c r="G538" s="478"/>
      <c r="H538" s="486" t="s">
        <v>1027</v>
      </c>
      <c r="I538" s="373"/>
      <c r="J538" s="374"/>
    </row>
    <row r="539" spans="1:11" s="54" customFormat="1">
      <c r="A539" s="71"/>
      <c r="B539" s="305"/>
      <c r="C539" s="189"/>
      <c r="D539" s="190"/>
      <c r="E539" s="304"/>
      <c r="F539" s="356"/>
      <c r="G539" s="477"/>
      <c r="H539" s="489"/>
    </row>
    <row r="540" spans="1:11" s="54" customFormat="1">
      <c r="A540" s="71"/>
      <c r="B540" s="53"/>
      <c r="C540" s="187"/>
      <c r="D540" s="56"/>
      <c r="E540" s="56"/>
      <c r="F540" s="356"/>
      <c r="G540" s="468"/>
      <c r="H540" s="489"/>
    </row>
    <row r="541" spans="1:11" s="50" customFormat="1" ht="51">
      <c r="A541" s="10" t="s">
        <v>383</v>
      </c>
      <c r="B541" s="60" t="s">
        <v>893</v>
      </c>
      <c r="C541" s="202" t="s">
        <v>317</v>
      </c>
      <c r="D541" s="230">
        <v>278</v>
      </c>
      <c r="E541" s="228"/>
      <c r="F541" s="405"/>
      <c r="G541" s="468"/>
      <c r="H541" s="486" t="s">
        <v>1027</v>
      </c>
      <c r="I541" s="373"/>
      <c r="J541" s="374"/>
      <c r="K541" s="57"/>
    </row>
    <row r="542" spans="1:11" s="50" customFormat="1">
      <c r="A542" s="71"/>
      <c r="B542" s="60"/>
      <c r="C542" s="202"/>
      <c r="D542" s="56"/>
      <c r="E542" s="228"/>
      <c r="F542" s="405" t="str">
        <f>IF(D:D*E:E=0," ",D:D*E:E)</f>
        <v xml:space="preserve"> </v>
      </c>
      <c r="G542" s="468"/>
      <c r="H542" s="489"/>
    </row>
    <row r="543" spans="1:11" s="50" customFormat="1">
      <c r="A543" s="10"/>
      <c r="C543" s="202"/>
      <c r="D543" s="227"/>
      <c r="E543" s="228"/>
      <c r="F543" s="343"/>
      <c r="H543" s="489"/>
    </row>
    <row r="544" spans="1:11" s="58" customFormat="1" ht="38.25">
      <c r="A544" s="10" t="s">
        <v>385</v>
      </c>
      <c r="B544" s="4" t="s">
        <v>828</v>
      </c>
      <c r="C544" s="195"/>
      <c r="D544" s="238"/>
      <c r="E544" s="298"/>
      <c r="F544" s="7"/>
      <c r="G544" s="479"/>
      <c r="H544" s="490"/>
    </row>
    <row r="545" spans="1:8" s="58" customFormat="1" ht="38.25">
      <c r="A545" s="10"/>
      <c r="B545" s="16" t="s">
        <v>649</v>
      </c>
      <c r="C545" s="195"/>
      <c r="D545" s="238"/>
      <c r="E545" s="298"/>
      <c r="F545" s="7"/>
      <c r="G545" s="479"/>
      <c r="H545" s="490"/>
    </row>
    <row r="546" spans="1:8" s="58" customFormat="1">
      <c r="A546" s="10"/>
      <c r="B546" s="53" t="s">
        <v>648</v>
      </c>
      <c r="C546" s="195" t="s">
        <v>317</v>
      </c>
      <c r="D546" s="236">
        <v>240</v>
      </c>
      <c r="E546" s="298"/>
      <c r="F546" s="198">
        <f t="shared" ref="F546" si="64">ROUND(D546*E546,2)</f>
        <v>0</v>
      </c>
      <c r="G546" s="479"/>
      <c r="H546" s="486" t="s">
        <v>1027</v>
      </c>
    </row>
    <row r="547" spans="1:8" s="58" customFormat="1">
      <c r="A547" s="10"/>
      <c r="B547" s="53"/>
      <c r="C547" s="195"/>
      <c r="D547" s="236"/>
      <c r="E547" s="298"/>
      <c r="F547" s="198"/>
      <c r="G547" s="479"/>
      <c r="H547" s="490"/>
    </row>
    <row r="548" spans="1:8" s="54" customFormat="1" ht="15" customHeight="1">
      <c r="A548" s="71"/>
      <c r="B548" s="305"/>
      <c r="C548" s="189"/>
      <c r="D548" s="190"/>
      <c r="E548" s="304"/>
      <c r="F548" s="356"/>
      <c r="G548" s="477"/>
      <c r="H548" s="489"/>
    </row>
    <row r="549" spans="1:8" s="54" customFormat="1" ht="53.25" customHeight="1">
      <c r="A549" s="10" t="s">
        <v>387</v>
      </c>
      <c r="B549" s="16" t="s">
        <v>894</v>
      </c>
      <c r="C549" s="187"/>
      <c r="D549" s="56"/>
      <c r="E549" s="56"/>
      <c r="F549" s="356" t="str">
        <f>IF(D:D*E:E=0," ",D:D*E:E)</f>
        <v xml:space="preserve"> </v>
      </c>
      <c r="G549" s="468"/>
      <c r="H549" s="489"/>
    </row>
    <row r="550" spans="1:8" s="438" customFormat="1">
      <c r="A550" s="71"/>
      <c r="B550" s="53" t="s">
        <v>889</v>
      </c>
      <c r="C550" s="187" t="s">
        <v>317</v>
      </c>
      <c r="D550" s="230">
        <v>375</v>
      </c>
      <c r="E550" s="56"/>
      <c r="F550" s="198">
        <f t="shared" ref="F550" si="65">ROUND(D550*E550,2)</f>
        <v>0</v>
      </c>
      <c r="G550" s="478"/>
      <c r="H550" s="486" t="s">
        <v>1027</v>
      </c>
    </row>
    <row r="551" spans="1:8" s="438" customFormat="1">
      <c r="A551" s="71"/>
      <c r="B551" s="53"/>
      <c r="C551" s="187"/>
      <c r="D551" s="230"/>
      <c r="E551" s="56"/>
      <c r="F551" s="356"/>
      <c r="G551" s="478"/>
      <c r="H551" s="486"/>
    </row>
    <row r="552" spans="1:8" s="4" customFormat="1">
      <c r="A552" s="10"/>
      <c r="B552" s="237"/>
      <c r="C552" s="11"/>
      <c r="D552" s="9"/>
      <c r="E552" s="11"/>
      <c r="F552" s="339"/>
      <c r="H552" s="489"/>
    </row>
    <row r="553" spans="1:8" s="4" customFormat="1">
      <c r="A553" s="38" t="s">
        <v>333</v>
      </c>
      <c r="B553" s="169" t="s">
        <v>546</v>
      </c>
      <c r="C553" s="252"/>
      <c r="D553" s="253"/>
      <c r="E553" s="241"/>
      <c r="F553" s="338">
        <f>SUM(F518:F552)</f>
        <v>0</v>
      </c>
      <c r="H553" s="489"/>
    </row>
    <row r="554" spans="1:8" s="4" customFormat="1">
      <c r="A554" s="10"/>
      <c r="B554" s="5"/>
      <c r="C554" s="194"/>
      <c r="D554" s="9"/>
      <c r="E554" s="11"/>
      <c r="F554" s="339"/>
      <c r="H554" s="489"/>
    </row>
    <row r="555" spans="1:8" s="4" customFormat="1">
      <c r="A555" s="10"/>
      <c r="B555" s="5"/>
      <c r="C555" s="194"/>
      <c r="D555" s="9"/>
      <c r="E555" s="11"/>
      <c r="F555" s="339"/>
      <c r="H555" s="489"/>
    </row>
    <row r="556" spans="1:8" s="4" customFormat="1">
      <c r="A556" s="172" t="s">
        <v>532</v>
      </c>
      <c r="B556" s="171" t="s">
        <v>533</v>
      </c>
      <c r="C556" s="110"/>
      <c r="D556" s="120"/>
      <c r="E556" s="11"/>
      <c r="F556" s="339"/>
      <c r="H556" s="489"/>
    </row>
    <row r="557" spans="1:8" s="4" customFormat="1">
      <c r="A557" s="10"/>
      <c r="B557" s="5"/>
      <c r="C557" s="194"/>
      <c r="D557" s="9"/>
      <c r="E557" s="11"/>
      <c r="F557" s="339"/>
      <c r="H557" s="489"/>
    </row>
    <row r="558" spans="1:8" s="4" customFormat="1">
      <c r="A558" s="10"/>
      <c r="B558" s="5"/>
      <c r="C558" s="194"/>
      <c r="D558" s="9"/>
      <c r="E558" s="11"/>
      <c r="F558" s="339"/>
      <c r="H558" s="489"/>
    </row>
    <row r="559" spans="1:8" s="4" customFormat="1">
      <c r="A559" s="172" t="s">
        <v>315</v>
      </c>
      <c r="B559" s="173" t="s">
        <v>710</v>
      </c>
      <c r="C559" s="254"/>
      <c r="D559" s="253"/>
      <c r="E559" s="241"/>
      <c r="F559" s="338">
        <f>F97</f>
        <v>15200</v>
      </c>
      <c r="H559" s="489"/>
    </row>
    <row r="560" spans="1:8" s="4" customFormat="1">
      <c r="A560" s="172" t="s">
        <v>318</v>
      </c>
      <c r="B560" s="173" t="s">
        <v>319</v>
      </c>
      <c r="C560" s="254"/>
      <c r="D560" s="253"/>
      <c r="E560" s="241"/>
      <c r="F560" s="338">
        <f>F283</f>
        <v>0</v>
      </c>
      <c r="H560" s="489"/>
    </row>
    <row r="561" spans="1:8" s="4" customFormat="1">
      <c r="A561" s="172" t="s">
        <v>329</v>
      </c>
      <c r="B561" s="173" t="s">
        <v>538</v>
      </c>
      <c r="C561" s="254"/>
      <c r="D561" s="253"/>
      <c r="E561" s="241"/>
      <c r="F561" s="338">
        <f>F321</f>
        <v>0</v>
      </c>
      <c r="H561" s="489"/>
    </row>
    <row r="562" spans="1:8" s="4" customFormat="1">
      <c r="A562" s="174" t="s">
        <v>303</v>
      </c>
      <c r="B562" s="175" t="s">
        <v>331</v>
      </c>
      <c r="C562" s="255"/>
      <c r="D562" s="256"/>
      <c r="E562" s="257"/>
      <c r="F562" s="338">
        <f>F335</f>
        <v>0</v>
      </c>
      <c r="H562" s="489"/>
    </row>
    <row r="563" spans="1:8" s="4" customFormat="1">
      <c r="A563" s="172" t="s">
        <v>330</v>
      </c>
      <c r="B563" s="173" t="s">
        <v>539</v>
      </c>
      <c r="C563" s="254"/>
      <c r="D563" s="253"/>
      <c r="E563" s="241"/>
      <c r="F563" s="344">
        <f>F347</f>
        <v>0</v>
      </c>
      <c r="H563" s="489"/>
    </row>
    <row r="564" spans="1:8" s="4" customFormat="1">
      <c r="A564" s="172" t="s">
        <v>332</v>
      </c>
      <c r="B564" s="173" t="s">
        <v>334</v>
      </c>
      <c r="C564" s="254"/>
      <c r="D564" s="253"/>
      <c r="E564" s="241"/>
      <c r="F564" s="338">
        <f>F515</f>
        <v>0</v>
      </c>
      <c r="H564" s="489"/>
    </row>
    <row r="565" spans="1:8" s="4" customFormat="1">
      <c r="A565" s="185" t="s">
        <v>333</v>
      </c>
      <c r="B565" s="186" t="s">
        <v>352</v>
      </c>
      <c r="C565" s="258"/>
      <c r="D565" s="259"/>
      <c r="E565" s="260"/>
      <c r="F565" s="345">
        <f>F553</f>
        <v>0</v>
      </c>
      <c r="H565" s="489"/>
    </row>
    <row r="566" spans="1:8" s="4" customFormat="1">
      <c r="A566" s="10"/>
      <c r="B566" s="5"/>
      <c r="C566" s="194"/>
      <c r="D566" s="9"/>
      <c r="E566" s="11"/>
      <c r="F566" s="339"/>
      <c r="H566" s="489"/>
    </row>
    <row r="567" spans="1:8" s="4" customFormat="1">
      <c r="A567" s="38" t="s">
        <v>532</v>
      </c>
      <c r="B567" s="169" t="s">
        <v>534</v>
      </c>
      <c r="C567" s="252"/>
      <c r="D567" s="253"/>
      <c r="E567" s="241"/>
      <c r="F567" s="338">
        <f>SUM(F559:F565)</f>
        <v>15200</v>
      </c>
      <c r="H567" s="489"/>
    </row>
    <row r="568" spans="1:8" s="4" customFormat="1">
      <c r="A568" s="10"/>
      <c r="B568" s="5"/>
      <c r="C568" s="194"/>
      <c r="D568" s="9"/>
      <c r="E568" s="11"/>
      <c r="F568" s="339"/>
      <c r="H568" s="489"/>
    </row>
    <row r="569" spans="1:8" s="4" customFormat="1">
      <c r="A569" s="10"/>
      <c r="B569" s="5"/>
      <c r="C569" s="194"/>
      <c r="D569" s="9"/>
      <c r="E569" s="11"/>
      <c r="F569" s="339"/>
      <c r="H569" s="489"/>
    </row>
    <row r="570" spans="1:8" s="4" customFormat="1">
      <c r="A570" s="38" t="s">
        <v>354</v>
      </c>
      <c r="B570" s="169" t="s">
        <v>521</v>
      </c>
      <c r="C570" s="201"/>
      <c r="D570" s="220"/>
      <c r="E570" s="241"/>
      <c r="F570" s="346"/>
      <c r="H570" s="489"/>
    </row>
    <row r="571" spans="1:8" s="4" customFormat="1">
      <c r="A571" s="10"/>
      <c r="B571" s="5"/>
      <c r="C571" s="194"/>
      <c r="D571" s="9"/>
      <c r="E571" s="11"/>
      <c r="F571" s="339"/>
      <c r="H571" s="489"/>
    </row>
    <row r="572" spans="1:8" s="4" customFormat="1">
      <c r="A572" s="10"/>
      <c r="B572" s="5" t="s">
        <v>522</v>
      </c>
      <c r="C572" s="194"/>
      <c r="D572" s="9"/>
      <c r="E572" s="11"/>
      <c r="F572" s="341"/>
      <c r="H572" s="489"/>
    </row>
    <row r="573" spans="1:8" s="4" customFormat="1" ht="38.25">
      <c r="A573" s="10"/>
      <c r="B573" s="5" t="s">
        <v>548</v>
      </c>
      <c r="C573" s="194"/>
      <c r="D573" s="9"/>
      <c r="E573" s="11"/>
      <c r="F573" s="341"/>
      <c r="H573" s="489"/>
    </row>
    <row r="574" spans="1:8" s="4" customFormat="1" ht="25.5">
      <c r="A574" s="10"/>
      <c r="B574" s="4" t="s">
        <v>549</v>
      </c>
      <c r="C574" s="194"/>
      <c r="D574" s="9"/>
      <c r="E574" s="11"/>
      <c r="F574" s="341"/>
      <c r="H574" s="489"/>
    </row>
    <row r="575" spans="1:8" s="4" customFormat="1" ht="38.25">
      <c r="A575" s="10"/>
      <c r="B575" s="4" t="s">
        <v>550</v>
      </c>
      <c r="C575" s="194"/>
      <c r="D575" s="9"/>
      <c r="E575" s="11"/>
      <c r="F575" s="341"/>
      <c r="H575" s="489"/>
    </row>
    <row r="576" spans="1:8" s="4" customFormat="1">
      <c r="A576" s="10"/>
      <c r="B576" s="5"/>
      <c r="C576" s="194"/>
      <c r="D576" s="249"/>
      <c r="E576" s="251"/>
      <c r="F576" s="347"/>
      <c r="H576" s="489"/>
    </row>
    <row r="577" spans="1:8" s="4" customFormat="1" ht="25.5">
      <c r="A577" s="10"/>
      <c r="B577" s="4" t="s">
        <v>355</v>
      </c>
      <c r="C577" s="194"/>
      <c r="D577" s="249"/>
      <c r="E577" s="251"/>
      <c r="F577" s="347"/>
      <c r="H577" s="489"/>
    </row>
    <row r="578" spans="1:8" s="4" customFormat="1">
      <c r="A578" s="10"/>
      <c r="B578" s="4" t="s">
        <v>356</v>
      </c>
      <c r="C578" s="70"/>
      <c r="D578" s="249"/>
      <c r="E578" s="251"/>
      <c r="F578" s="347"/>
      <c r="H578" s="489"/>
    </row>
    <row r="579" spans="1:8" s="4" customFormat="1">
      <c r="A579" s="10"/>
      <c r="B579" s="4" t="s">
        <v>357</v>
      </c>
      <c r="C579" s="194"/>
      <c r="D579" s="249"/>
      <c r="E579" s="251"/>
      <c r="F579" s="347"/>
      <c r="H579" s="489"/>
    </row>
    <row r="580" spans="1:8" s="4" customFormat="1">
      <c r="A580" s="10"/>
      <c r="B580" s="4" t="s">
        <v>358</v>
      </c>
      <c r="C580" s="194"/>
      <c r="D580" s="249"/>
      <c r="E580" s="251"/>
      <c r="F580" s="347"/>
      <c r="H580" s="489"/>
    </row>
    <row r="581" spans="1:8" s="4" customFormat="1">
      <c r="A581" s="10"/>
      <c r="B581" s="4" t="s">
        <v>359</v>
      </c>
      <c r="C581" s="194"/>
      <c r="D581" s="249"/>
      <c r="E581" s="251"/>
      <c r="F581" s="347"/>
      <c r="H581" s="489"/>
    </row>
    <row r="582" spans="1:8" s="4" customFormat="1">
      <c r="A582" s="10"/>
      <c r="B582" s="4" t="s">
        <v>523</v>
      </c>
      <c r="C582" s="194"/>
      <c r="D582" s="249"/>
      <c r="E582" s="251"/>
      <c r="F582" s="347"/>
      <c r="H582" s="489"/>
    </row>
    <row r="583" spans="1:8" s="4" customFormat="1">
      <c r="A583" s="10"/>
      <c r="B583" s="4" t="s">
        <v>360</v>
      </c>
      <c r="C583" s="194"/>
      <c r="D583" s="249"/>
      <c r="E583" s="251"/>
      <c r="F583" s="347"/>
      <c r="H583" s="489"/>
    </row>
    <row r="584" spans="1:8" s="4" customFormat="1">
      <c r="A584" s="10"/>
      <c r="B584" s="4" t="s">
        <v>361</v>
      </c>
      <c r="C584" s="194"/>
      <c r="D584" s="249"/>
      <c r="E584" s="251"/>
      <c r="F584" s="347"/>
      <c r="G584" s="480"/>
      <c r="H584" s="493"/>
    </row>
    <row r="585" spans="1:8" s="4" customFormat="1">
      <c r="A585" s="10"/>
      <c r="B585" s="4" t="s">
        <v>362</v>
      </c>
      <c r="C585" s="194"/>
      <c r="D585" s="249"/>
      <c r="E585" s="251"/>
      <c r="F585" s="347"/>
      <c r="G585" s="480"/>
      <c r="H585" s="493"/>
    </row>
    <row r="586" spans="1:8" s="4" customFormat="1">
      <c r="A586" s="10"/>
      <c r="B586" s="4" t="s">
        <v>363</v>
      </c>
      <c r="C586" s="194"/>
      <c r="D586" s="249"/>
      <c r="E586" s="251"/>
      <c r="F586" s="347"/>
      <c r="G586" s="480"/>
      <c r="H586" s="493"/>
    </row>
    <row r="587" spans="1:8" s="4" customFormat="1" ht="15.75" customHeight="1">
      <c r="A587" s="10"/>
      <c r="B587" s="4" t="s">
        <v>364</v>
      </c>
      <c r="C587" s="194"/>
      <c r="D587" s="249"/>
      <c r="E587" s="251"/>
      <c r="F587" s="347"/>
      <c r="G587" s="480"/>
      <c r="H587" s="493"/>
    </row>
    <row r="588" spans="1:8" s="4" customFormat="1">
      <c r="A588" s="10"/>
      <c r="B588" s="4" t="s">
        <v>365</v>
      </c>
      <c r="C588" s="194"/>
      <c r="D588" s="249"/>
      <c r="E588" s="251"/>
      <c r="F588" s="347"/>
      <c r="H588" s="489"/>
    </row>
    <row r="589" spans="1:8" s="4" customFormat="1" ht="25.5">
      <c r="A589" s="10"/>
      <c r="B589" s="4" t="s">
        <v>547</v>
      </c>
      <c r="C589" s="194"/>
      <c r="D589" s="9"/>
      <c r="E589" s="11"/>
      <c r="F589" s="339"/>
      <c r="H589" s="489"/>
    </row>
    <row r="590" spans="1:8" s="4" customFormat="1" ht="38.25">
      <c r="A590" s="10"/>
      <c r="B590" s="4" t="s">
        <v>524</v>
      </c>
      <c r="C590" s="194"/>
      <c r="D590" s="249"/>
      <c r="E590" s="251"/>
      <c r="F590" s="347"/>
      <c r="H590" s="489"/>
    </row>
    <row r="591" spans="1:8" s="4" customFormat="1">
      <c r="A591" s="10"/>
      <c r="C591" s="194"/>
      <c r="D591" s="249"/>
      <c r="E591" s="251"/>
      <c r="F591" s="347"/>
      <c r="H591" s="489"/>
    </row>
    <row r="592" spans="1:8" s="4" customFormat="1">
      <c r="A592" s="10"/>
      <c r="C592" s="194"/>
      <c r="D592" s="9"/>
      <c r="E592" s="11"/>
      <c r="F592" s="339"/>
      <c r="H592" s="489"/>
    </row>
    <row r="593" spans="1:26" s="4" customFormat="1">
      <c r="A593" s="38" t="s">
        <v>315</v>
      </c>
      <c r="B593" s="168" t="s">
        <v>551</v>
      </c>
      <c r="C593" s="194"/>
      <c r="D593" s="9"/>
      <c r="E593" s="11"/>
      <c r="F593" s="339"/>
      <c r="H593" s="489"/>
    </row>
    <row r="594" spans="1:26" s="4" customFormat="1">
      <c r="A594" s="10"/>
      <c r="B594" s="5"/>
      <c r="C594" s="194"/>
      <c r="D594" s="9"/>
      <c r="E594" s="11"/>
      <c r="F594" s="339"/>
      <c r="H594" s="489"/>
    </row>
    <row r="595" spans="1:26" s="54" customFormat="1">
      <c r="A595" s="294"/>
      <c r="B595" s="324" t="s">
        <v>369</v>
      </c>
      <c r="C595" s="303"/>
      <c r="D595" s="308"/>
      <c r="E595" s="304"/>
      <c r="F595" s="348"/>
      <c r="G595" s="481"/>
      <c r="H595" s="489"/>
    </row>
    <row r="596" spans="1:26" s="54" customFormat="1" ht="25.5">
      <c r="A596" s="294"/>
      <c r="B596" s="305" t="s">
        <v>676</v>
      </c>
      <c r="C596" s="303"/>
      <c r="D596" s="308"/>
      <c r="E596" s="304"/>
      <c r="F596" s="348"/>
      <c r="G596" s="482"/>
      <c r="H596" s="489"/>
    </row>
    <row r="597" spans="1:26" s="54" customFormat="1" ht="63.75">
      <c r="A597" s="294"/>
      <c r="B597" s="206" t="s">
        <v>677</v>
      </c>
      <c r="C597" s="303"/>
      <c r="D597" s="308"/>
      <c r="E597" s="304"/>
      <c r="F597" s="348"/>
      <c r="G597" s="482"/>
      <c r="H597" s="489"/>
    </row>
    <row r="598" spans="1:26" s="54" customFormat="1" ht="51">
      <c r="A598" s="294"/>
      <c r="B598" s="206" t="s">
        <v>678</v>
      </c>
      <c r="C598" s="303"/>
      <c r="D598" s="308"/>
      <c r="E598" s="304"/>
      <c r="F598" s="348"/>
      <c r="G598" s="482"/>
      <c r="H598" s="489"/>
    </row>
    <row r="599" spans="1:26" s="54" customFormat="1">
      <c r="A599" s="294"/>
      <c r="B599" s="307" t="s">
        <v>655</v>
      </c>
      <c r="C599" s="303"/>
      <c r="D599" s="308"/>
      <c r="E599" s="304"/>
      <c r="F599" s="348"/>
      <c r="G599" s="482"/>
      <c r="H599" s="489"/>
    </row>
    <row r="600" spans="1:26" s="54" customFormat="1" ht="25.5">
      <c r="A600" s="294"/>
      <c r="B600" s="206" t="s">
        <v>679</v>
      </c>
      <c r="C600" s="303"/>
      <c r="D600" s="308"/>
      <c r="E600" s="304"/>
      <c r="F600" s="348"/>
      <c r="G600" s="482"/>
      <c r="H600" s="489"/>
    </row>
    <row r="601" spans="1:26" s="54" customFormat="1">
      <c r="A601" s="294"/>
      <c r="B601" s="206"/>
      <c r="C601" s="303"/>
      <c r="D601" s="308"/>
      <c r="E601" s="304"/>
      <c r="F601" s="348"/>
      <c r="G601" s="482"/>
      <c r="H601" s="489"/>
    </row>
    <row r="602" spans="1:26" s="4" customFormat="1">
      <c r="A602" s="10"/>
      <c r="B602" s="5"/>
      <c r="C602" s="194"/>
      <c r="D602" s="9"/>
      <c r="E602" s="11"/>
      <c r="F602" s="339"/>
      <c r="H602" s="489"/>
    </row>
    <row r="603" spans="1:26" s="4" customFormat="1">
      <c r="A603" s="10"/>
      <c r="C603" s="194"/>
      <c r="D603" s="9"/>
      <c r="E603" s="11"/>
      <c r="F603" s="339"/>
      <c r="H603" s="489"/>
    </row>
    <row r="604" spans="1:26" s="54" customFormat="1" ht="85.5" customHeight="1">
      <c r="A604" s="306" t="s">
        <v>353</v>
      </c>
      <c r="B604" s="4" t="s">
        <v>896</v>
      </c>
      <c r="C604" s="187"/>
      <c r="D604" s="56"/>
      <c r="E604" s="56"/>
      <c r="F604" s="343"/>
      <c r="H604" s="489"/>
    </row>
    <row r="605" spans="1:26" s="191" customFormat="1" ht="16.5" customHeight="1">
      <c r="A605" s="294"/>
      <c r="B605" s="217" t="s">
        <v>652</v>
      </c>
      <c r="C605" s="309"/>
      <c r="D605" s="304"/>
      <c r="E605" s="304"/>
      <c r="F605" s="198"/>
      <c r="G605" s="482"/>
      <c r="H605" s="489"/>
      <c r="I605" s="54"/>
      <c r="J605" s="54"/>
      <c r="K605" s="54"/>
      <c r="L605" s="54"/>
      <c r="M605" s="54"/>
      <c r="N605" s="54"/>
      <c r="O605" s="54"/>
      <c r="P605" s="54"/>
      <c r="Q605" s="54"/>
      <c r="R605" s="54"/>
      <c r="S605" s="54"/>
      <c r="T605" s="54"/>
      <c r="U605" s="54"/>
      <c r="V605" s="54"/>
      <c r="W605" s="54"/>
      <c r="X605" s="54"/>
      <c r="Y605" s="54"/>
      <c r="Z605" s="54"/>
    </row>
    <row r="606" spans="1:26" s="191" customFormat="1">
      <c r="A606" s="294"/>
      <c r="B606" s="310" t="s">
        <v>897</v>
      </c>
      <c r="C606" s="303"/>
      <c r="D606" s="304"/>
      <c r="E606" s="304"/>
      <c r="F606" s="348"/>
      <c r="G606" s="482"/>
      <c r="H606" s="489"/>
      <c r="I606" s="54"/>
      <c r="J606" s="54"/>
      <c r="K606" s="54"/>
      <c r="L606" s="54"/>
      <c r="M606" s="54"/>
      <c r="N606" s="54"/>
      <c r="O606" s="54"/>
      <c r="P606" s="54"/>
      <c r="Q606" s="54"/>
      <c r="R606" s="54"/>
      <c r="S606" s="54"/>
      <c r="T606" s="54"/>
      <c r="U606" s="54"/>
      <c r="V606" s="54"/>
      <c r="W606" s="54"/>
      <c r="X606" s="54"/>
      <c r="Y606" s="54"/>
      <c r="Z606" s="54"/>
    </row>
    <row r="607" spans="1:26" s="191" customFormat="1">
      <c r="A607" s="294"/>
      <c r="B607" s="302" t="s">
        <v>660</v>
      </c>
      <c r="C607" s="303"/>
      <c r="D607" s="304"/>
      <c r="E607" s="304"/>
      <c r="F607" s="348"/>
      <c r="G607" s="482"/>
      <c r="H607" s="489"/>
      <c r="I607" s="54"/>
      <c r="J607" s="54"/>
      <c r="K607" s="54"/>
      <c r="L607" s="54"/>
      <c r="M607" s="54"/>
      <c r="N607" s="54"/>
      <c r="O607" s="54"/>
      <c r="P607" s="54"/>
      <c r="Q607" s="54"/>
      <c r="R607" s="54"/>
      <c r="S607" s="54"/>
      <c r="T607" s="54"/>
      <c r="U607" s="54"/>
      <c r="V607" s="54"/>
      <c r="W607" s="54"/>
      <c r="X607" s="54"/>
      <c r="Y607" s="54"/>
      <c r="Z607" s="54"/>
    </row>
    <row r="608" spans="1:26" s="191" customFormat="1">
      <c r="A608" s="294"/>
      <c r="B608" s="302" t="s">
        <v>661</v>
      </c>
      <c r="C608" s="309" t="s">
        <v>317</v>
      </c>
      <c r="D608" s="304">
        <v>370</v>
      </c>
      <c r="E608" s="304"/>
      <c r="F608" s="198">
        <f t="shared" ref="F608" si="66">ROUND(D608*E608,2)</f>
        <v>0</v>
      </c>
      <c r="G608" s="481"/>
      <c r="H608" s="494" t="s">
        <v>1022</v>
      </c>
      <c r="I608" s="54"/>
      <c r="J608" s="54"/>
      <c r="K608" s="54"/>
      <c r="L608" s="54"/>
      <c r="M608" s="54"/>
      <c r="N608" s="54"/>
      <c r="O608" s="54"/>
      <c r="P608" s="54"/>
      <c r="Q608" s="54"/>
      <c r="R608" s="54"/>
      <c r="S608" s="54"/>
      <c r="T608" s="54"/>
      <c r="U608" s="54"/>
      <c r="V608" s="54"/>
      <c r="W608" s="54"/>
      <c r="X608" s="54"/>
      <c r="Y608" s="54"/>
      <c r="Z608" s="54"/>
    </row>
    <row r="609" spans="1:9" s="54" customFormat="1">
      <c r="A609" s="294"/>
      <c r="B609" s="188"/>
      <c r="C609" s="189"/>
      <c r="D609" s="190"/>
      <c r="E609" s="190"/>
      <c r="F609" s="348"/>
      <c r="G609" s="481"/>
      <c r="H609" s="489"/>
    </row>
    <row r="610" spans="1:9" s="315" customFormat="1">
      <c r="A610" s="10"/>
      <c r="B610" s="293"/>
      <c r="C610" s="62"/>
      <c r="D610" s="11"/>
      <c r="E610" s="165">
        <v>0</v>
      </c>
      <c r="F610" s="198"/>
      <c r="G610" s="9"/>
      <c r="H610" s="487"/>
      <c r="I610" s="211"/>
    </row>
    <row r="611" spans="1:9" s="315" customFormat="1" ht="25.5">
      <c r="A611" s="306" t="s">
        <v>376</v>
      </c>
      <c r="B611" s="212" t="s">
        <v>659</v>
      </c>
      <c r="C611" s="184"/>
      <c r="D611" s="301"/>
      <c r="E611" s="213">
        <v>0</v>
      </c>
      <c r="F611" s="209"/>
      <c r="G611" s="210"/>
      <c r="H611" s="487"/>
      <c r="I611" s="211"/>
    </row>
    <row r="612" spans="1:9" s="315" customFormat="1">
      <c r="A612" s="20"/>
      <c r="B612" s="212" t="s">
        <v>653</v>
      </c>
      <c r="C612" s="184"/>
      <c r="D612" s="301"/>
      <c r="E612" s="213">
        <v>0</v>
      </c>
      <c r="F612" s="209"/>
      <c r="G612" s="210"/>
      <c r="H612" s="487"/>
      <c r="I612" s="211"/>
    </row>
    <row r="613" spans="1:9" s="315" customFormat="1" ht="63.75">
      <c r="A613" s="20"/>
      <c r="B613" s="212" t="s">
        <v>654</v>
      </c>
      <c r="C613" s="184"/>
      <c r="D613" s="301"/>
      <c r="E613" s="213">
        <v>0</v>
      </c>
      <c r="F613" s="209"/>
      <c r="G613" s="210"/>
      <c r="H613" s="487"/>
      <c r="I613" s="211"/>
    </row>
    <row r="614" spans="1:9" s="315" customFormat="1">
      <c r="A614" s="20"/>
      <c r="B614" s="316" t="s">
        <v>655</v>
      </c>
      <c r="C614" s="184"/>
      <c r="D614" s="301"/>
      <c r="E614" s="213">
        <v>0</v>
      </c>
      <c r="F614" s="209"/>
      <c r="G614" s="210"/>
      <c r="H614" s="487"/>
      <c r="I614" s="211"/>
    </row>
    <row r="615" spans="1:9" s="315" customFormat="1">
      <c r="A615" s="20"/>
      <c r="B615" s="316" t="s">
        <v>656</v>
      </c>
      <c r="C615" s="184"/>
      <c r="D615" s="301"/>
      <c r="E615" s="213">
        <v>0</v>
      </c>
      <c r="F615" s="209"/>
      <c r="G615" s="210"/>
      <c r="H615" s="487"/>
      <c r="I615" s="211"/>
    </row>
    <row r="616" spans="1:9" s="315" customFormat="1">
      <c r="A616" s="20"/>
      <c r="B616" s="44" t="s">
        <v>657</v>
      </c>
      <c r="C616" s="184"/>
      <c r="D616" s="301"/>
      <c r="E616" s="213">
        <v>0</v>
      </c>
      <c r="F616" s="209"/>
      <c r="G616" s="210"/>
      <c r="H616" s="487"/>
      <c r="I616" s="211"/>
    </row>
    <row r="617" spans="1:9" s="315" customFormat="1" ht="63.75">
      <c r="A617" s="20"/>
      <c r="B617" s="212" t="s">
        <v>658</v>
      </c>
      <c r="C617" s="184"/>
      <c r="D617" s="301"/>
      <c r="E617" s="213">
        <v>0</v>
      </c>
      <c r="F617" s="209"/>
      <c r="G617" s="210"/>
      <c r="H617" s="487"/>
      <c r="I617" s="211"/>
    </row>
    <row r="618" spans="1:9" s="315" customFormat="1">
      <c r="A618" s="20"/>
      <c r="B618" s="316"/>
      <c r="C618" s="184"/>
      <c r="D618" s="301"/>
      <c r="E618" s="213">
        <v>0</v>
      </c>
      <c r="F618" s="209"/>
      <c r="G618" s="210"/>
      <c r="H618" s="487"/>
      <c r="I618" s="211"/>
    </row>
    <row r="619" spans="1:9" s="315" customFormat="1">
      <c r="A619" s="20"/>
      <c r="B619" s="316" t="s">
        <v>901</v>
      </c>
      <c r="C619" s="45" t="s">
        <v>322</v>
      </c>
      <c r="D619" s="42">
        <v>28</v>
      </c>
      <c r="E619" s="441"/>
      <c r="F619" s="198">
        <f t="shared" ref="F619:F622" si="67">ROUND(D619*E619,2)</f>
        <v>0</v>
      </c>
      <c r="G619" s="9"/>
      <c r="H619" s="494" t="s">
        <v>1022</v>
      </c>
      <c r="I619" s="211"/>
    </row>
    <row r="620" spans="1:9" s="7" customFormat="1">
      <c r="A620" s="10"/>
      <c r="B620" s="16" t="s">
        <v>742</v>
      </c>
      <c r="C620" s="45" t="s">
        <v>322</v>
      </c>
      <c r="D620" s="236">
        <v>25</v>
      </c>
      <c r="E620" s="42"/>
      <c r="F620" s="198">
        <f t="shared" si="67"/>
        <v>0</v>
      </c>
      <c r="G620" s="42"/>
      <c r="H620" s="494" t="s">
        <v>1022</v>
      </c>
    </row>
    <row r="621" spans="1:9" s="7" customFormat="1">
      <c r="A621" s="10"/>
      <c r="B621" s="16" t="s">
        <v>746</v>
      </c>
      <c r="C621" s="45" t="s">
        <v>322</v>
      </c>
      <c r="D621" s="236">
        <v>25</v>
      </c>
      <c r="E621" s="42"/>
      <c r="F621" s="198">
        <f t="shared" si="67"/>
        <v>0</v>
      </c>
      <c r="G621" s="42"/>
      <c r="H621" s="494" t="s">
        <v>1022</v>
      </c>
    </row>
    <row r="622" spans="1:9" s="7" customFormat="1">
      <c r="A622" s="10"/>
      <c r="B622" s="16" t="s">
        <v>744</v>
      </c>
      <c r="C622" s="45" t="s">
        <v>322</v>
      </c>
      <c r="D622" s="236">
        <v>25</v>
      </c>
      <c r="E622" s="42"/>
      <c r="F622" s="198">
        <f t="shared" si="67"/>
        <v>0</v>
      </c>
      <c r="G622" s="42"/>
      <c r="H622" s="494" t="s">
        <v>1022</v>
      </c>
    </row>
    <row r="623" spans="1:9" s="7" customFormat="1">
      <c r="A623" s="10"/>
      <c r="B623" s="16" t="s">
        <v>902</v>
      </c>
      <c r="C623" s="45" t="s">
        <v>322</v>
      </c>
      <c r="D623" s="236">
        <v>31</v>
      </c>
      <c r="E623" s="42"/>
      <c r="F623" s="198">
        <f>ROUND(D623*E623,2)</f>
        <v>0</v>
      </c>
      <c r="G623" s="42"/>
      <c r="H623" s="494" t="s">
        <v>1022</v>
      </c>
    </row>
    <row r="624" spans="1:9" s="315" customFormat="1">
      <c r="A624" s="20"/>
      <c r="B624" s="316" t="s">
        <v>903</v>
      </c>
      <c r="C624" s="45" t="s">
        <v>322</v>
      </c>
      <c r="D624" s="236">
        <v>25</v>
      </c>
      <c r="E624" s="42"/>
      <c r="F624" s="198">
        <f t="shared" ref="F624" si="68">ROUND(D624*E624,2)</f>
        <v>0</v>
      </c>
      <c r="G624" s="210"/>
      <c r="H624" s="494" t="s">
        <v>1022</v>
      </c>
      <c r="I624" s="211"/>
    </row>
    <row r="625" spans="1:10" s="315" customFormat="1">
      <c r="A625" s="20"/>
      <c r="B625" s="316"/>
      <c r="C625" s="45"/>
      <c r="D625" s="236"/>
      <c r="E625" s="42"/>
      <c r="F625" s="198"/>
      <c r="G625" s="210"/>
      <c r="H625" s="487"/>
      <c r="I625" s="211"/>
    </row>
    <row r="626" spans="1:10" s="54" customFormat="1">
      <c r="A626" s="294"/>
      <c r="B626" s="188"/>
      <c r="C626" s="189"/>
      <c r="D626" s="190"/>
      <c r="E626" s="190"/>
      <c r="F626" s="348"/>
      <c r="G626" s="481"/>
      <c r="H626" s="489"/>
    </row>
    <row r="627" spans="1:10" s="54" customFormat="1" ht="51">
      <c r="A627" s="306" t="s">
        <v>383</v>
      </c>
      <c r="B627" s="311" t="s">
        <v>905</v>
      </c>
      <c r="C627" s="303" t="s">
        <v>317</v>
      </c>
      <c r="D627" s="308">
        <v>110</v>
      </c>
      <c r="E627" s="304"/>
      <c r="F627" s="198">
        <f t="shared" ref="F627" si="69">ROUND(D627*E627,2)</f>
        <v>0</v>
      </c>
      <c r="G627" s="483"/>
      <c r="H627" s="494" t="s">
        <v>1022</v>
      </c>
    </row>
    <row r="628" spans="1:10" s="54" customFormat="1">
      <c r="A628" s="294"/>
      <c r="B628" s="188"/>
      <c r="C628" s="189"/>
      <c r="D628" s="190"/>
      <c r="E628" s="190"/>
      <c r="F628" s="348"/>
      <c r="G628" s="481"/>
      <c r="H628" s="489"/>
    </row>
    <row r="629" spans="1:10" s="7" customFormat="1" ht="12.75" customHeight="1">
      <c r="A629" s="10"/>
      <c r="B629" s="16"/>
      <c r="C629" s="45"/>
      <c r="D629" s="236"/>
      <c r="E629" s="417"/>
      <c r="F629" s="417"/>
      <c r="G629" s="192"/>
      <c r="H629" s="490"/>
    </row>
    <row r="630" spans="1:10" s="7" customFormat="1" ht="25.5">
      <c r="A630" s="10" t="s">
        <v>385</v>
      </c>
      <c r="B630" s="16" t="s">
        <v>906</v>
      </c>
      <c r="C630" s="45"/>
      <c r="D630" s="236"/>
      <c r="E630" s="417"/>
      <c r="F630" s="442"/>
      <c r="G630" s="192"/>
      <c r="H630" s="490"/>
    </row>
    <row r="631" spans="1:10" s="7" customFormat="1">
      <c r="A631" s="10"/>
      <c r="B631" s="16" t="s">
        <v>733</v>
      </c>
      <c r="C631" s="45"/>
      <c r="D631" s="236"/>
      <c r="E631" s="417"/>
      <c r="F631" s="442"/>
      <c r="G631" s="192"/>
      <c r="H631" s="490"/>
    </row>
    <row r="632" spans="1:10" s="7" customFormat="1" ht="27" customHeight="1">
      <c r="A632" s="10"/>
      <c r="B632" s="16" t="s">
        <v>587</v>
      </c>
      <c r="C632" s="45" t="s">
        <v>322</v>
      </c>
      <c r="D632" s="42">
        <v>9</v>
      </c>
      <c r="E632" s="417"/>
      <c r="F632" s="198">
        <f t="shared" ref="F632" si="70">ROUND(D632*E632,2)</f>
        <v>0</v>
      </c>
      <c r="G632" s="192"/>
      <c r="H632" s="494" t="s">
        <v>1022</v>
      </c>
      <c r="I632" s="443"/>
      <c r="J632" s="73"/>
    </row>
    <row r="633" spans="1:10" s="6" customFormat="1">
      <c r="A633" s="20"/>
      <c r="B633" s="16"/>
      <c r="C633" s="45"/>
      <c r="D633" s="139"/>
      <c r="E633" s="167"/>
      <c r="F633" s="342"/>
      <c r="G633" s="18"/>
      <c r="H633" s="490"/>
    </row>
    <row r="634" spans="1:10" s="54" customFormat="1">
      <c r="A634" s="294"/>
      <c r="B634" s="311" t="s">
        <v>650</v>
      </c>
      <c r="C634" s="303"/>
      <c r="D634" s="308"/>
      <c r="E634" s="304"/>
      <c r="F634" s="348"/>
      <c r="G634" s="482"/>
      <c r="H634" s="489"/>
    </row>
    <row r="635" spans="1:10" s="54" customFormat="1" ht="45.75" customHeight="1">
      <c r="A635" s="10" t="s">
        <v>387</v>
      </c>
      <c r="B635" s="206" t="s">
        <v>662</v>
      </c>
      <c r="C635" s="303"/>
      <c r="D635" s="318"/>
      <c r="E635" s="319"/>
      <c r="F635" s="320"/>
      <c r="G635" s="482"/>
      <c r="H635" s="489"/>
    </row>
    <row r="636" spans="1:10" s="54" customFormat="1" ht="38.25">
      <c r="A636" s="294"/>
      <c r="B636" s="217" t="s">
        <v>665</v>
      </c>
      <c r="C636" s="321"/>
      <c r="D636" s="320"/>
      <c r="E636" s="320"/>
      <c r="F636" s="320"/>
      <c r="G636" s="481"/>
      <c r="H636" s="489"/>
    </row>
    <row r="637" spans="1:10" s="58" customFormat="1">
      <c r="A637" s="294"/>
      <c r="B637" s="206" t="s">
        <v>663</v>
      </c>
      <c r="C637" s="303" t="s">
        <v>322</v>
      </c>
      <c r="D637" s="308">
        <v>28</v>
      </c>
      <c r="E637" s="304"/>
      <c r="F637" s="198">
        <f t="shared" ref="F637" si="71">ROUND(D637*E637,2)</f>
        <v>0</v>
      </c>
      <c r="G637" s="484"/>
      <c r="H637" s="494" t="s">
        <v>1022</v>
      </c>
    </row>
    <row r="638" spans="1:10" s="58" customFormat="1">
      <c r="A638" s="294"/>
      <c r="B638" s="206"/>
      <c r="C638" s="303"/>
      <c r="D638" s="308"/>
      <c r="E638" s="304"/>
      <c r="F638" s="198"/>
      <c r="G638" s="484"/>
      <c r="H638" s="490"/>
    </row>
    <row r="639" spans="1:10" s="5" customFormat="1">
      <c r="A639" s="294"/>
      <c r="B639" s="305"/>
      <c r="C639" s="303"/>
      <c r="D639" s="308"/>
      <c r="E639" s="304"/>
      <c r="F639" s="341" t="str">
        <f>IF(D:D*E:E=0," ",D:D*E:E)</f>
        <v xml:space="preserve"> </v>
      </c>
      <c r="G639" s="481"/>
      <c r="H639" s="489"/>
    </row>
    <row r="640" spans="1:10" s="315" customFormat="1" ht="67.5" customHeight="1">
      <c r="A640" s="10" t="s">
        <v>389</v>
      </c>
      <c r="B640" s="212" t="s">
        <v>904</v>
      </c>
      <c r="C640" s="184"/>
      <c r="D640" s="301"/>
      <c r="E640" s="208">
        <v>0</v>
      </c>
      <c r="F640" s="209"/>
      <c r="G640" s="210"/>
      <c r="H640" s="487"/>
      <c r="I640" s="211"/>
    </row>
    <row r="641" spans="1:9" s="292" customFormat="1">
      <c r="A641" s="10"/>
      <c r="B641" s="212"/>
      <c r="C641" s="184" t="s">
        <v>322</v>
      </c>
      <c r="D641" s="301">
        <v>72</v>
      </c>
      <c r="E641" s="208"/>
      <c r="F641" s="198">
        <f t="shared" ref="F641" si="72">ROUND(D641*E641,2)</f>
        <v>0</v>
      </c>
      <c r="G641" s="9"/>
      <c r="H641" s="494" t="s">
        <v>1022</v>
      </c>
      <c r="I641" s="211"/>
    </row>
    <row r="642" spans="1:9" s="54" customFormat="1">
      <c r="A642" s="10"/>
      <c r="C642" s="187"/>
      <c r="D642" s="52"/>
      <c r="E642" s="170"/>
      <c r="F642" s="341"/>
      <c r="H642" s="489"/>
    </row>
    <row r="643" spans="1:9" s="54" customFormat="1">
      <c r="A643" s="10" t="s">
        <v>391</v>
      </c>
      <c r="B643" s="54" t="s">
        <v>664</v>
      </c>
      <c r="C643" s="187"/>
      <c r="D643" s="56"/>
      <c r="E643" s="56"/>
      <c r="F643" s="341"/>
      <c r="H643" s="489"/>
    </row>
    <row r="644" spans="1:9" s="54" customFormat="1" ht="51">
      <c r="A644" s="10"/>
      <c r="B644" s="4" t="s">
        <v>907</v>
      </c>
      <c r="C644" s="187" t="s">
        <v>322</v>
      </c>
      <c r="D644" s="52">
        <v>24</v>
      </c>
      <c r="E644" s="170"/>
      <c r="F644" s="198">
        <f t="shared" ref="F644" si="73">ROUND(D644*E644,2)</f>
        <v>0</v>
      </c>
      <c r="H644" s="494" t="s">
        <v>1022</v>
      </c>
    </row>
    <row r="645" spans="1:9" s="54" customFormat="1">
      <c r="A645" s="10"/>
      <c r="C645" s="187"/>
      <c r="D645" s="56"/>
      <c r="E645" s="170"/>
      <c r="F645" s="13"/>
      <c r="H645" s="489"/>
    </row>
    <row r="646" spans="1:9" s="4" customFormat="1">
      <c r="A646" s="10"/>
      <c r="C646" s="194"/>
      <c r="D646" s="9"/>
      <c r="E646" s="11"/>
      <c r="F646" s="339"/>
      <c r="H646" s="489"/>
    </row>
    <row r="647" spans="1:9" s="4" customFormat="1">
      <c r="A647" s="38" t="s">
        <v>315</v>
      </c>
      <c r="B647" s="169" t="s">
        <v>552</v>
      </c>
      <c r="C647" s="252"/>
      <c r="D647" s="253"/>
      <c r="E647" s="241"/>
      <c r="F647" s="338">
        <f>SUM(F593:F646)</f>
        <v>0</v>
      </c>
      <c r="H647" s="489"/>
    </row>
    <row r="648" spans="1:9" s="4" customFormat="1">
      <c r="A648" s="176"/>
      <c r="B648" s="177"/>
      <c r="C648" s="194"/>
      <c r="D648" s="9"/>
      <c r="E648" s="11"/>
      <c r="F648" s="339"/>
      <c r="H648" s="489"/>
    </row>
    <row r="649" spans="1:9" s="4" customFormat="1">
      <c r="A649" s="10"/>
      <c r="C649" s="194"/>
      <c r="D649" s="9"/>
      <c r="E649" s="11"/>
      <c r="F649" s="339"/>
      <c r="H649" s="489"/>
    </row>
    <row r="650" spans="1:9" s="4" customFormat="1">
      <c r="A650" s="38" t="s">
        <v>318</v>
      </c>
      <c r="B650" s="168" t="s">
        <v>366</v>
      </c>
      <c r="C650" s="194"/>
      <c r="D650" s="9"/>
      <c r="E650" s="11"/>
      <c r="F650" s="339"/>
      <c r="H650" s="489"/>
    </row>
    <row r="651" spans="1:9" s="4" customFormat="1">
      <c r="A651" s="10"/>
      <c r="B651" s="5"/>
      <c r="C651" s="194"/>
      <c r="D651" s="9"/>
      <c r="E651" s="11"/>
      <c r="F651" s="339"/>
      <c r="H651" s="489"/>
    </row>
    <row r="652" spans="1:9" s="50" customFormat="1">
      <c r="A652" s="406" t="s">
        <v>353</v>
      </c>
      <c r="B652" s="407" t="s">
        <v>1017</v>
      </c>
      <c r="C652" s="404"/>
      <c r="D652" s="228"/>
      <c r="E652" s="398"/>
      <c r="F652" s="405"/>
      <c r="H652" s="489"/>
    </row>
    <row r="653" spans="1:9" s="325" customFormat="1" ht="38.25">
      <c r="A653" s="447"/>
      <c r="B653" s="50" t="s">
        <v>982</v>
      </c>
      <c r="C653" s="449"/>
      <c r="D653" s="229"/>
      <c r="E653" s="450"/>
      <c r="F653" s="451"/>
      <c r="H653" s="489"/>
    </row>
    <row r="654" spans="1:9" s="325" customFormat="1" ht="38.25">
      <c r="A654" s="447"/>
      <c r="B654" s="50" t="s">
        <v>977</v>
      </c>
      <c r="C654" s="449"/>
      <c r="D654" s="229"/>
      <c r="E654" s="450"/>
      <c r="F654" s="451"/>
      <c r="H654" s="489"/>
    </row>
    <row r="655" spans="1:9" s="50" customFormat="1">
      <c r="A655" s="48"/>
      <c r="B655" s="60" t="s">
        <v>696</v>
      </c>
      <c r="C655" s="202"/>
      <c r="D655" s="228"/>
      <c r="E655" s="228"/>
      <c r="F655" s="405"/>
      <c r="H655" s="489"/>
    </row>
    <row r="656" spans="1:9" s="50" customFormat="1" ht="25.5">
      <c r="A656" s="48"/>
      <c r="B656" s="60" t="s">
        <v>978</v>
      </c>
      <c r="C656" s="202"/>
      <c r="D656" s="228"/>
      <c r="E656" s="228"/>
      <c r="F656" s="405"/>
      <c r="H656" s="489"/>
    </row>
    <row r="657" spans="1:8" s="325" customFormat="1" ht="67.5" customHeight="1">
      <c r="A657" s="447"/>
      <c r="B657" s="50" t="s">
        <v>981</v>
      </c>
      <c r="C657" s="449"/>
      <c r="D657" s="229"/>
      <c r="E657" s="450"/>
      <c r="F657" s="451"/>
      <c r="H657" s="489"/>
    </row>
    <row r="658" spans="1:8" s="325" customFormat="1" ht="25.5">
      <c r="A658" s="452"/>
      <c r="B658" s="50" t="s">
        <v>695</v>
      </c>
      <c r="C658" s="326"/>
      <c r="D658" s="229"/>
      <c r="E658" s="229"/>
      <c r="F658" s="451"/>
      <c r="H658" s="489"/>
    </row>
    <row r="659" spans="1:8" s="50" customFormat="1" ht="25.5">
      <c r="A659" s="48"/>
      <c r="B659" s="409" t="s">
        <v>681</v>
      </c>
      <c r="C659" s="408"/>
      <c r="D659" s="409"/>
      <c r="E659" s="409"/>
      <c r="F659" s="405"/>
      <c r="H659" s="489"/>
    </row>
    <row r="660" spans="1:8" s="325" customFormat="1" ht="28.5" customHeight="1">
      <c r="A660" s="455"/>
      <c r="B660" s="409" t="s">
        <v>670</v>
      </c>
      <c r="C660" s="454"/>
      <c r="D660" s="453"/>
      <c r="E660" s="453"/>
      <c r="F660" s="451"/>
      <c r="H660" s="489"/>
    </row>
    <row r="661" spans="1:8" s="325" customFormat="1" ht="38.25">
      <c r="A661" s="452"/>
      <c r="B661" s="50" t="s">
        <v>682</v>
      </c>
      <c r="C661" s="326"/>
      <c r="D661" s="229"/>
      <c r="E661" s="229"/>
      <c r="F661" s="451"/>
      <c r="H661" s="489"/>
    </row>
    <row r="662" spans="1:8" s="50" customFormat="1">
      <c r="A662" s="460"/>
      <c r="B662" s="409" t="s">
        <v>680</v>
      </c>
      <c r="C662" s="461"/>
      <c r="D662" s="462"/>
      <c r="E662" s="462"/>
      <c r="F662" s="405"/>
      <c r="H662" s="489"/>
    </row>
    <row r="663" spans="1:8" s="50" customFormat="1" ht="25.5">
      <c r="A663" s="48"/>
      <c r="B663" s="14" t="s">
        <v>979</v>
      </c>
      <c r="C663" s="404"/>
      <c r="D663" s="228"/>
      <c r="E663" s="398"/>
      <c r="F663" s="405"/>
      <c r="H663" s="489"/>
    </row>
    <row r="664" spans="1:8" s="50" customFormat="1">
      <c r="A664" s="48"/>
      <c r="B664" s="5" t="s">
        <v>980</v>
      </c>
      <c r="C664" s="202"/>
      <c r="D664" s="228"/>
      <c r="E664" s="228"/>
      <c r="F664" s="405"/>
      <c r="H664" s="489"/>
    </row>
    <row r="665" spans="1:8" s="50" customFormat="1">
      <c r="A665" s="48"/>
      <c r="B665" s="5" t="s">
        <v>668</v>
      </c>
      <c r="C665" s="404"/>
      <c r="D665" s="228"/>
      <c r="E665" s="398"/>
      <c r="F665" s="405"/>
      <c r="H665" s="489"/>
    </row>
    <row r="666" spans="1:8" s="50" customFormat="1">
      <c r="A666" s="48"/>
      <c r="B666" s="464" t="s">
        <v>763</v>
      </c>
      <c r="C666" s="202" t="s">
        <v>316</v>
      </c>
      <c r="D666" s="228">
        <v>1</v>
      </c>
      <c r="E666" s="228"/>
      <c r="F666" s="198">
        <f t="shared" ref="F666" si="74">ROUND(D666*E666,2)</f>
        <v>0</v>
      </c>
      <c r="H666" s="489" t="s">
        <v>1023</v>
      </c>
    </row>
    <row r="667" spans="1:8" s="325" customFormat="1">
      <c r="A667" s="452"/>
      <c r="B667" s="448"/>
      <c r="C667" s="326"/>
      <c r="D667" s="229"/>
      <c r="E667" s="229"/>
      <c r="F667" s="456"/>
      <c r="H667" s="489"/>
    </row>
    <row r="668" spans="1:8" s="325" customFormat="1">
      <c r="A668" s="452"/>
      <c r="B668" s="448"/>
      <c r="C668" s="326"/>
      <c r="D668" s="457"/>
      <c r="E668" s="229"/>
      <c r="F668" s="458"/>
      <c r="H668" s="489"/>
    </row>
    <row r="669" spans="1:8" s="5" customFormat="1">
      <c r="A669" s="317" t="s">
        <v>376</v>
      </c>
      <c r="B669" s="5" t="s">
        <v>983</v>
      </c>
      <c r="C669" s="192"/>
      <c r="D669" s="28"/>
      <c r="E669" s="18"/>
      <c r="F669" s="366"/>
      <c r="H669" s="489"/>
    </row>
    <row r="670" spans="1:8" s="325" customFormat="1" ht="25.5">
      <c r="A670" s="447"/>
      <c r="B670" s="50" t="s">
        <v>984</v>
      </c>
      <c r="C670" s="449"/>
      <c r="D670" s="229"/>
      <c r="E670" s="450"/>
      <c r="F670" s="451"/>
      <c r="H670" s="489"/>
    </row>
    <row r="671" spans="1:8" s="50" customFormat="1">
      <c r="A671" s="48"/>
      <c r="B671" s="60" t="s">
        <v>985</v>
      </c>
      <c r="C671" s="202"/>
      <c r="D671" s="228"/>
      <c r="E671" s="228"/>
      <c r="F671" s="405"/>
      <c r="H671" s="489"/>
    </row>
    <row r="672" spans="1:8" s="50" customFormat="1" ht="38.25">
      <c r="A672" s="48"/>
      <c r="B672" s="60" t="s">
        <v>986</v>
      </c>
      <c r="C672" s="202"/>
      <c r="D672" s="228"/>
      <c r="E672" s="228"/>
      <c r="F672" s="405"/>
      <c r="H672" s="489"/>
    </row>
    <row r="673" spans="1:8" s="325" customFormat="1" ht="15" customHeight="1">
      <c r="A673" s="447"/>
      <c r="B673" s="50" t="s">
        <v>988</v>
      </c>
      <c r="C673" s="449"/>
      <c r="D673" s="229"/>
      <c r="E673" s="450"/>
      <c r="F673" s="451"/>
      <c r="H673" s="489"/>
    </row>
    <row r="674" spans="1:8" s="325" customFormat="1" ht="38.25">
      <c r="A674" s="447"/>
      <c r="B674" s="50" t="s">
        <v>987</v>
      </c>
      <c r="C674" s="449"/>
      <c r="D674" s="229"/>
      <c r="E674" s="450"/>
      <c r="F674" s="451"/>
      <c r="H674" s="489"/>
    </row>
    <row r="675" spans="1:8" s="325" customFormat="1" ht="25.5">
      <c r="A675" s="447"/>
      <c r="B675" s="50" t="s">
        <v>990</v>
      </c>
      <c r="C675" s="449"/>
      <c r="D675" s="229"/>
      <c r="E675" s="450"/>
      <c r="F675" s="451"/>
      <c r="H675" s="489"/>
    </row>
    <row r="676" spans="1:8" s="325" customFormat="1" ht="28.5" customHeight="1">
      <c r="A676" s="455"/>
      <c r="B676" s="409" t="s">
        <v>670</v>
      </c>
      <c r="C676" s="454"/>
      <c r="D676" s="453"/>
      <c r="E676" s="453"/>
      <c r="F676" s="451"/>
      <c r="H676" s="489"/>
    </row>
    <row r="677" spans="1:8" s="50" customFormat="1" ht="38.25">
      <c r="A677" s="48"/>
      <c r="B677" s="50" t="s">
        <v>989</v>
      </c>
      <c r="C677" s="202"/>
      <c r="D677" s="228"/>
      <c r="E677" s="228"/>
      <c r="F677" s="405"/>
      <c r="H677" s="489"/>
    </row>
    <row r="678" spans="1:8" s="325" customFormat="1" ht="13.5" customHeight="1">
      <c r="A678" s="452"/>
      <c r="B678" s="50" t="s">
        <v>992</v>
      </c>
      <c r="C678" s="326"/>
      <c r="D678" s="229"/>
      <c r="E678" s="229"/>
      <c r="F678" s="451"/>
      <c r="H678" s="489"/>
    </row>
    <row r="679" spans="1:8" s="325" customFormat="1" ht="27.75" customHeight="1">
      <c r="A679" s="452"/>
      <c r="B679" s="4" t="s">
        <v>991</v>
      </c>
      <c r="C679" s="326"/>
      <c r="D679" s="229"/>
      <c r="E679" s="229"/>
      <c r="F679" s="451"/>
      <c r="H679" s="489"/>
    </row>
    <row r="680" spans="1:8" s="325" customFormat="1" ht="27.75" customHeight="1">
      <c r="A680" s="452"/>
      <c r="B680" s="4" t="s">
        <v>993</v>
      </c>
      <c r="C680" s="326"/>
      <c r="D680" s="229"/>
      <c r="E680" s="229"/>
      <c r="F680" s="451"/>
      <c r="H680" s="489"/>
    </row>
    <row r="681" spans="1:8" s="325" customFormat="1" ht="25.5">
      <c r="A681" s="452"/>
      <c r="B681" s="463" t="s">
        <v>669</v>
      </c>
      <c r="C681" s="449"/>
      <c r="D681" s="229"/>
      <c r="E681" s="450"/>
      <c r="F681" s="451"/>
      <c r="H681" s="489"/>
    </row>
    <row r="682" spans="1:8" s="50" customFormat="1">
      <c r="A682" s="48"/>
      <c r="B682" s="50" t="s">
        <v>694</v>
      </c>
      <c r="C682" s="202"/>
      <c r="D682" s="228"/>
      <c r="E682" s="228"/>
      <c r="F682" s="405"/>
      <c r="H682" s="489"/>
    </row>
    <row r="683" spans="1:8" s="50" customFormat="1">
      <c r="A683" s="48"/>
      <c r="B683" s="5" t="s">
        <v>668</v>
      </c>
      <c r="C683" s="404"/>
      <c r="D683" s="228"/>
      <c r="E683" s="398"/>
      <c r="F683" s="405"/>
      <c r="H683" s="489"/>
    </row>
    <row r="684" spans="1:8" s="50" customFormat="1" ht="30" customHeight="1">
      <c r="A684" s="48"/>
      <c r="B684" s="14" t="s">
        <v>994</v>
      </c>
      <c r="C684" s="404"/>
      <c r="D684" s="228"/>
      <c r="E684" s="398"/>
      <c r="F684" s="405"/>
      <c r="H684" s="489"/>
    </row>
    <row r="685" spans="1:8" s="50" customFormat="1">
      <c r="A685" s="48"/>
      <c r="B685" s="464" t="s">
        <v>697</v>
      </c>
      <c r="C685" s="202" t="s">
        <v>316</v>
      </c>
      <c r="D685" s="228">
        <v>12</v>
      </c>
      <c r="E685" s="228"/>
      <c r="F685" s="198">
        <f t="shared" ref="F685" si="75">ROUND(D685*E685,2)</f>
        <v>0</v>
      </c>
      <c r="H685" s="489" t="s">
        <v>1023</v>
      </c>
    </row>
    <row r="686" spans="1:8" s="325" customFormat="1">
      <c r="A686" s="452"/>
      <c r="B686" s="448"/>
      <c r="C686" s="326"/>
      <c r="D686" s="229"/>
      <c r="E686" s="229"/>
      <c r="F686" s="456"/>
      <c r="H686" s="489"/>
    </row>
    <row r="687" spans="1:8" s="325" customFormat="1">
      <c r="A687" s="452"/>
      <c r="B687" s="448"/>
      <c r="C687" s="326"/>
      <c r="D687" s="457"/>
      <c r="E687" s="229"/>
      <c r="F687" s="458"/>
      <c r="H687" s="489"/>
    </row>
    <row r="688" spans="1:8" s="5" customFormat="1">
      <c r="A688" s="317" t="s">
        <v>383</v>
      </c>
      <c r="B688" s="5" t="s">
        <v>995</v>
      </c>
      <c r="C688" s="192"/>
      <c r="D688" s="28"/>
      <c r="E688" s="18"/>
      <c r="F688" s="366"/>
      <c r="H688" s="489"/>
    </row>
    <row r="689" spans="1:8" s="325" customFormat="1" ht="25.5">
      <c r="A689" s="447"/>
      <c r="B689" s="50" t="s">
        <v>998</v>
      </c>
      <c r="C689" s="449"/>
      <c r="D689" s="229"/>
      <c r="E689" s="450"/>
      <c r="F689" s="451"/>
      <c r="H689" s="489"/>
    </row>
    <row r="690" spans="1:8" s="50" customFormat="1">
      <c r="A690" s="48"/>
      <c r="B690" s="60" t="s">
        <v>997</v>
      </c>
      <c r="C690" s="202"/>
      <c r="D690" s="228"/>
      <c r="E690" s="228"/>
      <c r="F690" s="405"/>
      <c r="H690" s="489"/>
    </row>
    <row r="691" spans="1:8" s="50" customFormat="1" ht="51">
      <c r="A691" s="48"/>
      <c r="B691" s="60" t="s">
        <v>999</v>
      </c>
      <c r="C691" s="202"/>
      <c r="D691" s="228"/>
      <c r="E691" s="228"/>
      <c r="F691" s="405"/>
      <c r="H691" s="489"/>
    </row>
    <row r="692" spans="1:8" s="325" customFormat="1" ht="15" customHeight="1">
      <c r="A692" s="447"/>
      <c r="B692" s="50" t="s">
        <v>988</v>
      </c>
      <c r="C692" s="449"/>
      <c r="D692" s="229"/>
      <c r="E692" s="450"/>
      <c r="F692" s="451"/>
      <c r="H692" s="489"/>
    </row>
    <row r="693" spans="1:8" s="325" customFormat="1" ht="38.25">
      <c r="A693" s="447"/>
      <c r="B693" s="50" t="s">
        <v>987</v>
      </c>
      <c r="C693" s="449"/>
      <c r="D693" s="229"/>
      <c r="E693" s="450"/>
      <c r="F693" s="451"/>
      <c r="H693" s="489"/>
    </row>
    <row r="694" spans="1:8" s="325" customFormat="1" ht="25.5">
      <c r="A694" s="447"/>
      <c r="B694" s="50" t="s">
        <v>990</v>
      </c>
      <c r="C694" s="449"/>
      <c r="D694" s="229"/>
      <c r="E694" s="450"/>
      <c r="F694" s="451"/>
      <c r="H694" s="489"/>
    </row>
    <row r="695" spans="1:8" s="325" customFormat="1" ht="28.5" customHeight="1">
      <c r="A695" s="455"/>
      <c r="B695" s="409" t="s">
        <v>670</v>
      </c>
      <c r="C695" s="454"/>
      <c r="D695" s="453"/>
      <c r="E695" s="453"/>
      <c r="F695" s="451"/>
      <c r="H695" s="489"/>
    </row>
    <row r="696" spans="1:8" s="50" customFormat="1" ht="38.25">
      <c r="A696" s="48"/>
      <c r="B696" s="50" t="s">
        <v>989</v>
      </c>
      <c r="C696" s="202"/>
      <c r="D696" s="228"/>
      <c r="E696" s="228"/>
      <c r="F696" s="405"/>
      <c r="H696" s="489"/>
    </row>
    <row r="697" spans="1:8" s="325" customFormat="1" ht="13.5" customHeight="1">
      <c r="A697" s="452"/>
      <c r="B697" s="50" t="s">
        <v>992</v>
      </c>
      <c r="C697" s="326"/>
      <c r="D697" s="229"/>
      <c r="E697" s="229"/>
      <c r="F697" s="451"/>
      <c r="H697" s="489"/>
    </row>
    <row r="698" spans="1:8" s="325" customFormat="1" ht="27.75" customHeight="1">
      <c r="A698" s="452"/>
      <c r="B698" s="4" t="s">
        <v>991</v>
      </c>
      <c r="C698" s="326"/>
      <c r="D698" s="229"/>
      <c r="E698" s="229"/>
      <c r="F698" s="451"/>
      <c r="H698" s="489"/>
    </row>
    <row r="699" spans="1:8" s="325" customFormat="1" ht="27.75" customHeight="1">
      <c r="A699" s="452"/>
      <c r="B699" s="4" t="s">
        <v>993</v>
      </c>
      <c r="C699" s="326"/>
      <c r="D699" s="229"/>
      <c r="E699" s="229"/>
      <c r="F699" s="451"/>
      <c r="H699" s="489"/>
    </row>
    <row r="700" spans="1:8" s="325" customFormat="1" ht="25.5">
      <c r="A700" s="452"/>
      <c r="B700" s="463" t="s">
        <v>669</v>
      </c>
      <c r="C700" s="449"/>
      <c r="D700" s="229"/>
      <c r="E700" s="450"/>
      <c r="F700" s="451"/>
      <c r="H700" s="489"/>
    </row>
    <row r="701" spans="1:8" s="50" customFormat="1">
      <c r="A701" s="48"/>
      <c r="B701" s="50" t="s">
        <v>694</v>
      </c>
      <c r="C701" s="202"/>
      <c r="D701" s="228"/>
      <c r="E701" s="228"/>
      <c r="F701" s="405"/>
      <c r="H701" s="489"/>
    </row>
    <row r="702" spans="1:8" s="50" customFormat="1">
      <c r="A702" s="48"/>
      <c r="B702" s="5" t="s">
        <v>668</v>
      </c>
      <c r="C702" s="404"/>
      <c r="D702" s="228"/>
      <c r="E702" s="398"/>
      <c r="F702" s="405"/>
      <c r="H702" s="489"/>
    </row>
    <row r="703" spans="1:8" s="50" customFormat="1" ht="30" customHeight="1">
      <c r="A703" s="48"/>
      <c r="B703" s="14" t="s">
        <v>994</v>
      </c>
      <c r="C703" s="404"/>
      <c r="D703" s="228"/>
      <c r="E703" s="398"/>
      <c r="F703" s="405"/>
      <c r="H703" s="489"/>
    </row>
    <row r="704" spans="1:8" s="50" customFormat="1">
      <c r="A704" s="48"/>
      <c r="B704" s="464" t="s">
        <v>996</v>
      </c>
      <c r="C704" s="202" t="s">
        <v>316</v>
      </c>
      <c r="D704" s="228">
        <v>6</v>
      </c>
      <c r="E704" s="228"/>
      <c r="F704" s="198">
        <f t="shared" ref="F704" si="76">ROUND(D704*E704,2)</f>
        <v>0</v>
      </c>
      <c r="H704" s="489" t="s">
        <v>1023</v>
      </c>
    </row>
    <row r="705" spans="1:8" s="325" customFormat="1">
      <c r="A705" s="452"/>
      <c r="B705" s="448"/>
      <c r="C705" s="326"/>
      <c r="D705" s="229"/>
      <c r="E705" s="229"/>
      <c r="F705" s="456"/>
      <c r="H705" s="489"/>
    </row>
    <row r="706" spans="1:8" s="325" customFormat="1">
      <c r="A706" s="452"/>
      <c r="B706" s="448"/>
      <c r="C706" s="326"/>
      <c r="D706" s="457"/>
      <c r="E706" s="229"/>
      <c r="F706" s="458"/>
      <c r="H706" s="489"/>
    </row>
    <row r="707" spans="1:8" s="5" customFormat="1">
      <c r="A707" s="317" t="s">
        <v>385</v>
      </c>
      <c r="B707" s="5" t="s">
        <v>1000</v>
      </c>
      <c r="C707" s="192"/>
      <c r="D707" s="28"/>
      <c r="E707" s="18"/>
      <c r="F707" s="366"/>
      <c r="H707" s="489"/>
    </row>
    <row r="708" spans="1:8" s="325" customFormat="1" ht="38.25">
      <c r="A708" s="447"/>
      <c r="B708" s="50" t="s">
        <v>1001</v>
      </c>
      <c r="C708" s="449"/>
      <c r="D708" s="229"/>
      <c r="E708" s="450"/>
      <c r="F708" s="451"/>
      <c r="H708" s="489"/>
    </row>
    <row r="709" spans="1:8" s="50" customFormat="1">
      <c r="A709" s="48"/>
      <c r="B709" s="60" t="s">
        <v>1002</v>
      </c>
      <c r="C709" s="202"/>
      <c r="D709" s="228"/>
      <c r="E709" s="228"/>
      <c r="F709" s="405"/>
      <c r="H709" s="489"/>
    </row>
    <row r="710" spans="1:8" s="50" customFormat="1" ht="51">
      <c r="A710" s="48"/>
      <c r="B710" s="60" t="s">
        <v>1005</v>
      </c>
      <c r="C710" s="202"/>
      <c r="D710" s="228"/>
      <c r="E710" s="228"/>
      <c r="F710" s="405"/>
      <c r="H710" s="489"/>
    </row>
    <row r="711" spans="1:8" s="325" customFormat="1" ht="15" customHeight="1">
      <c r="A711" s="447"/>
      <c r="B711" s="50" t="s">
        <v>988</v>
      </c>
      <c r="C711" s="449"/>
      <c r="D711" s="229"/>
      <c r="E711" s="450"/>
      <c r="F711" s="451"/>
      <c r="H711" s="489"/>
    </row>
    <row r="712" spans="1:8" s="325" customFormat="1" ht="38.25">
      <c r="A712" s="447"/>
      <c r="B712" s="50" t="s">
        <v>1004</v>
      </c>
      <c r="C712" s="449"/>
      <c r="D712" s="229"/>
      <c r="E712" s="450"/>
      <c r="F712" s="451"/>
      <c r="H712" s="489"/>
    </row>
    <row r="713" spans="1:8" s="325" customFormat="1" ht="38.25">
      <c r="A713" s="447"/>
      <c r="B713" s="50" t="s">
        <v>987</v>
      </c>
      <c r="C713" s="449"/>
      <c r="D713" s="229"/>
      <c r="E713" s="450"/>
      <c r="F713" s="451"/>
      <c r="H713" s="489"/>
    </row>
    <row r="714" spans="1:8" s="325" customFormat="1" ht="25.5">
      <c r="A714" s="447"/>
      <c r="B714" s="50" t="s">
        <v>990</v>
      </c>
      <c r="C714" s="449"/>
      <c r="D714" s="229"/>
      <c r="E714" s="450"/>
      <c r="F714" s="451"/>
      <c r="H714" s="489"/>
    </row>
    <row r="715" spans="1:8" s="325" customFormat="1" ht="28.5" customHeight="1">
      <c r="A715" s="455"/>
      <c r="B715" s="409" t="s">
        <v>670</v>
      </c>
      <c r="C715" s="454"/>
      <c r="D715" s="453"/>
      <c r="E715" s="453"/>
      <c r="F715" s="451"/>
      <c r="H715" s="489"/>
    </row>
    <row r="716" spans="1:8" s="50" customFormat="1" ht="38.25">
      <c r="A716" s="48"/>
      <c r="B716" s="50" t="s">
        <v>989</v>
      </c>
      <c r="C716" s="202"/>
      <c r="D716" s="228"/>
      <c r="E716" s="228"/>
      <c r="F716" s="405"/>
      <c r="H716" s="489"/>
    </row>
    <row r="717" spans="1:8" s="325" customFormat="1" ht="13.5" customHeight="1">
      <c r="A717" s="452"/>
      <c r="B717" s="50" t="s">
        <v>992</v>
      </c>
      <c r="C717" s="326"/>
      <c r="D717" s="229"/>
      <c r="E717" s="229"/>
      <c r="F717" s="451"/>
      <c r="H717" s="489"/>
    </row>
    <row r="718" spans="1:8" s="325" customFormat="1" ht="27.75" customHeight="1">
      <c r="A718" s="452"/>
      <c r="B718" s="4" t="s">
        <v>991</v>
      </c>
      <c r="C718" s="326"/>
      <c r="D718" s="229"/>
      <c r="E718" s="229"/>
      <c r="F718" s="451"/>
      <c r="H718" s="489"/>
    </row>
    <row r="719" spans="1:8" s="325" customFormat="1" ht="27.75" customHeight="1">
      <c r="A719" s="452"/>
      <c r="B719" s="4" t="s">
        <v>993</v>
      </c>
      <c r="C719" s="326"/>
      <c r="D719" s="229"/>
      <c r="E719" s="229"/>
      <c r="F719" s="451"/>
      <c r="H719" s="489"/>
    </row>
    <row r="720" spans="1:8" s="325" customFormat="1" ht="25.5">
      <c r="A720" s="452"/>
      <c r="B720" s="463" t="s">
        <v>669</v>
      </c>
      <c r="C720" s="449"/>
      <c r="D720" s="229"/>
      <c r="E720" s="450"/>
      <c r="F720" s="451"/>
      <c r="H720" s="489"/>
    </row>
    <row r="721" spans="1:8" s="50" customFormat="1">
      <c r="A721" s="48"/>
      <c r="B721" s="50" t="s">
        <v>694</v>
      </c>
      <c r="C721" s="202"/>
      <c r="D721" s="228"/>
      <c r="E721" s="228"/>
      <c r="F721" s="405"/>
      <c r="H721" s="489"/>
    </row>
    <row r="722" spans="1:8" s="50" customFormat="1">
      <c r="A722" s="48"/>
      <c r="B722" s="5" t="s">
        <v>668</v>
      </c>
      <c r="C722" s="404"/>
      <c r="D722" s="228"/>
      <c r="E722" s="398"/>
      <c r="F722" s="405"/>
      <c r="H722" s="489"/>
    </row>
    <row r="723" spans="1:8" s="50" customFormat="1" ht="30" customHeight="1">
      <c r="A723" s="48"/>
      <c r="B723" s="14" t="s">
        <v>1003</v>
      </c>
      <c r="C723" s="404"/>
      <c r="D723" s="228"/>
      <c r="E723" s="398"/>
      <c r="F723" s="405"/>
      <c r="H723" s="489"/>
    </row>
    <row r="724" spans="1:8" s="50" customFormat="1">
      <c r="A724" s="48"/>
      <c r="B724" s="464" t="s">
        <v>1009</v>
      </c>
      <c r="C724" s="202" t="s">
        <v>316</v>
      </c>
      <c r="D724" s="228">
        <v>2</v>
      </c>
      <c r="E724" s="228"/>
      <c r="F724" s="198">
        <f t="shared" ref="F724" si="77">ROUND(D724*E724,2)</f>
        <v>0</v>
      </c>
      <c r="H724" s="489" t="s">
        <v>1023</v>
      </c>
    </row>
    <row r="725" spans="1:8" s="50" customFormat="1">
      <c r="A725" s="48"/>
      <c r="B725" s="464"/>
      <c r="C725" s="202"/>
      <c r="D725" s="228"/>
      <c r="E725" s="228"/>
      <c r="F725" s="198"/>
      <c r="H725" s="489"/>
    </row>
    <row r="726" spans="1:8" s="325" customFormat="1">
      <c r="A726" s="452"/>
      <c r="B726" s="448"/>
      <c r="C726" s="326"/>
      <c r="D726" s="457"/>
      <c r="E726" s="229"/>
      <c r="F726" s="458"/>
      <c r="H726" s="489"/>
    </row>
    <row r="727" spans="1:8" s="5" customFormat="1">
      <c r="A727" s="317" t="s">
        <v>387</v>
      </c>
      <c r="B727" s="5" t="s">
        <v>1006</v>
      </c>
      <c r="C727" s="192"/>
      <c r="D727" s="28"/>
      <c r="E727" s="18"/>
      <c r="F727" s="366"/>
      <c r="H727" s="489"/>
    </row>
    <row r="728" spans="1:8" s="325" customFormat="1" ht="25.5">
      <c r="A728" s="447"/>
      <c r="B728" s="50" t="s">
        <v>1007</v>
      </c>
      <c r="C728" s="449"/>
      <c r="D728" s="229"/>
      <c r="E728" s="450"/>
      <c r="F728" s="451"/>
      <c r="H728" s="489"/>
    </row>
    <row r="729" spans="1:8" s="50" customFormat="1">
      <c r="A729" s="48"/>
      <c r="B729" s="60" t="s">
        <v>1008</v>
      </c>
      <c r="C729" s="202"/>
      <c r="D729" s="228"/>
      <c r="E729" s="228"/>
      <c r="F729" s="405"/>
      <c r="H729" s="489"/>
    </row>
    <row r="730" spans="1:8" s="50" customFormat="1" ht="53.25" customHeight="1">
      <c r="A730" s="48"/>
      <c r="B730" s="60" t="s">
        <v>1011</v>
      </c>
      <c r="C730" s="202"/>
      <c r="D730" s="228"/>
      <c r="E730" s="228"/>
      <c r="F730" s="405"/>
      <c r="H730" s="489"/>
    </row>
    <row r="731" spans="1:8" s="325" customFormat="1" ht="15" customHeight="1">
      <c r="A731" s="447"/>
      <c r="B731" s="50" t="s">
        <v>988</v>
      </c>
      <c r="C731" s="449"/>
      <c r="D731" s="229"/>
      <c r="E731" s="450"/>
      <c r="F731" s="451"/>
      <c r="H731" s="489"/>
    </row>
    <row r="732" spans="1:8" s="325" customFormat="1" ht="38.25">
      <c r="A732" s="447"/>
      <c r="B732" s="50" t="s">
        <v>987</v>
      </c>
      <c r="C732" s="449"/>
      <c r="D732" s="229"/>
      <c r="E732" s="450"/>
      <c r="F732" s="451"/>
      <c r="H732" s="489"/>
    </row>
    <row r="733" spans="1:8" s="325" customFormat="1" ht="25.5">
      <c r="A733" s="447"/>
      <c r="B733" s="50" t="s">
        <v>990</v>
      </c>
      <c r="C733" s="449"/>
      <c r="D733" s="229"/>
      <c r="E733" s="450"/>
      <c r="F733" s="451"/>
      <c r="H733" s="489"/>
    </row>
    <row r="734" spans="1:8" s="325" customFormat="1" ht="28.5" customHeight="1">
      <c r="A734" s="455"/>
      <c r="B734" s="409" t="s">
        <v>670</v>
      </c>
      <c r="C734" s="454"/>
      <c r="D734" s="453"/>
      <c r="E734" s="453"/>
      <c r="F734" s="451"/>
      <c r="H734" s="489"/>
    </row>
    <row r="735" spans="1:8" s="50" customFormat="1" ht="38.25">
      <c r="A735" s="48"/>
      <c r="B735" s="50" t="s">
        <v>989</v>
      </c>
      <c r="C735" s="202"/>
      <c r="D735" s="228"/>
      <c r="E735" s="228"/>
      <c r="F735" s="405"/>
      <c r="H735" s="489"/>
    </row>
    <row r="736" spans="1:8" s="325" customFormat="1" ht="13.5" customHeight="1">
      <c r="A736" s="452"/>
      <c r="B736" s="50" t="s">
        <v>992</v>
      </c>
      <c r="C736" s="326"/>
      <c r="D736" s="229"/>
      <c r="E736" s="229"/>
      <c r="F736" s="451"/>
      <c r="H736" s="489"/>
    </row>
    <row r="737" spans="1:8" s="325" customFormat="1" ht="27.75" customHeight="1">
      <c r="A737" s="452"/>
      <c r="B737" s="4" t="s">
        <v>991</v>
      </c>
      <c r="C737" s="326"/>
      <c r="D737" s="229"/>
      <c r="E737" s="229"/>
      <c r="F737" s="451"/>
      <c r="H737" s="489"/>
    </row>
    <row r="738" spans="1:8" s="325" customFormat="1" ht="27.75" customHeight="1">
      <c r="A738" s="452"/>
      <c r="B738" s="4" t="s">
        <v>993</v>
      </c>
      <c r="C738" s="326"/>
      <c r="D738" s="229"/>
      <c r="E738" s="229"/>
      <c r="F738" s="451"/>
      <c r="H738" s="489"/>
    </row>
    <row r="739" spans="1:8" s="325" customFormat="1" ht="25.5">
      <c r="A739" s="452"/>
      <c r="B739" s="463" t="s">
        <v>669</v>
      </c>
      <c r="C739" s="449"/>
      <c r="D739" s="229"/>
      <c r="E739" s="450"/>
      <c r="F739" s="451"/>
      <c r="H739" s="489"/>
    </row>
    <row r="740" spans="1:8" s="50" customFormat="1">
      <c r="A740" s="48"/>
      <c r="B740" s="50" t="s">
        <v>694</v>
      </c>
      <c r="C740" s="202"/>
      <c r="D740" s="228"/>
      <c r="E740" s="228"/>
      <c r="F740" s="405"/>
      <c r="H740" s="489"/>
    </row>
    <row r="741" spans="1:8" s="50" customFormat="1">
      <c r="A741" s="48"/>
      <c r="B741" s="5" t="s">
        <v>668</v>
      </c>
      <c r="C741" s="404"/>
      <c r="D741" s="228"/>
      <c r="E741" s="398"/>
      <c r="F741" s="405"/>
      <c r="H741" s="489"/>
    </row>
    <row r="742" spans="1:8" s="50" customFormat="1" ht="30" customHeight="1">
      <c r="A742" s="48"/>
      <c r="B742" s="14" t="s">
        <v>994</v>
      </c>
      <c r="C742" s="404"/>
      <c r="D742" s="228"/>
      <c r="E742" s="398"/>
      <c r="F742" s="405"/>
      <c r="H742" s="489"/>
    </row>
    <row r="743" spans="1:8" s="50" customFormat="1">
      <c r="A743" s="48"/>
      <c r="B743" s="464" t="s">
        <v>1010</v>
      </c>
      <c r="C743" s="202" t="s">
        <v>316</v>
      </c>
      <c r="D743" s="228">
        <v>2</v>
      </c>
      <c r="E743" s="228"/>
      <c r="F743" s="198">
        <f t="shared" ref="F743" si="78">ROUND(D743*E743,2)</f>
        <v>0</v>
      </c>
      <c r="H743" s="489" t="s">
        <v>1023</v>
      </c>
    </row>
    <row r="744" spans="1:8" s="325" customFormat="1">
      <c r="A744" s="452"/>
      <c r="B744" s="448"/>
      <c r="C744" s="326"/>
      <c r="D744" s="229"/>
      <c r="E744" s="229"/>
      <c r="F744" s="456"/>
      <c r="H744" s="489"/>
    </row>
    <row r="745" spans="1:8" s="325" customFormat="1">
      <c r="A745" s="452"/>
      <c r="B745" s="448"/>
      <c r="C745" s="326"/>
      <c r="D745" s="457"/>
      <c r="E745" s="229"/>
      <c r="F745" s="458"/>
      <c r="H745" s="489"/>
    </row>
    <row r="746" spans="1:8" s="5" customFormat="1">
      <c r="A746" s="317" t="s">
        <v>389</v>
      </c>
      <c r="B746" s="5" t="s">
        <v>1012</v>
      </c>
      <c r="C746" s="192"/>
      <c r="D746" s="28"/>
      <c r="E746" s="18"/>
      <c r="F746" s="366"/>
      <c r="H746" s="489"/>
    </row>
    <row r="747" spans="1:8" s="325" customFormat="1" ht="25.5">
      <c r="A747" s="447"/>
      <c r="B747" s="50" t="s">
        <v>1013</v>
      </c>
      <c r="C747" s="449"/>
      <c r="D747" s="229"/>
      <c r="E747" s="450"/>
      <c r="F747" s="451"/>
      <c r="H747" s="489"/>
    </row>
    <row r="748" spans="1:8" s="50" customFormat="1">
      <c r="A748" s="48"/>
      <c r="B748" s="60" t="s">
        <v>1014</v>
      </c>
      <c r="C748" s="202"/>
      <c r="D748" s="228"/>
      <c r="E748" s="228"/>
      <c r="F748" s="405"/>
      <c r="H748" s="489"/>
    </row>
    <row r="749" spans="1:8" s="50" customFormat="1">
      <c r="A749" s="48"/>
      <c r="B749" s="60" t="s">
        <v>1015</v>
      </c>
      <c r="C749" s="202"/>
      <c r="D749" s="228"/>
      <c r="E749" s="228"/>
      <c r="F749" s="405"/>
      <c r="H749" s="489"/>
    </row>
    <row r="750" spans="1:8" s="325" customFormat="1" ht="15" customHeight="1">
      <c r="A750" s="447"/>
      <c r="B750" s="50" t="s">
        <v>1016</v>
      </c>
      <c r="C750" s="449"/>
      <c r="D750" s="229"/>
      <c r="E750" s="450"/>
      <c r="F750" s="451"/>
      <c r="H750" s="489"/>
    </row>
    <row r="751" spans="1:8" s="325" customFormat="1" ht="28.5" customHeight="1">
      <c r="A751" s="455"/>
      <c r="B751" s="409" t="s">
        <v>670</v>
      </c>
      <c r="C751" s="454"/>
      <c r="D751" s="453"/>
      <c r="E751" s="453"/>
      <c r="F751" s="451"/>
      <c r="H751" s="489"/>
    </row>
    <row r="752" spans="1:8" s="50" customFormat="1" ht="38.25">
      <c r="A752" s="48"/>
      <c r="B752" s="50" t="s">
        <v>989</v>
      </c>
      <c r="C752" s="202"/>
      <c r="D752" s="228"/>
      <c r="E752" s="228"/>
      <c r="F752" s="405"/>
      <c r="H752" s="489"/>
    </row>
    <row r="753" spans="1:8" s="325" customFormat="1" ht="13.5" customHeight="1">
      <c r="A753" s="452"/>
      <c r="B753" s="50" t="s">
        <v>992</v>
      </c>
      <c r="C753" s="326"/>
      <c r="D753" s="229"/>
      <c r="E753" s="229"/>
      <c r="F753" s="451"/>
      <c r="H753" s="489"/>
    </row>
    <row r="754" spans="1:8" s="325" customFormat="1" ht="27.75" customHeight="1">
      <c r="A754" s="452"/>
      <c r="B754" s="4" t="s">
        <v>991</v>
      </c>
      <c r="C754" s="326"/>
      <c r="D754" s="229"/>
      <c r="E754" s="229"/>
      <c r="F754" s="451"/>
      <c r="H754" s="489"/>
    </row>
    <row r="755" spans="1:8" s="325" customFormat="1" ht="25.5">
      <c r="A755" s="452"/>
      <c r="B755" s="463" t="s">
        <v>669</v>
      </c>
      <c r="C755" s="449"/>
      <c r="D755" s="229"/>
      <c r="E755" s="450"/>
      <c r="F755" s="451"/>
      <c r="H755" s="489"/>
    </row>
    <row r="756" spans="1:8" s="50" customFormat="1">
      <c r="A756" s="48"/>
      <c r="B756" s="50" t="s">
        <v>694</v>
      </c>
      <c r="C756" s="202"/>
      <c r="D756" s="228"/>
      <c r="E756" s="228"/>
      <c r="F756" s="405"/>
      <c r="H756" s="489"/>
    </row>
    <row r="757" spans="1:8" s="50" customFormat="1">
      <c r="A757" s="48"/>
      <c r="B757" s="5" t="s">
        <v>668</v>
      </c>
      <c r="C757" s="404"/>
      <c r="D757" s="228"/>
      <c r="E757" s="398"/>
      <c r="F757" s="405"/>
      <c r="H757" s="489"/>
    </row>
    <row r="758" spans="1:8" s="50" customFormat="1" ht="30" customHeight="1">
      <c r="A758" s="48"/>
      <c r="B758" s="14" t="s">
        <v>994</v>
      </c>
      <c r="C758" s="404"/>
      <c r="D758" s="228"/>
      <c r="E758" s="398"/>
      <c r="F758" s="405"/>
      <c r="H758" s="489"/>
    </row>
    <row r="759" spans="1:8" s="50" customFormat="1">
      <c r="A759" s="48"/>
      <c r="B759" s="464" t="s">
        <v>996</v>
      </c>
      <c r="C759" s="202" t="s">
        <v>316</v>
      </c>
      <c r="D759" s="228">
        <v>6</v>
      </c>
      <c r="E759" s="228"/>
      <c r="F759" s="198">
        <f t="shared" ref="F759" si="79">ROUND(D759*E759,2)</f>
        <v>0</v>
      </c>
      <c r="H759" s="489" t="s">
        <v>1023</v>
      </c>
    </row>
    <row r="760" spans="1:8" s="325" customFormat="1">
      <c r="A760" s="452"/>
      <c r="B760" s="448"/>
      <c r="C760" s="326"/>
      <c r="D760" s="229"/>
      <c r="E760" s="229"/>
      <c r="F760" s="456"/>
      <c r="H760" s="489"/>
    </row>
    <row r="761" spans="1:8" s="4" customFormat="1">
      <c r="A761" s="10"/>
      <c r="C761" s="194"/>
      <c r="D761" s="9"/>
      <c r="E761" s="11"/>
      <c r="F761" s="339"/>
      <c r="H761" s="489"/>
    </row>
    <row r="762" spans="1:8" s="4" customFormat="1">
      <c r="A762" s="38" t="s">
        <v>318</v>
      </c>
      <c r="B762" s="169" t="s">
        <v>367</v>
      </c>
      <c r="C762" s="252"/>
      <c r="D762" s="253"/>
      <c r="E762" s="241"/>
      <c r="F762" s="338">
        <f>SUM(F650:F761)</f>
        <v>0</v>
      </c>
      <c r="H762" s="489"/>
    </row>
    <row r="763" spans="1:8" s="4" customFormat="1">
      <c r="A763" s="176"/>
      <c r="B763" s="177"/>
      <c r="C763" s="194"/>
      <c r="D763" s="9"/>
      <c r="E763" s="11"/>
      <c r="F763" s="339"/>
      <c r="H763" s="489"/>
    </row>
    <row r="764" spans="1:8" s="4" customFormat="1">
      <c r="A764" s="178"/>
      <c r="B764" s="64"/>
      <c r="C764" s="194"/>
      <c r="D764" s="9"/>
      <c r="E764" s="11"/>
      <c r="F764" s="339"/>
      <c r="H764" s="489"/>
    </row>
    <row r="765" spans="1:8" s="4" customFormat="1">
      <c r="A765" s="38" t="s">
        <v>329</v>
      </c>
      <c r="B765" s="168" t="s">
        <v>531</v>
      </c>
      <c r="C765" s="194"/>
      <c r="D765" s="9"/>
      <c r="E765" s="11"/>
      <c r="F765" s="339"/>
      <c r="H765" s="489"/>
    </row>
    <row r="766" spans="1:8" s="54" customFormat="1" ht="14.25" customHeight="1">
      <c r="A766" s="10"/>
      <c r="C766" s="195"/>
      <c r="D766" s="228"/>
      <c r="E766" s="52"/>
      <c r="F766" s="341"/>
      <c r="H766" s="489"/>
    </row>
    <row r="767" spans="1:8" s="54" customFormat="1" ht="14.25" customHeight="1">
      <c r="A767" s="10"/>
      <c r="B767" s="459" t="s">
        <v>959</v>
      </c>
      <c r="C767" s="195"/>
      <c r="D767" s="228"/>
      <c r="E767" s="52"/>
      <c r="F767" s="341"/>
      <c r="H767" s="489"/>
    </row>
    <row r="768" spans="1:8" s="54" customFormat="1" ht="14.25" customHeight="1">
      <c r="A768" s="10"/>
      <c r="B768" s="4"/>
      <c r="C768" s="195"/>
      <c r="D768" s="228"/>
      <c r="E768" s="52"/>
      <c r="F768" s="341"/>
      <c r="H768" s="489"/>
    </row>
    <row r="769" spans="1:8" s="54" customFormat="1" ht="38.25">
      <c r="A769" s="10" t="s">
        <v>353</v>
      </c>
      <c r="B769" s="4" t="s">
        <v>958</v>
      </c>
      <c r="C769" s="195"/>
      <c r="D769" s="228"/>
      <c r="E769" s="52"/>
      <c r="F769" s="341"/>
      <c r="H769" s="489"/>
    </row>
    <row r="770" spans="1:8" s="54" customFormat="1">
      <c r="A770" s="10"/>
      <c r="B770" s="4" t="s">
        <v>961</v>
      </c>
      <c r="C770" s="195"/>
      <c r="D770" s="228"/>
      <c r="E770" s="52"/>
      <c r="F770" s="341"/>
      <c r="H770" s="489"/>
    </row>
    <row r="771" spans="1:8" s="54" customFormat="1" ht="51">
      <c r="A771" s="10"/>
      <c r="B771" s="4" t="s">
        <v>962</v>
      </c>
      <c r="C771" s="195"/>
      <c r="D771" s="228"/>
      <c r="E771" s="52"/>
      <c r="F771" s="341"/>
      <c r="H771" s="489"/>
    </row>
    <row r="772" spans="1:8" s="4" customFormat="1" ht="25.5">
      <c r="A772" s="10"/>
      <c r="B772" s="4" t="s">
        <v>963</v>
      </c>
      <c r="C772" s="194"/>
      <c r="D772" s="11"/>
      <c r="E772" s="11"/>
      <c r="F772" s="13">
        <f t="shared" ref="F772" si="80">D772*E772</f>
        <v>0</v>
      </c>
      <c r="H772" s="489"/>
    </row>
    <row r="773" spans="1:8" s="4" customFormat="1" ht="25.5">
      <c r="A773" s="10"/>
      <c r="B773" s="5" t="s">
        <v>964</v>
      </c>
      <c r="C773" s="194"/>
      <c r="D773" s="11"/>
      <c r="E773" s="11"/>
      <c r="F773" s="13"/>
      <c r="H773" s="489"/>
    </row>
    <row r="774" spans="1:8" s="4" customFormat="1" ht="51">
      <c r="A774" s="10"/>
      <c r="B774" s="4" t="s">
        <v>965</v>
      </c>
      <c r="C774" s="194"/>
      <c r="D774" s="11"/>
      <c r="E774" s="11"/>
      <c r="F774" s="13"/>
      <c r="H774" s="489"/>
    </row>
    <row r="775" spans="1:8" s="4" customFormat="1">
      <c r="A775" s="10"/>
      <c r="B775" s="5" t="s">
        <v>960</v>
      </c>
      <c r="C775" s="194" t="s">
        <v>316</v>
      </c>
      <c r="D775" s="11">
        <v>3</v>
      </c>
      <c r="E775" s="13"/>
      <c r="F775" s="198">
        <f t="shared" ref="F775" si="81">ROUND(D775*E775,2)</f>
        <v>0</v>
      </c>
      <c r="H775" s="489" t="s">
        <v>1028</v>
      </c>
    </row>
    <row r="776" spans="1:8" s="54" customFormat="1">
      <c r="A776" s="10"/>
      <c r="C776" s="195"/>
      <c r="D776" s="228"/>
      <c r="E776" s="52"/>
      <c r="F776" s="341"/>
      <c r="H776" s="489"/>
    </row>
    <row r="777" spans="1:8" s="54" customFormat="1" ht="14.25" customHeight="1">
      <c r="A777" s="10"/>
      <c r="B777" s="4"/>
      <c r="C777" s="195"/>
      <c r="D777" s="228"/>
      <c r="E777" s="52"/>
      <c r="F777" s="341"/>
      <c r="H777" s="489"/>
    </row>
    <row r="778" spans="1:8" s="54" customFormat="1" ht="38.25">
      <c r="A778" s="10" t="s">
        <v>376</v>
      </c>
      <c r="B778" s="4" t="s">
        <v>958</v>
      </c>
      <c r="C778" s="195"/>
      <c r="D778" s="228"/>
      <c r="E778" s="52"/>
      <c r="F778" s="341"/>
      <c r="H778" s="489"/>
    </row>
    <row r="779" spans="1:8" s="54" customFormat="1">
      <c r="A779" s="10"/>
      <c r="B779" s="4" t="s">
        <v>966</v>
      </c>
      <c r="C779" s="195"/>
      <c r="D779" s="228"/>
      <c r="E779" s="52"/>
      <c r="F779" s="341"/>
      <c r="H779" s="489"/>
    </row>
    <row r="780" spans="1:8" s="54" customFormat="1" ht="25.5">
      <c r="A780" s="10"/>
      <c r="B780" s="4" t="s">
        <v>967</v>
      </c>
      <c r="C780" s="195"/>
      <c r="D780" s="228"/>
      <c r="E780" s="52"/>
      <c r="F780" s="341"/>
      <c r="H780" s="489"/>
    </row>
    <row r="781" spans="1:8" s="4" customFormat="1" ht="38.25">
      <c r="A781" s="10"/>
      <c r="B781" s="4" t="s">
        <v>968</v>
      </c>
      <c r="C781" s="194"/>
      <c r="D781" s="11"/>
      <c r="E781" s="11"/>
      <c r="F781" s="13">
        <f t="shared" ref="F781" si="82">D781*E781</f>
        <v>0</v>
      </c>
      <c r="H781" s="489"/>
    </row>
    <row r="782" spans="1:8" s="4" customFormat="1" ht="38.25">
      <c r="A782" s="10"/>
      <c r="B782" s="4" t="s">
        <v>969</v>
      </c>
      <c r="C782" s="194"/>
      <c r="D782" s="11"/>
      <c r="E782" s="11"/>
      <c r="F782" s="13"/>
      <c r="H782" s="489"/>
    </row>
    <row r="783" spans="1:8" s="4" customFormat="1" ht="25.5">
      <c r="A783" s="10"/>
      <c r="B783" s="5" t="s">
        <v>964</v>
      </c>
      <c r="C783" s="194"/>
      <c r="D783" s="11"/>
      <c r="E783" s="11"/>
      <c r="F783" s="13"/>
      <c r="H783" s="489"/>
    </row>
    <row r="784" spans="1:8" s="4" customFormat="1" ht="51">
      <c r="A784" s="10"/>
      <c r="B784" s="4" t="s">
        <v>965</v>
      </c>
      <c r="C784" s="194"/>
      <c r="D784" s="11"/>
      <c r="E784" s="11"/>
      <c r="F784" s="13"/>
      <c r="H784" s="489"/>
    </row>
    <row r="785" spans="1:8" s="4" customFormat="1">
      <c r="A785" s="10"/>
      <c r="B785" s="5" t="s">
        <v>970</v>
      </c>
      <c r="C785" s="194" t="s">
        <v>316</v>
      </c>
      <c r="D785" s="11">
        <v>1</v>
      </c>
      <c r="E785" s="13"/>
      <c r="F785" s="198">
        <f t="shared" ref="F785" si="83">ROUND(D785*E785,2)</f>
        <v>0</v>
      </c>
      <c r="H785" s="489" t="s">
        <v>1028</v>
      </c>
    </row>
    <row r="786" spans="1:8" s="54" customFormat="1">
      <c r="A786" s="10"/>
      <c r="C786" s="195"/>
      <c r="D786" s="228"/>
      <c r="E786" s="52"/>
      <c r="F786" s="341"/>
      <c r="H786" s="489"/>
    </row>
    <row r="787" spans="1:8" s="54" customFormat="1" ht="14.25" customHeight="1">
      <c r="A787" s="10"/>
      <c r="B787" s="4"/>
      <c r="C787" s="195"/>
      <c r="D787" s="228"/>
      <c r="E787" s="52"/>
      <c r="F787" s="341"/>
      <c r="H787" s="489"/>
    </row>
    <row r="788" spans="1:8" s="54" customFormat="1" ht="38.25">
      <c r="A788" s="10" t="s">
        <v>383</v>
      </c>
      <c r="B788" s="4" t="s">
        <v>958</v>
      </c>
      <c r="C788" s="195"/>
      <c r="D788" s="228"/>
      <c r="E788" s="52"/>
      <c r="F788" s="341"/>
      <c r="H788" s="489"/>
    </row>
    <row r="789" spans="1:8" s="54" customFormat="1">
      <c r="A789" s="10"/>
      <c r="B789" s="4" t="s">
        <v>966</v>
      </c>
      <c r="C789" s="195"/>
      <c r="D789" s="228"/>
      <c r="E789" s="52"/>
      <c r="F789" s="341"/>
      <c r="H789" s="489"/>
    </row>
    <row r="790" spans="1:8" s="54" customFormat="1" ht="25.5">
      <c r="A790" s="10"/>
      <c r="B790" s="4" t="s">
        <v>971</v>
      </c>
      <c r="C790" s="195"/>
      <c r="D790" s="228"/>
      <c r="E790" s="52"/>
      <c r="F790" s="341"/>
      <c r="H790" s="489"/>
    </row>
    <row r="791" spans="1:8" s="4" customFormat="1" ht="38.25">
      <c r="A791" s="10"/>
      <c r="B791" s="4" t="s">
        <v>968</v>
      </c>
      <c r="C791" s="194"/>
      <c r="D791" s="11"/>
      <c r="E791" s="11"/>
      <c r="F791" s="13">
        <f t="shared" ref="F791" si="84">D791*E791</f>
        <v>0</v>
      </c>
      <c r="H791" s="489"/>
    </row>
    <row r="792" spans="1:8" s="4" customFormat="1" ht="38.25">
      <c r="A792" s="10"/>
      <c r="B792" s="4" t="s">
        <v>969</v>
      </c>
      <c r="C792" s="194"/>
      <c r="D792" s="11"/>
      <c r="E792" s="11"/>
      <c r="F792" s="13"/>
      <c r="H792" s="489"/>
    </row>
    <row r="793" spans="1:8" s="4" customFormat="1" ht="25.5">
      <c r="A793" s="10"/>
      <c r="B793" s="5" t="s">
        <v>964</v>
      </c>
      <c r="C793" s="194"/>
      <c r="D793" s="11"/>
      <c r="E793" s="11"/>
      <c r="F793" s="13"/>
      <c r="H793" s="489"/>
    </row>
    <row r="794" spans="1:8" s="4" customFormat="1" ht="51">
      <c r="A794" s="10"/>
      <c r="B794" s="4" t="s">
        <v>965</v>
      </c>
      <c r="C794" s="194"/>
      <c r="D794" s="11"/>
      <c r="E794" s="11"/>
      <c r="F794" s="13"/>
      <c r="H794" s="489"/>
    </row>
    <row r="795" spans="1:8" s="4" customFormat="1">
      <c r="A795" s="10"/>
      <c r="B795" s="5" t="s">
        <v>972</v>
      </c>
      <c r="C795" s="194" t="s">
        <v>316</v>
      </c>
      <c r="D795" s="11">
        <v>1</v>
      </c>
      <c r="E795" s="13"/>
      <c r="F795" s="198">
        <f t="shared" ref="F795" si="85">ROUND(D795*E795,2)</f>
        <v>0</v>
      </c>
      <c r="H795" s="489" t="s">
        <v>1028</v>
      </c>
    </row>
    <row r="796" spans="1:8" s="54" customFormat="1">
      <c r="A796" s="10"/>
      <c r="C796" s="195"/>
      <c r="D796" s="228"/>
      <c r="E796" s="52"/>
      <c r="F796" s="341"/>
      <c r="H796" s="489"/>
    </row>
    <row r="797" spans="1:8" s="54" customFormat="1">
      <c r="A797" s="10"/>
      <c r="C797" s="195"/>
      <c r="D797" s="228"/>
      <c r="E797" s="52"/>
      <c r="F797" s="341"/>
      <c r="H797" s="489"/>
    </row>
    <row r="798" spans="1:8" s="54" customFormat="1">
      <c r="A798" s="317" t="s">
        <v>385</v>
      </c>
      <c r="B798" s="188" t="s">
        <v>976</v>
      </c>
      <c r="C798" s="302" t="s">
        <v>590</v>
      </c>
      <c r="D798" s="206"/>
      <c r="E798" s="206"/>
      <c r="F798" s="341"/>
      <c r="H798" s="489"/>
    </row>
    <row r="799" spans="1:8" s="54" customFormat="1" ht="38.25">
      <c r="A799" s="317"/>
      <c r="B799" s="217" t="s">
        <v>908</v>
      </c>
      <c r="C799" s="302"/>
      <c r="D799" s="206"/>
      <c r="E799" s="206"/>
      <c r="F799" s="341"/>
      <c r="H799" s="489"/>
    </row>
    <row r="800" spans="1:8" s="54" customFormat="1" ht="28.5" customHeight="1">
      <c r="A800" s="294"/>
      <c r="B800" s="206" t="s">
        <v>670</v>
      </c>
      <c r="C800" s="295"/>
      <c r="D800" s="206"/>
      <c r="E800" s="206"/>
      <c r="F800" s="341"/>
      <c r="H800" s="489"/>
    </row>
    <row r="801" spans="1:8" s="54" customFormat="1">
      <c r="A801" s="294"/>
      <c r="B801" s="206" t="s">
        <v>671</v>
      </c>
      <c r="C801" s="303"/>
      <c r="D801" s="190"/>
      <c r="E801" s="190"/>
      <c r="F801" s="341"/>
      <c r="H801" s="489"/>
    </row>
    <row r="802" spans="1:8" s="5" customFormat="1" ht="15" customHeight="1">
      <c r="A802" s="294"/>
      <c r="B802" s="206" t="s">
        <v>672</v>
      </c>
      <c r="C802" s="295"/>
      <c r="D802" s="206"/>
      <c r="E802" s="206"/>
      <c r="F802" s="341"/>
      <c r="G802" s="481"/>
      <c r="H802" s="489"/>
    </row>
    <row r="803" spans="1:8" s="54" customFormat="1" ht="15" customHeight="1">
      <c r="A803" s="294"/>
      <c r="B803" s="217" t="s">
        <v>975</v>
      </c>
      <c r="C803" s="303" t="s">
        <v>317</v>
      </c>
      <c r="D803" s="190">
        <v>25</v>
      </c>
      <c r="E803" s="190"/>
      <c r="F803" s="198">
        <f t="shared" ref="F803" si="86">ROUND(D803*E803,2)</f>
        <v>0</v>
      </c>
      <c r="G803" s="481"/>
      <c r="H803" s="489" t="s">
        <v>1025</v>
      </c>
    </row>
    <row r="804" spans="1:8" s="5" customFormat="1">
      <c r="A804" s="294"/>
      <c r="B804" s="206"/>
      <c r="C804" s="303"/>
      <c r="D804" s="190"/>
      <c r="E804" s="190"/>
      <c r="F804" s="341"/>
      <c r="G804" s="481"/>
      <c r="H804" s="489"/>
    </row>
    <row r="805" spans="1:8" s="4" customFormat="1">
      <c r="A805" s="10"/>
      <c r="C805" s="194"/>
      <c r="D805" s="9"/>
      <c r="E805" s="11"/>
      <c r="F805" s="339"/>
      <c r="H805" s="489"/>
    </row>
    <row r="806" spans="1:8" s="4" customFormat="1">
      <c r="A806" s="38" t="s">
        <v>329</v>
      </c>
      <c r="B806" s="169" t="s">
        <v>370</v>
      </c>
      <c r="C806" s="252"/>
      <c r="D806" s="253"/>
      <c r="E806" s="241"/>
      <c r="F806" s="338">
        <f>SUM(F765:F805)</f>
        <v>0</v>
      </c>
      <c r="H806" s="489"/>
    </row>
    <row r="807" spans="1:8" s="4" customFormat="1">
      <c r="A807" s="10"/>
      <c r="C807" s="194"/>
      <c r="D807" s="9"/>
      <c r="E807" s="11"/>
      <c r="F807" s="339"/>
      <c r="H807" s="489"/>
    </row>
    <row r="808" spans="1:8" s="4" customFormat="1">
      <c r="A808" s="10"/>
      <c r="C808" s="194"/>
      <c r="D808" s="9"/>
      <c r="E808" s="11"/>
      <c r="F808" s="339"/>
      <c r="H808" s="489"/>
    </row>
    <row r="809" spans="1:8" s="4" customFormat="1">
      <c r="A809" s="38" t="s">
        <v>332</v>
      </c>
      <c r="B809" s="168" t="s">
        <v>371</v>
      </c>
      <c r="C809" s="194"/>
      <c r="D809" s="9"/>
      <c r="E809" s="11"/>
      <c r="F809" s="339"/>
      <c r="H809" s="489"/>
    </row>
    <row r="810" spans="1:8" s="4" customFormat="1" ht="13.5" customHeight="1">
      <c r="A810" s="10"/>
      <c r="B810" s="5"/>
      <c r="C810" s="194" t="s">
        <v>372</v>
      </c>
      <c r="D810" s="9"/>
      <c r="E810" s="11"/>
      <c r="F810" s="339"/>
      <c r="H810" s="489"/>
    </row>
    <row r="811" spans="1:8" s="191" customFormat="1">
      <c r="A811" s="10" t="s">
        <v>353</v>
      </c>
      <c r="B811" s="54" t="s">
        <v>909</v>
      </c>
      <c r="C811" s="182"/>
      <c r="D811" s="54"/>
      <c r="E811" s="54"/>
      <c r="F811" s="54"/>
      <c r="G811" s="4"/>
      <c r="H811" s="489"/>
    </row>
    <row r="812" spans="1:8" s="191" customFormat="1" ht="25.5">
      <c r="A812" s="54"/>
      <c r="B812" s="54" t="s">
        <v>640</v>
      </c>
      <c r="C812" s="187"/>
      <c r="D812" s="328"/>
      <c r="E812" s="329"/>
      <c r="F812" s="420"/>
      <c r="G812" s="4"/>
      <c r="H812" s="489"/>
    </row>
    <row r="813" spans="1:8" s="191" customFormat="1">
      <c r="A813" s="54"/>
      <c r="B813" s="54" t="s">
        <v>641</v>
      </c>
      <c r="C813" s="187"/>
      <c r="D813" s="328"/>
      <c r="E813" s="329"/>
      <c r="F813" s="420"/>
      <c r="G813" s="4"/>
      <c r="H813" s="489"/>
    </row>
    <row r="814" spans="1:8" s="191" customFormat="1" ht="25.5">
      <c r="A814" s="54"/>
      <c r="B814" s="54" t="s">
        <v>910</v>
      </c>
      <c r="C814" s="187"/>
      <c r="D814" s="328"/>
      <c r="E814" s="329"/>
      <c r="F814" s="420"/>
      <c r="G814" s="4"/>
      <c r="H814" s="489"/>
    </row>
    <row r="815" spans="1:8" s="191" customFormat="1" ht="25.5">
      <c r="A815" s="54"/>
      <c r="B815" s="4" t="s">
        <v>973</v>
      </c>
      <c r="C815" s="187"/>
      <c r="D815" s="328"/>
      <c r="E815" s="329"/>
      <c r="F815" s="420"/>
      <c r="G815" s="4"/>
      <c r="H815" s="489"/>
    </row>
    <row r="816" spans="1:8" s="191" customFormat="1">
      <c r="A816" s="54"/>
      <c r="B816" s="54" t="s">
        <v>369</v>
      </c>
      <c r="C816" s="187"/>
      <c r="D816" s="328"/>
      <c r="E816" s="329"/>
      <c r="F816" s="420"/>
      <c r="G816" s="4"/>
      <c r="H816" s="489"/>
    </row>
    <row r="817" spans="1:11" s="191" customFormat="1" ht="25.5">
      <c r="A817" s="54"/>
      <c r="B817" s="54" t="s">
        <v>911</v>
      </c>
      <c r="C817" s="187"/>
      <c r="D817" s="328"/>
      <c r="E817" s="329"/>
      <c r="F817" s="420"/>
      <c r="G817" s="4"/>
      <c r="H817" s="486"/>
      <c r="I817" s="373"/>
      <c r="J817" s="374"/>
    </row>
    <row r="818" spans="1:11" s="191" customFormat="1">
      <c r="A818" s="54"/>
      <c r="B818" s="5" t="s">
        <v>974</v>
      </c>
      <c r="C818" s="187"/>
      <c r="D818" s="328"/>
      <c r="E818" s="329"/>
      <c r="F818" s="420"/>
      <c r="G818" s="4"/>
      <c r="H818" s="486"/>
      <c r="I818" s="373"/>
      <c r="J818" s="374"/>
    </row>
    <row r="819" spans="1:11" s="191" customFormat="1">
      <c r="A819" s="54"/>
      <c r="B819" s="4" t="s">
        <v>955</v>
      </c>
      <c r="C819" s="187"/>
      <c r="D819" s="328"/>
      <c r="E819" s="329"/>
      <c r="F819" s="420"/>
      <c r="G819" s="4"/>
      <c r="H819" s="486"/>
      <c r="I819" s="373"/>
      <c r="J819" s="374"/>
    </row>
    <row r="820" spans="1:11" s="54" customFormat="1">
      <c r="B820" s="110" t="s">
        <v>956</v>
      </c>
      <c r="C820" s="195" t="s">
        <v>317</v>
      </c>
      <c r="D820" s="328">
        <v>452</v>
      </c>
      <c r="E820" s="170"/>
      <c r="F820" s="198">
        <f t="shared" ref="F820:F821" si="87">ROUND(D820*E820,2)</f>
        <v>0</v>
      </c>
      <c r="G820" s="4"/>
      <c r="H820" s="486" t="s">
        <v>1021</v>
      </c>
      <c r="I820" s="373"/>
      <c r="J820" s="374"/>
      <c r="K820" s="374"/>
    </row>
    <row r="821" spans="1:11" s="54" customFormat="1">
      <c r="B821" s="110" t="s">
        <v>957</v>
      </c>
      <c r="C821" s="195" t="s">
        <v>322</v>
      </c>
      <c r="D821" s="328">
        <v>178</v>
      </c>
      <c r="E821" s="170"/>
      <c r="F821" s="198">
        <f t="shared" si="87"/>
        <v>0</v>
      </c>
      <c r="G821" s="4"/>
      <c r="H821" s="486" t="s">
        <v>1021</v>
      </c>
      <c r="I821" s="373"/>
      <c r="J821" s="374"/>
    </row>
    <row r="822" spans="1:11" s="54" customFormat="1">
      <c r="C822" s="195"/>
      <c r="D822" s="328"/>
      <c r="E822" s="329"/>
      <c r="F822" s="356"/>
      <c r="H822" s="489"/>
    </row>
    <row r="823" spans="1:11" s="54" customFormat="1">
      <c r="A823" s="10"/>
      <c r="B823" s="53"/>
      <c r="C823" s="63"/>
      <c r="D823" s="227"/>
      <c r="E823" s="56"/>
      <c r="F823" s="343"/>
      <c r="G823" s="52"/>
      <c r="H823" s="489"/>
    </row>
    <row r="824" spans="1:11" s="54" customFormat="1" ht="25.5">
      <c r="A824" s="10" t="s">
        <v>376</v>
      </c>
      <c r="B824" s="54" t="s">
        <v>666</v>
      </c>
      <c r="C824" s="63"/>
      <c r="D824" s="227"/>
      <c r="E824" s="56"/>
      <c r="F824" s="343" t="str">
        <f>IF(D:D*E:E=0," ",D:D*E:E)</f>
        <v xml:space="preserve"> </v>
      </c>
      <c r="G824" s="52"/>
      <c r="H824" s="489"/>
    </row>
    <row r="825" spans="1:11" s="54" customFormat="1">
      <c r="A825" s="10"/>
      <c r="B825" s="54" t="s">
        <v>667</v>
      </c>
      <c r="C825" s="187" t="s">
        <v>320</v>
      </c>
      <c r="D825" s="11">
        <v>50</v>
      </c>
      <c r="E825" s="56"/>
      <c r="F825" s="198">
        <f t="shared" ref="F825" si="88">ROUND(D825*E825,2)</f>
        <v>0</v>
      </c>
      <c r="H825" s="486" t="s">
        <v>1021</v>
      </c>
    </row>
    <row r="826" spans="1:11" s="54" customFormat="1">
      <c r="A826" s="10"/>
      <c r="C826" s="195"/>
      <c r="D826" s="228"/>
      <c r="E826" s="52"/>
      <c r="F826" s="341"/>
      <c r="H826" s="489"/>
    </row>
    <row r="827" spans="1:11" s="4" customFormat="1">
      <c r="A827" s="10"/>
      <c r="B827" s="16"/>
      <c r="C827" s="194"/>
      <c r="D827" s="9"/>
      <c r="E827" s="11"/>
      <c r="F827" s="347"/>
      <c r="H827" s="489"/>
    </row>
    <row r="828" spans="1:11" s="4" customFormat="1">
      <c r="A828" s="38" t="s">
        <v>332</v>
      </c>
      <c r="B828" s="169" t="s">
        <v>553</v>
      </c>
      <c r="C828" s="201"/>
      <c r="D828" s="220"/>
      <c r="E828" s="241"/>
      <c r="F828" s="338">
        <f>SUM(F809:F827)</f>
        <v>0</v>
      </c>
      <c r="H828" s="489"/>
    </row>
    <row r="829" spans="1:11" s="4" customFormat="1">
      <c r="A829" s="10"/>
      <c r="C829" s="194"/>
      <c r="D829" s="9"/>
      <c r="E829" s="11"/>
      <c r="F829" s="339"/>
      <c r="H829" s="489"/>
    </row>
    <row r="830" spans="1:11" s="4" customFormat="1">
      <c r="A830" s="10"/>
      <c r="C830" s="194"/>
      <c r="D830" s="9"/>
      <c r="E830" s="11"/>
      <c r="F830" s="339"/>
      <c r="H830" s="489"/>
    </row>
    <row r="831" spans="1:11" s="4" customFormat="1">
      <c r="A831" s="38" t="s">
        <v>540</v>
      </c>
      <c r="B831" s="168" t="s">
        <v>555</v>
      </c>
      <c r="C831" s="194"/>
      <c r="D831" s="9"/>
      <c r="E831" s="11"/>
      <c r="F831" s="339"/>
      <c r="H831" s="489"/>
    </row>
    <row r="832" spans="1:11" s="4" customFormat="1">
      <c r="A832" s="10"/>
      <c r="B832" s="5"/>
      <c r="C832" s="312"/>
      <c r="D832" s="210"/>
      <c r="E832" s="208"/>
      <c r="F832" s="209"/>
      <c r="G832" s="210"/>
      <c r="H832" s="487"/>
      <c r="I832" s="211"/>
    </row>
    <row r="833" spans="1:9" s="4" customFormat="1">
      <c r="A833" s="10"/>
      <c r="B833" s="16"/>
      <c r="C833" s="194"/>
      <c r="D833" s="9"/>
      <c r="E833" s="165"/>
      <c r="F833" s="209"/>
      <c r="G833" s="210"/>
      <c r="H833" s="487"/>
      <c r="I833" s="211"/>
    </row>
    <row r="834" spans="1:9" s="4" customFormat="1">
      <c r="A834" s="214" t="s">
        <v>353</v>
      </c>
      <c r="B834" s="5" t="s">
        <v>794</v>
      </c>
      <c r="C834" s="194"/>
      <c r="D834" s="9"/>
      <c r="E834" s="215"/>
      <c r="F834" s="349"/>
      <c r="G834" s="485"/>
      <c r="H834" s="495"/>
      <c r="I834" s="211"/>
    </row>
    <row r="835" spans="1:9" s="4" customFormat="1" ht="38.25">
      <c r="A835" s="214"/>
      <c r="B835" s="4" t="s">
        <v>593</v>
      </c>
      <c r="C835" s="194"/>
      <c r="D835" s="9"/>
      <c r="E835" s="215"/>
      <c r="F835" s="349"/>
      <c r="G835" s="485"/>
      <c r="H835" s="495"/>
      <c r="I835" s="211"/>
    </row>
    <row r="836" spans="1:9" s="4" customFormat="1" ht="38.25">
      <c r="A836" s="214"/>
      <c r="B836" s="4" t="s">
        <v>594</v>
      </c>
      <c r="C836" s="194"/>
      <c r="D836" s="9"/>
      <c r="E836" s="215"/>
      <c r="F836" s="349"/>
      <c r="G836" s="485"/>
      <c r="H836" s="495"/>
      <c r="I836" s="211"/>
    </row>
    <row r="837" spans="1:9" s="4" customFormat="1" ht="38.25">
      <c r="A837" s="214"/>
      <c r="B837" s="4" t="s">
        <v>595</v>
      </c>
      <c r="C837" s="194"/>
      <c r="D837" s="9"/>
      <c r="E837" s="215"/>
      <c r="F837" s="349"/>
      <c r="G837" s="485"/>
      <c r="H837" s="495"/>
      <c r="I837" s="211"/>
    </row>
    <row r="838" spans="1:9" s="4" customFormat="1" ht="76.5">
      <c r="A838" s="214"/>
      <c r="B838" s="4" t="s">
        <v>596</v>
      </c>
      <c r="C838" s="45" t="s">
        <v>335</v>
      </c>
      <c r="D838" s="43">
        <v>1</v>
      </c>
      <c r="E838" s="215"/>
      <c r="F838" s="198">
        <f t="shared" ref="F838" si="89">ROUND(D838*E838,2)</f>
        <v>0</v>
      </c>
      <c r="G838" s="210"/>
      <c r="H838" s="487" t="s">
        <v>1024</v>
      </c>
      <c r="I838" s="211"/>
    </row>
    <row r="839" spans="1:9" s="4" customFormat="1">
      <c r="A839" s="214"/>
      <c r="B839" s="4" t="s">
        <v>372</v>
      </c>
      <c r="G839" s="210"/>
      <c r="H839" s="487"/>
      <c r="I839" s="211"/>
    </row>
    <row r="840" spans="1:9" s="4" customFormat="1">
      <c r="A840" s="10"/>
      <c r="B840" s="16"/>
      <c r="C840" s="194"/>
      <c r="D840" s="9"/>
      <c r="E840" s="215"/>
      <c r="F840" s="349"/>
      <c r="G840" s="485"/>
      <c r="H840" s="495"/>
      <c r="I840" s="211"/>
    </row>
    <row r="841" spans="1:9" s="4" customFormat="1">
      <c r="A841" s="10" t="s">
        <v>376</v>
      </c>
      <c r="B841" s="5" t="s">
        <v>685</v>
      </c>
      <c r="C841" s="194"/>
      <c r="D841" s="9"/>
      <c r="E841" s="215"/>
      <c r="F841" s="349"/>
      <c r="G841" s="485"/>
      <c r="H841" s="495"/>
      <c r="I841" s="211"/>
    </row>
    <row r="842" spans="1:9" s="4" customFormat="1" ht="51" customHeight="1">
      <c r="A842" s="10"/>
      <c r="B842" s="4" t="s">
        <v>686</v>
      </c>
      <c r="C842" s="194"/>
      <c r="D842" s="9"/>
      <c r="E842" s="215"/>
      <c r="F842" s="349"/>
      <c r="G842" s="485"/>
      <c r="H842" s="495"/>
      <c r="I842" s="211"/>
    </row>
    <row r="843" spans="1:9" s="4" customFormat="1" ht="25.5">
      <c r="A843" s="10"/>
      <c r="B843" s="4" t="s">
        <v>690</v>
      </c>
      <c r="C843" s="194"/>
      <c r="D843" s="9"/>
      <c r="E843" s="215"/>
      <c r="F843" s="349"/>
      <c r="G843" s="485"/>
      <c r="H843" s="495"/>
      <c r="I843" s="211"/>
    </row>
    <row r="844" spans="1:9" s="4" customFormat="1" ht="38.25">
      <c r="A844" s="10"/>
      <c r="B844" s="4" t="s">
        <v>597</v>
      </c>
      <c r="C844" s="194"/>
      <c r="D844" s="9"/>
      <c r="E844" s="215"/>
      <c r="F844" s="349"/>
      <c r="G844" s="485"/>
      <c r="H844" s="495"/>
      <c r="I844" s="211"/>
    </row>
    <row r="845" spans="1:9" s="4" customFormat="1" ht="51">
      <c r="A845" s="10"/>
      <c r="B845" s="4" t="s">
        <v>598</v>
      </c>
      <c r="C845" s="194"/>
      <c r="D845" s="121"/>
      <c r="E845" s="261"/>
      <c r="F845" s="349"/>
      <c r="G845" s="485"/>
      <c r="H845" s="487"/>
      <c r="I845" s="211"/>
    </row>
    <row r="846" spans="1:9" s="4" customFormat="1" ht="51">
      <c r="A846" s="10"/>
      <c r="B846" s="4" t="s">
        <v>687</v>
      </c>
      <c r="C846" s="194"/>
      <c r="D846" s="121"/>
      <c r="E846" s="261"/>
      <c r="F846" s="349"/>
      <c r="G846" s="485"/>
      <c r="H846" s="495"/>
      <c r="I846" s="211"/>
    </row>
    <row r="847" spans="1:9" s="4" customFormat="1" ht="38.25">
      <c r="A847" s="10"/>
      <c r="B847" s="4" t="s">
        <v>689</v>
      </c>
      <c r="C847" s="194" t="s">
        <v>335</v>
      </c>
      <c r="D847" s="9">
        <v>1</v>
      </c>
      <c r="E847" s="261"/>
      <c r="F847" s="198">
        <f t="shared" ref="F847" si="90">ROUND(D847*E847,2)</f>
        <v>0</v>
      </c>
      <c r="G847" s="210"/>
      <c r="H847" s="487" t="s">
        <v>1024</v>
      </c>
      <c r="I847" s="211"/>
    </row>
    <row r="848" spans="1:9" s="4" customFormat="1">
      <c r="A848" s="10"/>
      <c r="C848" s="194"/>
      <c r="D848" s="9"/>
      <c r="E848" s="261"/>
      <c r="F848" s="209"/>
      <c r="G848" s="210"/>
      <c r="H848" s="487"/>
      <c r="I848" s="211"/>
    </row>
    <row r="849" spans="1:15" s="4" customFormat="1" ht="14.25" customHeight="1">
      <c r="A849" s="294"/>
      <c r="B849" s="188" t="s">
        <v>369</v>
      </c>
      <c r="C849" s="263"/>
      <c r="D849" s="264"/>
      <c r="E849" s="265"/>
      <c r="F849" s="348"/>
      <c r="H849" s="489"/>
    </row>
    <row r="850" spans="1:15" s="266" customFormat="1" ht="30.75" customHeight="1">
      <c r="A850" s="294"/>
      <c r="B850" s="188" t="s">
        <v>554</v>
      </c>
      <c r="C850" s="263"/>
      <c r="D850" s="264"/>
      <c r="E850" s="265"/>
      <c r="F850" s="348"/>
      <c r="G850" s="4"/>
      <c r="H850" s="489"/>
      <c r="I850" s="4"/>
      <c r="J850" s="4"/>
      <c r="K850" s="4"/>
      <c r="L850" s="4"/>
      <c r="M850" s="4"/>
      <c r="N850" s="4"/>
      <c r="O850" s="4"/>
    </row>
    <row r="851" spans="1:15" s="4" customFormat="1">
      <c r="A851" s="10"/>
      <c r="B851" s="16"/>
      <c r="C851" s="194"/>
      <c r="D851" s="9"/>
      <c r="E851" s="165"/>
      <c r="F851" s="209"/>
      <c r="G851" s="210"/>
      <c r="H851" s="487"/>
      <c r="I851" s="211"/>
    </row>
    <row r="852" spans="1:15" s="4" customFormat="1">
      <c r="A852" s="10" t="s">
        <v>383</v>
      </c>
      <c r="B852" s="5" t="s">
        <v>555</v>
      </c>
      <c r="C852" s="194"/>
      <c r="D852" s="9"/>
      <c r="E852" s="215"/>
      <c r="F852" s="349"/>
      <c r="G852" s="485"/>
      <c r="H852" s="495"/>
      <c r="I852" s="211"/>
    </row>
    <row r="853" spans="1:15" s="4" customFormat="1" ht="127.5">
      <c r="A853" s="10"/>
      <c r="B853" s="16" t="s">
        <v>603</v>
      </c>
      <c r="C853" s="194"/>
      <c r="D853" s="9"/>
      <c r="E853" s="215"/>
      <c r="F853" s="349"/>
      <c r="G853" s="485"/>
      <c r="H853" s="495"/>
      <c r="I853" s="211"/>
    </row>
    <row r="854" spans="1:15" s="4" customFormat="1" ht="169.5" customHeight="1">
      <c r="A854" s="10"/>
      <c r="B854" s="16" t="s">
        <v>604</v>
      </c>
      <c r="C854" s="194"/>
      <c r="D854" s="9"/>
      <c r="E854" s="215"/>
      <c r="F854" s="349"/>
      <c r="G854" s="485"/>
      <c r="H854" s="495"/>
      <c r="I854" s="211"/>
    </row>
    <row r="855" spans="1:15" s="4" customFormat="1" ht="108" customHeight="1">
      <c r="A855" s="10"/>
      <c r="B855" s="16" t="s">
        <v>605</v>
      </c>
      <c r="C855" s="194"/>
      <c r="D855" s="9"/>
      <c r="E855" s="215"/>
      <c r="F855" s="349"/>
      <c r="G855" s="485"/>
      <c r="H855" s="495"/>
      <c r="I855" s="211"/>
    </row>
    <row r="856" spans="1:15" s="4" customFormat="1">
      <c r="A856" s="10"/>
      <c r="B856" s="16"/>
      <c r="C856" s="194"/>
      <c r="D856" s="9"/>
      <c r="E856" s="215"/>
      <c r="F856" s="349"/>
      <c r="G856" s="485"/>
      <c r="H856" s="495"/>
      <c r="I856" s="211"/>
    </row>
    <row r="857" spans="1:15" s="4" customFormat="1">
      <c r="A857" s="10"/>
      <c r="B857" s="4" t="s">
        <v>913</v>
      </c>
      <c r="C857" s="313"/>
      <c r="D857" s="223"/>
      <c r="E857" s="261"/>
      <c r="F857" s="349"/>
      <c r="G857" s="485"/>
      <c r="H857" s="495"/>
      <c r="I857" s="211"/>
    </row>
    <row r="858" spans="1:15" s="4" customFormat="1" ht="25.5">
      <c r="A858" s="10"/>
      <c r="B858" s="4" t="s">
        <v>599</v>
      </c>
      <c r="C858" s="313"/>
      <c r="D858" s="223"/>
      <c r="E858" s="261"/>
      <c r="F858" s="349"/>
      <c r="G858" s="485"/>
      <c r="H858" s="495"/>
      <c r="I858" s="211"/>
    </row>
    <row r="859" spans="1:15" s="4" customFormat="1">
      <c r="A859" s="10"/>
      <c r="B859" s="4" t="s">
        <v>600</v>
      </c>
      <c r="C859" s="313"/>
      <c r="D859" s="224"/>
      <c r="E859" s="262"/>
      <c r="F859" s="349"/>
      <c r="G859" s="485"/>
      <c r="H859" s="495"/>
      <c r="I859" s="211"/>
    </row>
    <row r="860" spans="1:15" s="4" customFormat="1" ht="27" customHeight="1">
      <c r="A860" s="10"/>
      <c r="B860" s="4" t="s">
        <v>601</v>
      </c>
      <c r="C860" s="313"/>
      <c r="D860" s="224"/>
      <c r="E860" s="262"/>
      <c r="F860" s="349"/>
      <c r="G860" s="485"/>
      <c r="H860" s="495"/>
      <c r="I860" s="211"/>
    </row>
    <row r="861" spans="1:15" s="4" customFormat="1">
      <c r="A861" s="10"/>
      <c r="B861" s="4" t="s">
        <v>602</v>
      </c>
      <c r="C861" s="314"/>
      <c r="D861" s="224"/>
      <c r="E861" s="262"/>
      <c r="F861" s="349"/>
      <c r="G861" s="485"/>
      <c r="H861" s="495"/>
      <c r="I861" s="211"/>
    </row>
    <row r="862" spans="1:15" s="4" customFormat="1" ht="38.25">
      <c r="A862" s="10"/>
      <c r="B862" s="4" t="s">
        <v>827</v>
      </c>
      <c r="C862" s="313"/>
      <c r="D862" s="224"/>
      <c r="E862" s="215"/>
      <c r="F862" s="349"/>
      <c r="G862" s="485"/>
      <c r="H862" s="495"/>
      <c r="I862" s="211"/>
    </row>
    <row r="863" spans="1:15" s="4" customFormat="1">
      <c r="A863" s="10"/>
      <c r="C863" s="313"/>
      <c r="D863" s="224"/>
      <c r="E863" s="215"/>
      <c r="F863" s="349"/>
      <c r="G863" s="485"/>
      <c r="H863" s="495"/>
      <c r="I863" s="211"/>
    </row>
    <row r="864" spans="1:15" s="50" customFormat="1" ht="14.25" customHeight="1">
      <c r="A864" s="10"/>
      <c r="B864" s="4" t="s">
        <v>915</v>
      </c>
      <c r="C864" s="202"/>
      <c r="D864" s="228"/>
      <c r="E864" s="228"/>
      <c r="F864" s="341"/>
      <c r="H864" s="489"/>
    </row>
    <row r="865" spans="1:9" s="50" customFormat="1">
      <c r="A865" s="10"/>
      <c r="B865" s="50" t="s">
        <v>684</v>
      </c>
      <c r="C865" s="202" t="s">
        <v>316</v>
      </c>
      <c r="D865" s="327">
        <v>0</v>
      </c>
      <c r="E865" s="228"/>
      <c r="F865" s="198">
        <f t="shared" ref="F865:F867" si="91">ROUND(D865*E865,2)</f>
        <v>0</v>
      </c>
      <c r="H865" s="487" t="s">
        <v>1024</v>
      </c>
    </row>
    <row r="866" spans="1:9" s="50" customFormat="1">
      <c r="A866" s="10"/>
      <c r="B866" s="50" t="s">
        <v>914</v>
      </c>
      <c r="C866" s="202" t="s">
        <v>316</v>
      </c>
      <c r="D866" s="327">
        <v>1</v>
      </c>
      <c r="E866" s="228"/>
      <c r="F866" s="198">
        <f t="shared" si="91"/>
        <v>0</v>
      </c>
      <c r="H866" s="487" t="s">
        <v>1024</v>
      </c>
    </row>
    <row r="867" spans="1:9" s="50" customFormat="1">
      <c r="A867" s="10"/>
      <c r="B867" s="50" t="s">
        <v>683</v>
      </c>
      <c r="C867" s="202" t="s">
        <v>316</v>
      </c>
      <c r="D867" s="327">
        <v>1</v>
      </c>
      <c r="E867" s="228"/>
      <c r="F867" s="198">
        <f t="shared" si="91"/>
        <v>0</v>
      </c>
      <c r="H867" s="487" t="s">
        <v>1024</v>
      </c>
    </row>
    <row r="868" spans="1:9" s="50" customFormat="1">
      <c r="A868" s="10"/>
      <c r="C868" s="202"/>
      <c r="D868" s="327"/>
      <c r="E868" s="228"/>
      <c r="F868" s="341"/>
      <c r="H868" s="489"/>
    </row>
    <row r="869" spans="1:9" s="50" customFormat="1" ht="15" customHeight="1">
      <c r="A869" s="10"/>
      <c r="B869" s="4" t="s">
        <v>916</v>
      </c>
      <c r="C869" s="202"/>
      <c r="D869" s="228"/>
      <c r="E869" s="228"/>
      <c r="F869" s="341"/>
      <c r="H869" s="489"/>
    </row>
    <row r="870" spans="1:9" s="50" customFormat="1">
      <c r="A870" s="10"/>
      <c r="B870" s="50" t="s">
        <v>684</v>
      </c>
      <c r="C870" s="202" t="s">
        <v>316</v>
      </c>
      <c r="D870" s="327">
        <v>0</v>
      </c>
      <c r="E870" s="228"/>
      <c r="F870" s="198">
        <f t="shared" ref="F870:F872" si="92">ROUND(D870*E870,2)</f>
        <v>0</v>
      </c>
      <c r="H870" s="487" t="s">
        <v>1024</v>
      </c>
    </row>
    <row r="871" spans="1:9" s="50" customFormat="1">
      <c r="A871" s="10"/>
      <c r="B871" s="50" t="s">
        <v>914</v>
      </c>
      <c r="C871" s="202" t="s">
        <v>316</v>
      </c>
      <c r="D871" s="327">
        <v>2</v>
      </c>
      <c r="E871" s="228"/>
      <c r="F871" s="198">
        <f t="shared" si="92"/>
        <v>0</v>
      </c>
      <c r="H871" s="487" t="s">
        <v>1024</v>
      </c>
    </row>
    <row r="872" spans="1:9" s="50" customFormat="1">
      <c r="A872" s="10"/>
      <c r="B872" s="50" t="s">
        <v>683</v>
      </c>
      <c r="C872" s="202" t="s">
        <v>316</v>
      </c>
      <c r="D872" s="327">
        <v>4</v>
      </c>
      <c r="E872" s="228"/>
      <c r="F872" s="198">
        <f t="shared" si="92"/>
        <v>0</v>
      </c>
      <c r="H872" s="487" t="s">
        <v>1024</v>
      </c>
    </row>
    <row r="873" spans="1:9" s="4" customFormat="1">
      <c r="A873" s="10"/>
      <c r="C873" s="313"/>
      <c r="D873" s="224"/>
      <c r="E873" s="215"/>
      <c r="F873" s="349"/>
      <c r="G873" s="485"/>
      <c r="H873" s="495"/>
      <c r="I873" s="211"/>
    </row>
    <row r="874" spans="1:9" s="50" customFormat="1" ht="27" customHeight="1">
      <c r="A874" s="10"/>
      <c r="B874" s="4" t="s">
        <v>917</v>
      </c>
      <c r="C874" s="202"/>
      <c r="D874" s="228"/>
      <c r="E874" s="228"/>
      <c r="F874" s="341"/>
      <c r="H874" s="489"/>
    </row>
    <row r="875" spans="1:9" s="50" customFormat="1">
      <c r="A875" s="10"/>
      <c r="B875" s="50" t="s">
        <v>684</v>
      </c>
      <c r="C875" s="202" t="s">
        <v>316</v>
      </c>
      <c r="D875" s="327">
        <v>0</v>
      </c>
      <c r="E875" s="228"/>
      <c r="F875" s="198">
        <f t="shared" ref="F875:F877" si="93">ROUND(D875*E875,2)</f>
        <v>0</v>
      </c>
      <c r="H875" s="487" t="s">
        <v>1024</v>
      </c>
    </row>
    <row r="876" spans="1:9" s="50" customFormat="1">
      <c r="A876" s="10"/>
      <c r="B876" s="50" t="s">
        <v>914</v>
      </c>
      <c r="C876" s="202" t="s">
        <v>316</v>
      </c>
      <c r="D876" s="327">
        <v>72</v>
      </c>
      <c r="E876" s="228"/>
      <c r="F876" s="198">
        <f t="shared" si="93"/>
        <v>0</v>
      </c>
      <c r="H876" s="487" t="s">
        <v>1024</v>
      </c>
    </row>
    <row r="877" spans="1:9" s="50" customFormat="1" ht="13.5" customHeight="1">
      <c r="A877" s="10"/>
      <c r="B877" s="50" t="s">
        <v>683</v>
      </c>
      <c r="C877" s="202" t="s">
        <v>316</v>
      </c>
      <c r="D877" s="327">
        <v>1</v>
      </c>
      <c r="E877" s="228"/>
      <c r="F877" s="198">
        <f t="shared" si="93"/>
        <v>0</v>
      </c>
      <c r="H877" s="487" t="s">
        <v>1024</v>
      </c>
    </row>
    <row r="878" spans="1:9" s="4" customFormat="1">
      <c r="A878" s="10"/>
      <c r="C878" s="313"/>
      <c r="D878" s="224"/>
      <c r="E878" s="215"/>
      <c r="F878" s="349"/>
      <c r="G878" s="485"/>
      <c r="H878" s="495"/>
      <c r="I878" s="211"/>
    </row>
    <row r="879" spans="1:9" s="50" customFormat="1" ht="27" customHeight="1">
      <c r="A879" s="10"/>
      <c r="B879" s="4" t="s">
        <v>918</v>
      </c>
      <c r="C879" s="202"/>
      <c r="D879" s="228"/>
      <c r="E879" s="228"/>
      <c r="F879" s="341"/>
      <c r="H879" s="489"/>
    </row>
    <row r="880" spans="1:9" s="50" customFormat="1">
      <c r="A880" s="10"/>
      <c r="B880" s="50" t="s">
        <v>684</v>
      </c>
      <c r="C880" s="202" t="s">
        <v>316</v>
      </c>
      <c r="D880" s="327">
        <v>131</v>
      </c>
      <c r="E880" s="228"/>
      <c r="F880" s="198">
        <f t="shared" ref="F880:F882" si="94">ROUND(D880*E880,2)</f>
        <v>0</v>
      </c>
      <c r="H880" s="487" t="s">
        <v>1024</v>
      </c>
    </row>
    <row r="881" spans="1:8" s="50" customFormat="1">
      <c r="A881" s="10"/>
      <c r="B881" s="50" t="s">
        <v>914</v>
      </c>
      <c r="C881" s="202" t="s">
        <v>316</v>
      </c>
      <c r="D881" s="327">
        <v>134</v>
      </c>
      <c r="E881" s="228"/>
      <c r="F881" s="198">
        <f t="shared" si="94"/>
        <v>0</v>
      </c>
      <c r="H881" s="487" t="s">
        <v>1024</v>
      </c>
    </row>
    <row r="882" spans="1:8" s="50" customFormat="1" ht="13.5" customHeight="1">
      <c r="A882" s="10"/>
      <c r="B882" s="50" t="s">
        <v>683</v>
      </c>
      <c r="C882" s="202" t="s">
        <v>316</v>
      </c>
      <c r="D882" s="327">
        <v>4</v>
      </c>
      <c r="E882" s="228"/>
      <c r="F882" s="198">
        <f t="shared" si="94"/>
        <v>0</v>
      </c>
      <c r="H882" s="487" t="s">
        <v>1024</v>
      </c>
    </row>
    <row r="883" spans="1:8" s="50" customFormat="1" ht="13.5" customHeight="1">
      <c r="A883" s="10"/>
      <c r="C883" s="202"/>
      <c r="D883" s="327"/>
      <c r="E883" s="228"/>
      <c r="F883" s="198"/>
      <c r="H883" s="489"/>
    </row>
    <row r="884" spans="1:8" s="54" customFormat="1" ht="38.25">
      <c r="B884" s="4" t="s">
        <v>919</v>
      </c>
      <c r="C884" s="187"/>
      <c r="D884" s="56"/>
      <c r="E884" s="56"/>
      <c r="F884" s="356"/>
      <c r="H884" s="489"/>
    </row>
    <row r="885" spans="1:8" s="54" customFormat="1">
      <c r="B885" s="4" t="s">
        <v>692</v>
      </c>
      <c r="C885" s="187" t="s">
        <v>316</v>
      </c>
      <c r="D885" s="56">
        <v>1</v>
      </c>
      <c r="E885" s="56"/>
      <c r="F885" s="198">
        <f t="shared" ref="F885:F887" si="95">ROUND(D885*E885,2)</f>
        <v>0</v>
      </c>
      <c r="H885" s="487" t="s">
        <v>1024</v>
      </c>
    </row>
    <row r="886" spans="1:8" s="54" customFormat="1">
      <c r="B886" s="4" t="s">
        <v>693</v>
      </c>
      <c r="C886" s="187" t="s">
        <v>316</v>
      </c>
      <c r="D886" s="56">
        <v>3</v>
      </c>
      <c r="E886" s="56"/>
      <c r="F886" s="198">
        <f t="shared" si="95"/>
        <v>0</v>
      </c>
      <c r="H886" s="487" t="s">
        <v>1024</v>
      </c>
    </row>
    <row r="887" spans="1:8" s="54" customFormat="1">
      <c r="B887" s="54" t="s">
        <v>683</v>
      </c>
      <c r="C887" s="187" t="s">
        <v>316</v>
      </c>
      <c r="D887" s="56">
        <v>1</v>
      </c>
      <c r="E887" s="56"/>
      <c r="F887" s="198">
        <f t="shared" si="95"/>
        <v>0</v>
      </c>
      <c r="H887" s="487" t="s">
        <v>1024</v>
      </c>
    </row>
    <row r="888" spans="1:8" s="50" customFormat="1">
      <c r="A888" s="10"/>
      <c r="C888" s="202"/>
      <c r="D888" s="327"/>
      <c r="E888" s="228"/>
      <c r="F888" s="341"/>
      <c r="H888" s="489"/>
    </row>
    <row r="889" spans="1:8" s="54" customFormat="1" ht="38.25">
      <c r="B889" s="4" t="s">
        <v>920</v>
      </c>
      <c r="C889" s="187"/>
      <c r="D889" s="56"/>
      <c r="E889" s="56"/>
      <c r="F889" s="356"/>
      <c r="H889" s="489"/>
    </row>
    <row r="890" spans="1:8" s="54" customFormat="1">
      <c r="B890" s="4" t="s">
        <v>684</v>
      </c>
      <c r="C890" s="187" t="s">
        <v>316</v>
      </c>
      <c r="D890" s="56"/>
      <c r="E890" s="56"/>
      <c r="F890" s="198">
        <f t="shared" ref="F890:F892" si="96">ROUND(D890*E890,2)</f>
        <v>0</v>
      </c>
      <c r="H890" s="487" t="s">
        <v>1024</v>
      </c>
    </row>
    <row r="891" spans="1:8" s="54" customFormat="1">
      <c r="B891" s="4" t="s">
        <v>914</v>
      </c>
      <c r="C891" s="187" t="s">
        <v>316</v>
      </c>
      <c r="D891" s="56">
        <v>4</v>
      </c>
      <c r="E891" s="56"/>
      <c r="F891" s="198">
        <f t="shared" si="96"/>
        <v>0</v>
      </c>
      <c r="H891" s="487" t="s">
        <v>1024</v>
      </c>
    </row>
    <row r="892" spans="1:8" s="54" customFormat="1">
      <c r="B892" s="54" t="s">
        <v>683</v>
      </c>
      <c r="C892" s="187" t="s">
        <v>316</v>
      </c>
      <c r="D892" s="56">
        <v>1</v>
      </c>
      <c r="E892" s="56"/>
      <c r="F892" s="198">
        <f t="shared" si="96"/>
        <v>0</v>
      </c>
      <c r="H892" s="487" t="s">
        <v>1024</v>
      </c>
    </row>
    <row r="893" spans="1:8" s="50" customFormat="1">
      <c r="A893" s="10"/>
      <c r="C893" s="202"/>
      <c r="D893" s="327"/>
      <c r="E893" s="228"/>
      <c r="F893" s="341"/>
      <c r="H893" s="489"/>
    </row>
    <row r="894" spans="1:8" s="54" customFormat="1" ht="38.25">
      <c r="B894" s="4" t="s">
        <v>924</v>
      </c>
      <c r="C894" s="187"/>
      <c r="D894" s="56"/>
      <c r="E894" s="56"/>
      <c r="F894" s="356"/>
      <c r="H894" s="489"/>
    </row>
    <row r="895" spans="1:8" s="54" customFormat="1">
      <c r="B895" s="4" t="s">
        <v>684</v>
      </c>
      <c r="C895" s="187" t="s">
        <v>316</v>
      </c>
      <c r="D895" s="56">
        <v>1</v>
      </c>
      <c r="E895" s="56"/>
      <c r="F895" s="198">
        <f t="shared" ref="F895:F897" si="97">ROUND(D895*E895,2)</f>
        <v>0</v>
      </c>
      <c r="H895" s="487" t="s">
        <v>1024</v>
      </c>
    </row>
    <row r="896" spans="1:8" s="54" customFormat="1">
      <c r="B896" s="4" t="s">
        <v>914</v>
      </c>
      <c r="C896" s="187" t="s">
        <v>316</v>
      </c>
      <c r="D896" s="56">
        <v>1</v>
      </c>
      <c r="E896" s="56"/>
      <c r="F896" s="198">
        <f t="shared" si="97"/>
        <v>0</v>
      </c>
      <c r="H896" s="487" t="s">
        <v>1024</v>
      </c>
    </row>
    <row r="897" spans="2:8" s="54" customFormat="1">
      <c r="B897" s="54" t="s">
        <v>683</v>
      </c>
      <c r="C897" s="187" t="s">
        <v>316</v>
      </c>
      <c r="D897" s="56">
        <v>1</v>
      </c>
      <c r="E897" s="56"/>
      <c r="F897" s="198">
        <f t="shared" si="97"/>
        <v>0</v>
      </c>
      <c r="H897" s="487" t="s">
        <v>1024</v>
      </c>
    </row>
    <row r="898" spans="2:8" s="54" customFormat="1">
      <c r="C898" s="187"/>
      <c r="D898" s="56"/>
      <c r="E898" s="56"/>
      <c r="F898" s="356"/>
      <c r="H898" s="489"/>
    </row>
    <row r="899" spans="2:8" s="54" customFormat="1" ht="38.25">
      <c r="B899" s="4" t="s">
        <v>922</v>
      </c>
      <c r="C899" s="187"/>
      <c r="D899" s="56"/>
      <c r="E899" s="56"/>
      <c r="F899" s="356"/>
      <c r="H899" s="489"/>
    </row>
    <row r="900" spans="2:8" s="54" customFormat="1">
      <c r="B900" s="4" t="s">
        <v>684</v>
      </c>
      <c r="C900" s="187" t="s">
        <v>316</v>
      </c>
      <c r="D900" s="56">
        <v>3</v>
      </c>
      <c r="E900" s="56"/>
      <c r="F900" s="198">
        <f t="shared" ref="F900:F902" si="98">ROUND(D900*E900,2)</f>
        <v>0</v>
      </c>
      <c r="H900" s="487" t="s">
        <v>1024</v>
      </c>
    </row>
    <row r="901" spans="2:8" s="54" customFormat="1">
      <c r="B901" s="4" t="s">
        <v>921</v>
      </c>
      <c r="C901" s="187" t="s">
        <v>316</v>
      </c>
      <c r="D901" s="56">
        <v>1</v>
      </c>
      <c r="E901" s="56"/>
      <c r="F901" s="198">
        <f t="shared" si="98"/>
        <v>0</v>
      </c>
      <c r="H901" s="487" t="s">
        <v>1024</v>
      </c>
    </row>
    <row r="902" spans="2:8" s="54" customFormat="1">
      <c r="B902" s="4" t="s">
        <v>683</v>
      </c>
      <c r="C902" s="187" t="s">
        <v>316</v>
      </c>
      <c r="D902" s="56">
        <v>1</v>
      </c>
      <c r="E902" s="56"/>
      <c r="F902" s="198">
        <f t="shared" si="98"/>
        <v>0</v>
      </c>
      <c r="H902" s="487" t="s">
        <v>1024</v>
      </c>
    </row>
    <row r="903" spans="2:8" s="54" customFormat="1">
      <c r="C903" s="187"/>
      <c r="D903" s="56"/>
      <c r="E903" s="56"/>
      <c r="F903" s="356"/>
      <c r="H903" s="489"/>
    </row>
    <row r="904" spans="2:8" s="54" customFormat="1" ht="25.5">
      <c r="B904" s="4" t="s">
        <v>923</v>
      </c>
      <c r="C904" s="187"/>
      <c r="D904" s="56"/>
      <c r="E904" s="56"/>
      <c r="F904" s="356"/>
      <c r="H904" s="489"/>
    </row>
    <row r="905" spans="2:8" s="54" customFormat="1">
      <c r="B905" s="4" t="s">
        <v>684</v>
      </c>
      <c r="C905" s="187" t="s">
        <v>316</v>
      </c>
      <c r="D905" s="56">
        <v>3</v>
      </c>
      <c r="E905" s="56"/>
      <c r="F905" s="198">
        <f t="shared" ref="F905:F907" si="99">ROUND(D905*E905,2)</f>
        <v>0</v>
      </c>
      <c r="H905" s="487" t="s">
        <v>1024</v>
      </c>
    </row>
    <row r="906" spans="2:8" s="54" customFormat="1">
      <c r="B906" s="4" t="s">
        <v>921</v>
      </c>
      <c r="C906" s="187" t="s">
        <v>316</v>
      </c>
      <c r="D906" s="56">
        <v>1</v>
      </c>
      <c r="E906" s="56"/>
      <c r="F906" s="198">
        <f t="shared" si="99"/>
        <v>0</v>
      </c>
      <c r="H906" s="487" t="s">
        <v>1024</v>
      </c>
    </row>
    <row r="907" spans="2:8" s="54" customFormat="1">
      <c r="B907" s="4" t="s">
        <v>683</v>
      </c>
      <c r="C907" s="187" t="s">
        <v>316</v>
      </c>
      <c r="D907" s="56">
        <v>1</v>
      </c>
      <c r="E907" s="56"/>
      <c r="F907" s="198">
        <f t="shared" si="99"/>
        <v>0</v>
      </c>
      <c r="H907" s="487" t="s">
        <v>1024</v>
      </c>
    </row>
    <row r="908" spans="2:8" s="54" customFormat="1">
      <c r="C908" s="187"/>
      <c r="D908" s="56"/>
      <c r="E908" s="56"/>
      <c r="F908" s="356"/>
      <c r="H908" s="489"/>
    </row>
    <row r="909" spans="2:8" s="54" customFormat="1" ht="25.5">
      <c r="B909" s="4" t="s">
        <v>925</v>
      </c>
      <c r="C909" s="187"/>
      <c r="D909" s="56"/>
      <c r="E909" s="56"/>
      <c r="F909" s="356"/>
      <c r="H909" s="489"/>
    </row>
    <row r="910" spans="2:8" s="54" customFormat="1">
      <c r="B910" s="4" t="s">
        <v>684</v>
      </c>
      <c r="C910" s="187" t="s">
        <v>316</v>
      </c>
      <c r="D910" s="56">
        <v>30</v>
      </c>
      <c r="E910" s="56"/>
      <c r="F910" s="198">
        <f t="shared" ref="F910:F912" si="100">ROUND(D910*E910,2)</f>
        <v>0</v>
      </c>
      <c r="H910" s="487" t="s">
        <v>1024</v>
      </c>
    </row>
    <row r="911" spans="2:8" s="54" customFormat="1">
      <c r="B911" s="4" t="s">
        <v>921</v>
      </c>
      <c r="C911" s="187" t="s">
        <v>316</v>
      </c>
      <c r="D911" s="56">
        <v>6</v>
      </c>
      <c r="E911" s="56"/>
      <c r="F911" s="198">
        <f t="shared" si="100"/>
        <v>0</v>
      </c>
      <c r="H911" s="487" t="s">
        <v>1024</v>
      </c>
    </row>
    <row r="912" spans="2:8" s="54" customFormat="1">
      <c r="B912" s="4" t="s">
        <v>683</v>
      </c>
      <c r="C912" s="187" t="s">
        <v>316</v>
      </c>
      <c r="D912" s="56">
        <v>1</v>
      </c>
      <c r="E912" s="56"/>
      <c r="F912" s="198">
        <f t="shared" si="100"/>
        <v>0</v>
      </c>
      <c r="H912" s="487" t="s">
        <v>1024</v>
      </c>
    </row>
    <row r="913" spans="2:8" s="54" customFormat="1">
      <c r="C913" s="187"/>
      <c r="D913" s="56"/>
      <c r="E913" s="56"/>
      <c r="F913" s="356"/>
      <c r="H913" s="489"/>
    </row>
    <row r="914" spans="2:8" s="54" customFormat="1" ht="27.75" customHeight="1">
      <c r="B914" s="4" t="s">
        <v>926</v>
      </c>
      <c r="C914" s="187"/>
      <c r="D914" s="56"/>
      <c r="E914" s="56"/>
      <c r="F914" s="356"/>
      <c r="H914" s="489"/>
    </row>
    <row r="915" spans="2:8" s="54" customFormat="1">
      <c r="B915" s="4" t="s">
        <v>684</v>
      </c>
      <c r="C915" s="187" t="s">
        <v>316</v>
      </c>
      <c r="D915" s="56">
        <v>1</v>
      </c>
      <c r="E915" s="56"/>
      <c r="F915" s="198">
        <f t="shared" ref="F915:F917" si="101">ROUND(D915*E915,2)</f>
        <v>0</v>
      </c>
      <c r="H915" s="487" t="s">
        <v>1024</v>
      </c>
    </row>
    <row r="916" spans="2:8" s="54" customFormat="1">
      <c r="B916" s="4" t="s">
        <v>914</v>
      </c>
      <c r="C916" s="187" t="s">
        <v>316</v>
      </c>
      <c r="D916" s="56">
        <v>1</v>
      </c>
      <c r="E916" s="56"/>
      <c r="F916" s="198">
        <f t="shared" si="101"/>
        <v>0</v>
      </c>
      <c r="H916" s="487" t="s">
        <v>1024</v>
      </c>
    </row>
    <row r="917" spans="2:8" s="54" customFormat="1">
      <c r="B917" s="54" t="s">
        <v>683</v>
      </c>
      <c r="C917" s="187" t="s">
        <v>316</v>
      </c>
      <c r="D917" s="56">
        <v>1</v>
      </c>
      <c r="E917" s="56"/>
      <c r="F917" s="198">
        <f t="shared" si="101"/>
        <v>0</v>
      </c>
      <c r="H917" s="487" t="s">
        <v>1024</v>
      </c>
    </row>
    <row r="918" spans="2:8" s="54" customFormat="1">
      <c r="C918" s="187"/>
      <c r="D918" s="56"/>
      <c r="E918" s="56"/>
      <c r="F918" s="356"/>
      <c r="H918" s="489"/>
    </row>
    <row r="919" spans="2:8" s="54" customFormat="1" ht="27.75" customHeight="1">
      <c r="B919" s="4" t="s">
        <v>927</v>
      </c>
      <c r="C919" s="187"/>
      <c r="D919" s="56"/>
      <c r="E919" s="56"/>
      <c r="F919" s="356"/>
      <c r="H919" s="489"/>
    </row>
    <row r="920" spans="2:8" s="54" customFormat="1">
      <c r="B920" s="4" t="s">
        <v>684</v>
      </c>
      <c r="C920" s="187" t="s">
        <v>316</v>
      </c>
      <c r="D920" s="56">
        <v>3</v>
      </c>
      <c r="E920" s="56"/>
      <c r="F920" s="198">
        <f t="shared" ref="F920:F922" si="102">ROUND(D920*E920,2)</f>
        <v>0</v>
      </c>
      <c r="H920" s="487" t="s">
        <v>1024</v>
      </c>
    </row>
    <row r="921" spans="2:8" s="54" customFormat="1">
      <c r="B921" s="4" t="s">
        <v>914</v>
      </c>
      <c r="C921" s="187" t="s">
        <v>316</v>
      </c>
      <c r="D921" s="56">
        <v>1</v>
      </c>
      <c r="E921" s="56"/>
      <c r="F921" s="198">
        <f t="shared" si="102"/>
        <v>0</v>
      </c>
      <c r="H921" s="487" t="s">
        <v>1024</v>
      </c>
    </row>
    <row r="922" spans="2:8" s="54" customFormat="1">
      <c r="B922" s="54" t="s">
        <v>683</v>
      </c>
      <c r="C922" s="187" t="s">
        <v>316</v>
      </c>
      <c r="D922" s="56">
        <v>1</v>
      </c>
      <c r="E922" s="56"/>
      <c r="F922" s="198">
        <f t="shared" si="102"/>
        <v>0</v>
      </c>
      <c r="H922" s="487" t="s">
        <v>1024</v>
      </c>
    </row>
    <row r="923" spans="2:8" s="54" customFormat="1">
      <c r="C923" s="187"/>
      <c r="D923" s="56"/>
      <c r="E923" s="56"/>
      <c r="F923" s="356"/>
      <c r="H923" s="489"/>
    </row>
    <row r="924" spans="2:8" s="54" customFormat="1" ht="27.75" customHeight="1">
      <c r="B924" s="4" t="s">
        <v>928</v>
      </c>
      <c r="C924" s="187"/>
      <c r="D924" s="56"/>
      <c r="E924" s="56"/>
      <c r="F924" s="356"/>
      <c r="H924" s="489"/>
    </row>
    <row r="925" spans="2:8" s="54" customFormat="1">
      <c r="B925" s="4" t="s">
        <v>684</v>
      </c>
      <c r="C925" s="187" t="s">
        <v>316</v>
      </c>
      <c r="D925" s="56"/>
      <c r="E925" s="56"/>
      <c r="F925" s="198">
        <f t="shared" ref="F925:F927" si="103">ROUND(D925*E925,2)</f>
        <v>0</v>
      </c>
      <c r="H925" s="487" t="s">
        <v>1024</v>
      </c>
    </row>
    <row r="926" spans="2:8" s="54" customFormat="1">
      <c r="B926" s="4" t="s">
        <v>914</v>
      </c>
      <c r="C926" s="187" t="s">
        <v>316</v>
      </c>
      <c r="D926" s="56">
        <v>1</v>
      </c>
      <c r="E926" s="56"/>
      <c r="F926" s="198">
        <f t="shared" si="103"/>
        <v>0</v>
      </c>
      <c r="H926" s="487" t="s">
        <v>1024</v>
      </c>
    </row>
    <row r="927" spans="2:8" s="54" customFormat="1">
      <c r="B927" s="54" t="s">
        <v>683</v>
      </c>
      <c r="C927" s="187" t="s">
        <v>316</v>
      </c>
      <c r="D927" s="56">
        <v>1</v>
      </c>
      <c r="E927" s="56"/>
      <c r="F927" s="198">
        <f t="shared" si="103"/>
        <v>0</v>
      </c>
      <c r="H927" s="487" t="s">
        <v>1024</v>
      </c>
    </row>
    <row r="928" spans="2:8" s="54" customFormat="1">
      <c r="C928" s="187"/>
      <c r="D928" s="56"/>
      <c r="E928" s="56"/>
      <c r="F928" s="198"/>
      <c r="H928" s="489"/>
    </row>
    <row r="929" spans="1:8" s="54" customFormat="1">
      <c r="C929" s="187"/>
      <c r="D929" s="56"/>
      <c r="E929" s="56"/>
      <c r="F929" s="356"/>
      <c r="H929" s="489"/>
    </row>
    <row r="930" spans="1:8" s="54" customFormat="1" ht="27.75" customHeight="1">
      <c r="B930" s="4" t="s">
        <v>931</v>
      </c>
      <c r="C930" s="187"/>
      <c r="D930" s="56"/>
      <c r="E930" s="56"/>
      <c r="F930" s="356"/>
      <c r="H930" s="489"/>
    </row>
    <row r="931" spans="1:8" s="54" customFormat="1">
      <c r="B931" s="4" t="s">
        <v>684</v>
      </c>
      <c r="C931" s="187" t="s">
        <v>316</v>
      </c>
      <c r="D931" s="56">
        <v>1</v>
      </c>
      <c r="E931" s="56"/>
      <c r="F931" s="198">
        <f t="shared" ref="F931:F933" si="104">ROUND(D931*E931,2)</f>
        <v>0</v>
      </c>
      <c r="H931" s="487" t="s">
        <v>1024</v>
      </c>
    </row>
    <row r="932" spans="1:8" s="54" customFormat="1">
      <c r="B932" s="4" t="s">
        <v>914</v>
      </c>
      <c r="C932" s="187" t="s">
        <v>316</v>
      </c>
      <c r="D932" s="56">
        <v>7</v>
      </c>
      <c r="E932" s="56"/>
      <c r="F932" s="198">
        <f t="shared" si="104"/>
        <v>0</v>
      </c>
      <c r="H932" s="487" t="s">
        <v>1024</v>
      </c>
    </row>
    <row r="933" spans="1:8" s="54" customFormat="1">
      <c r="B933" s="54" t="s">
        <v>683</v>
      </c>
      <c r="C933" s="187" t="s">
        <v>316</v>
      </c>
      <c r="D933" s="56">
        <v>1</v>
      </c>
      <c r="E933" s="56"/>
      <c r="F933" s="198">
        <f t="shared" si="104"/>
        <v>0</v>
      </c>
      <c r="H933" s="487" t="s">
        <v>1024</v>
      </c>
    </row>
    <row r="934" spans="1:8" s="54" customFormat="1">
      <c r="C934" s="187"/>
      <c r="D934" s="56"/>
      <c r="E934" s="56"/>
      <c r="F934" s="198"/>
      <c r="H934" s="489"/>
    </row>
    <row r="935" spans="1:8" s="50" customFormat="1">
      <c r="A935" s="48"/>
      <c r="C935" s="202"/>
      <c r="D935" s="327"/>
      <c r="E935" s="228"/>
      <c r="F935" s="405"/>
      <c r="H935" s="489"/>
    </row>
    <row r="936" spans="1:8" s="50" customFormat="1">
      <c r="A936" s="444" t="s">
        <v>385</v>
      </c>
      <c r="B936" s="50" t="s">
        <v>929</v>
      </c>
      <c r="C936" s="202"/>
      <c r="D936" s="445"/>
      <c r="E936" s="228"/>
      <c r="F936" s="405"/>
      <c r="H936" s="489"/>
    </row>
    <row r="937" spans="1:8" s="50" customFormat="1" ht="52.5" customHeight="1">
      <c r="A937" s="444"/>
      <c r="B937" s="50" t="s">
        <v>930</v>
      </c>
      <c r="C937" s="202"/>
      <c r="D937" s="445"/>
      <c r="E937" s="228"/>
      <c r="F937" s="405"/>
      <c r="H937" s="489"/>
    </row>
    <row r="938" spans="1:8" s="50" customFormat="1">
      <c r="A938" s="444"/>
      <c r="C938" s="202"/>
      <c r="D938" s="445"/>
      <c r="E938" s="228"/>
      <c r="F938" s="405"/>
      <c r="H938" s="489"/>
    </row>
    <row r="939" spans="1:8" s="50" customFormat="1" ht="25.5">
      <c r="A939" s="48"/>
      <c r="B939" s="4" t="s">
        <v>932</v>
      </c>
      <c r="C939" s="202"/>
      <c r="D939" s="327"/>
      <c r="E939" s="228"/>
      <c r="F939" s="405"/>
      <c r="H939" s="489"/>
    </row>
    <row r="940" spans="1:8" s="50" customFormat="1">
      <c r="A940" s="48"/>
      <c r="B940" s="50" t="s">
        <v>684</v>
      </c>
      <c r="C940" s="202" t="s">
        <v>316</v>
      </c>
      <c r="D940" s="327">
        <v>4</v>
      </c>
      <c r="E940" s="228"/>
      <c r="F940" s="198">
        <f t="shared" ref="F940:F942" si="105">ROUND(D940*E940,2)</f>
        <v>0</v>
      </c>
      <c r="H940" s="489" t="s">
        <v>1025</v>
      </c>
    </row>
    <row r="941" spans="1:8" s="50" customFormat="1">
      <c r="A941" s="48"/>
      <c r="B941" s="50" t="s">
        <v>914</v>
      </c>
      <c r="C941" s="202" t="s">
        <v>316</v>
      </c>
      <c r="D941" s="327">
        <v>4</v>
      </c>
      <c r="E941" s="228"/>
      <c r="F941" s="198">
        <f t="shared" si="105"/>
        <v>0</v>
      </c>
      <c r="H941" s="489" t="s">
        <v>1025</v>
      </c>
    </row>
    <row r="942" spans="1:8" s="50" customFormat="1">
      <c r="A942" s="48"/>
      <c r="B942" s="50" t="s">
        <v>683</v>
      </c>
      <c r="C942" s="202" t="s">
        <v>316</v>
      </c>
      <c r="D942" s="327">
        <v>1</v>
      </c>
      <c r="E942" s="228"/>
      <c r="F942" s="198">
        <f t="shared" si="105"/>
        <v>0</v>
      </c>
      <c r="H942" s="489" t="s">
        <v>1025</v>
      </c>
    </row>
    <row r="943" spans="1:8" s="50" customFormat="1">
      <c r="A943" s="48"/>
      <c r="C943" s="202"/>
      <c r="D943" s="327"/>
      <c r="E943" s="228"/>
      <c r="F943" s="405"/>
      <c r="H943" s="489"/>
    </row>
    <row r="944" spans="1:8" s="50" customFormat="1" ht="25.5">
      <c r="A944" s="48"/>
      <c r="B944" s="4" t="s">
        <v>934</v>
      </c>
      <c r="C944" s="202"/>
      <c r="D944" s="327"/>
      <c r="E944" s="228"/>
      <c r="F944" s="405"/>
      <c r="H944" s="489"/>
    </row>
    <row r="945" spans="1:8" s="50" customFormat="1">
      <c r="A945" s="48"/>
      <c r="B945" s="50" t="s">
        <v>684</v>
      </c>
      <c r="C945" s="202" t="s">
        <v>316</v>
      </c>
      <c r="D945" s="327">
        <v>1</v>
      </c>
      <c r="E945" s="228"/>
      <c r="F945" s="198">
        <f t="shared" ref="F945:F947" si="106">ROUND(D945*E945,2)</f>
        <v>0</v>
      </c>
      <c r="H945" s="489" t="s">
        <v>1025</v>
      </c>
    </row>
    <row r="946" spans="1:8" s="50" customFormat="1">
      <c r="A946" s="48"/>
      <c r="B946" s="50" t="s">
        <v>914</v>
      </c>
      <c r="C946" s="202" t="s">
        <v>316</v>
      </c>
      <c r="D946" s="327">
        <v>15</v>
      </c>
      <c r="E946" s="228"/>
      <c r="F946" s="198">
        <f t="shared" si="106"/>
        <v>0</v>
      </c>
      <c r="H946" s="489" t="s">
        <v>1025</v>
      </c>
    </row>
    <row r="947" spans="1:8" s="50" customFormat="1">
      <c r="A947" s="48"/>
      <c r="B947" s="50" t="s">
        <v>683</v>
      </c>
      <c r="C947" s="202" t="s">
        <v>316</v>
      </c>
      <c r="D947" s="327">
        <v>1</v>
      </c>
      <c r="E947" s="228"/>
      <c r="F947" s="198">
        <f t="shared" si="106"/>
        <v>0</v>
      </c>
      <c r="H947" s="489" t="s">
        <v>1025</v>
      </c>
    </row>
    <row r="948" spans="1:8" s="50" customFormat="1">
      <c r="A948" s="48"/>
      <c r="C948" s="202"/>
      <c r="D948" s="327"/>
      <c r="E948" s="228"/>
      <c r="F948" s="405"/>
      <c r="H948" s="489"/>
    </row>
    <row r="949" spans="1:8" s="50" customFormat="1" ht="25.5">
      <c r="A949" s="48"/>
      <c r="B949" s="4" t="s">
        <v>933</v>
      </c>
      <c r="C949" s="202"/>
      <c r="D949" s="327"/>
      <c r="E949" s="228"/>
      <c r="F949" s="405"/>
      <c r="H949" s="489"/>
    </row>
    <row r="950" spans="1:8" s="50" customFormat="1">
      <c r="A950" s="48"/>
      <c r="B950" s="50" t="s">
        <v>684</v>
      </c>
      <c r="C950" s="202" t="s">
        <v>316</v>
      </c>
      <c r="D950" s="327">
        <v>1</v>
      </c>
      <c r="E950" s="228"/>
      <c r="F950" s="198">
        <f t="shared" ref="F950:F952" si="107">ROUND(D950*E950,2)</f>
        <v>0</v>
      </c>
      <c r="H950" s="489" t="s">
        <v>1025</v>
      </c>
    </row>
    <row r="951" spans="1:8" s="50" customFormat="1">
      <c r="A951" s="48"/>
      <c r="B951" s="50" t="s">
        <v>914</v>
      </c>
      <c r="C951" s="202" t="s">
        <v>316</v>
      </c>
      <c r="D951" s="327">
        <v>15</v>
      </c>
      <c r="E951" s="228"/>
      <c r="F951" s="198">
        <f t="shared" si="107"/>
        <v>0</v>
      </c>
      <c r="H951" s="489" t="s">
        <v>1025</v>
      </c>
    </row>
    <row r="952" spans="1:8" s="50" customFormat="1">
      <c r="A952" s="48"/>
      <c r="B952" s="50" t="s">
        <v>683</v>
      </c>
      <c r="C952" s="202" t="s">
        <v>316</v>
      </c>
      <c r="D952" s="327">
        <v>1</v>
      </c>
      <c r="E952" s="228"/>
      <c r="F952" s="198">
        <f t="shared" si="107"/>
        <v>0</v>
      </c>
      <c r="H952" s="489" t="s">
        <v>1025</v>
      </c>
    </row>
    <row r="953" spans="1:8" s="50" customFormat="1">
      <c r="A953" s="48"/>
      <c r="C953" s="202"/>
      <c r="D953" s="327"/>
      <c r="E953" s="228"/>
      <c r="F953" s="405"/>
      <c r="H953" s="489"/>
    </row>
    <row r="954" spans="1:8" s="50" customFormat="1" ht="25.5">
      <c r="A954" s="48"/>
      <c r="B954" s="4" t="s">
        <v>935</v>
      </c>
      <c r="C954" s="202"/>
      <c r="D954" s="327"/>
      <c r="E954" s="228"/>
      <c r="F954" s="405"/>
      <c r="H954" s="489"/>
    </row>
    <row r="955" spans="1:8" s="50" customFormat="1">
      <c r="A955" s="48"/>
      <c r="B955" s="50" t="s">
        <v>684</v>
      </c>
      <c r="C955" s="202" t="s">
        <v>316</v>
      </c>
      <c r="D955" s="327">
        <v>3</v>
      </c>
      <c r="E955" s="228"/>
      <c r="F955" s="198">
        <f t="shared" ref="F955:F957" si="108">ROUND(D955*E955,2)</f>
        <v>0</v>
      </c>
      <c r="H955" s="489" t="s">
        <v>1025</v>
      </c>
    </row>
    <row r="956" spans="1:8" s="50" customFormat="1">
      <c r="A956" s="48"/>
      <c r="B956" s="50" t="s">
        <v>914</v>
      </c>
      <c r="C956" s="202" t="s">
        <v>316</v>
      </c>
      <c r="D956" s="327">
        <v>1</v>
      </c>
      <c r="E956" s="228"/>
      <c r="F956" s="198">
        <f t="shared" si="108"/>
        <v>0</v>
      </c>
      <c r="H956" s="489" t="s">
        <v>1025</v>
      </c>
    </row>
    <row r="957" spans="1:8" s="50" customFormat="1">
      <c r="A957" s="48"/>
      <c r="B957" s="50" t="s">
        <v>683</v>
      </c>
      <c r="C957" s="202" t="s">
        <v>316</v>
      </c>
      <c r="D957" s="327">
        <v>1</v>
      </c>
      <c r="E957" s="228"/>
      <c r="F957" s="198">
        <f t="shared" si="108"/>
        <v>0</v>
      </c>
      <c r="H957" s="489" t="s">
        <v>1025</v>
      </c>
    </row>
    <row r="958" spans="1:8" s="50" customFormat="1">
      <c r="A958" s="48"/>
      <c r="C958" s="202"/>
      <c r="D958" s="327"/>
      <c r="E958" s="228"/>
      <c r="F958" s="405"/>
      <c r="H958" s="489"/>
    </row>
    <row r="959" spans="1:8" s="50" customFormat="1" ht="25.5">
      <c r="A959" s="48"/>
      <c r="B959" s="4" t="s">
        <v>936</v>
      </c>
      <c r="C959" s="202"/>
      <c r="D959" s="327"/>
      <c r="E959" s="228"/>
      <c r="F959" s="405"/>
      <c r="H959" s="489"/>
    </row>
    <row r="960" spans="1:8" s="50" customFormat="1">
      <c r="A960" s="48"/>
      <c r="B960" s="50" t="s">
        <v>684</v>
      </c>
      <c r="C960" s="202" t="s">
        <v>316</v>
      </c>
      <c r="D960" s="327">
        <v>5</v>
      </c>
      <c r="E960" s="228"/>
      <c r="F960" s="198">
        <f t="shared" ref="F960:F962" si="109">ROUND(D960*E960,2)</f>
        <v>0</v>
      </c>
      <c r="H960" s="489" t="s">
        <v>1025</v>
      </c>
    </row>
    <row r="961" spans="1:9" s="50" customFormat="1">
      <c r="A961" s="48"/>
      <c r="B961" s="50" t="s">
        <v>914</v>
      </c>
      <c r="C961" s="202" t="s">
        <v>316</v>
      </c>
      <c r="D961" s="327">
        <v>1</v>
      </c>
      <c r="E961" s="228"/>
      <c r="F961" s="198">
        <f t="shared" si="109"/>
        <v>0</v>
      </c>
      <c r="H961" s="489" t="s">
        <v>1025</v>
      </c>
    </row>
    <row r="962" spans="1:9" s="50" customFormat="1">
      <c r="A962" s="48"/>
      <c r="B962" s="50" t="s">
        <v>683</v>
      </c>
      <c r="C962" s="202" t="s">
        <v>316</v>
      </c>
      <c r="D962" s="327">
        <v>1</v>
      </c>
      <c r="E962" s="228"/>
      <c r="F962" s="198">
        <f t="shared" si="109"/>
        <v>0</v>
      </c>
      <c r="H962" s="489" t="s">
        <v>1025</v>
      </c>
    </row>
    <row r="963" spans="1:9" s="50" customFormat="1">
      <c r="A963" s="48"/>
      <c r="C963" s="202"/>
      <c r="D963" s="327"/>
      <c r="E963" s="228"/>
      <c r="F963" s="405"/>
      <c r="H963" s="489"/>
    </row>
    <row r="964" spans="1:9" s="4" customFormat="1">
      <c r="A964" s="10"/>
      <c r="B964" s="216"/>
      <c r="C964" s="313"/>
      <c r="D964" s="224"/>
      <c r="E964" s="215"/>
      <c r="F964" s="349"/>
      <c r="G964" s="485"/>
      <c r="H964" s="495"/>
      <c r="I964" s="211"/>
    </row>
    <row r="965" spans="1:9" s="4" customFormat="1">
      <c r="A965" s="38" t="s">
        <v>540</v>
      </c>
      <c r="B965" s="169" t="s">
        <v>912</v>
      </c>
      <c r="C965" s="201"/>
      <c r="D965" s="220"/>
      <c r="E965" s="241"/>
      <c r="F965" s="338">
        <f>SUM(F849:F850)</f>
        <v>0</v>
      </c>
      <c r="H965" s="489"/>
    </row>
    <row r="966" spans="1:9" s="4" customFormat="1">
      <c r="A966" s="72"/>
      <c r="B966" s="177"/>
      <c r="C966" s="70"/>
      <c r="D966" s="120"/>
      <c r="E966" s="11"/>
      <c r="F966" s="339"/>
      <c r="H966" s="489"/>
    </row>
    <row r="967" spans="1:9" s="4" customFormat="1">
      <c r="A967" s="10"/>
      <c r="B967" s="5"/>
      <c r="C967" s="70"/>
      <c r="D967" s="120"/>
      <c r="E967" s="11"/>
      <c r="F967" s="339"/>
      <c r="H967" s="489"/>
    </row>
    <row r="968" spans="1:9" s="4" customFormat="1">
      <c r="A968" s="38" t="s">
        <v>541</v>
      </c>
      <c r="B968" s="168" t="s">
        <v>373</v>
      </c>
      <c r="C968" s="194"/>
      <c r="D968" s="9"/>
      <c r="E968" s="11"/>
      <c r="F968" s="339"/>
      <c r="H968" s="489"/>
    </row>
    <row r="969" spans="1:9" s="191" customFormat="1">
      <c r="A969" s="54"/>
      <c r="B969" s="54"/>
      <c r="C969" s="187"/>
      <c r="D969" s="56"/>
      <c r="E969" s="56"/>
      <c r="F969" s="356"/>
      <c r="G969" s="4"/>
      <c r="H969" s="489"/>
    </row>
    <row r="970" spans="1:9" s="54" customFormat="1">
      <c r="A970" s="444" t="s">
        <v>353</v>
      </c>
      <c r="B970" s="54" t="s">
        <v>947</v>
      </c>
      <c r="C970" s="187"/>
      <c r="D970" s="56"/>
      <c r="E970" s="56"/>
      <c r="F970" s="356"/>
      <c r="G970" s="4"/>
      <c r="H970" s="489"/>
    </row>
    <row r="971" spans="1:9" s="54" customFormat="1" ht="25.5" customHeight="1">
      <c r="A971" s="444"/>
      <c r="B971" s="54" t="s">
        <v>948</v>
      </c>
      <c r="C971" s="187"/>
      <c r="D971" s="56"/>
      <c r="E971" s="56"/>
      <c r="F971" s="356"/>
      <c r="G971" s="4"/>
      <c r="H971" s="489"/>
    </row>
    <row r="972" spans="1:9" s="54" customFormat="1" ht="38.25">
      <c r="A972" s="444"/>
      <c r="B972" s="54" t="s">
        <v>949</v>
      </c>
      <c r="C972" s="187"/>
      <c r="D972" s="56"/>
      <c r="E972" s="56"/>
      <c r="F972" s="356"/>
      <c r="G972" s="4"/>
      <c r="H972" s="489"/>
    </row>
    <row r="973" spans="1:9" s="54" customFormat="1" ht="12.75" customHeight="1">
      <c r="A973" s="444"/>
      <c r="B973" s="54" t="s">
        <v>950</v>
      </c>
      <c r="C973" s="195" t="s">
        <v>335</v>
      </c>
      <c r="D973" s="296">
        <v>1</v>
      </c>
      <c r="E973" s="234"/>
      <c r="F973" s="198">
        <f t="shared" ref="F973" si="110">ROUND(D973*E973,2)</f>
        <v>0</v>
      </c>
      <c r="G973" s="4"/>
      <c r="H973" s="489" t="s">
        <v>1024</v>
      </c>
    </row>
    <row r="974" spans="1:9" s="54" customFormat="1">
      <c r="A974" s="444"/>
      <c r="C974" s="195"/>
      <c r="D974" s="296"/>
      <c r="E974" s="234"/>
      <c r="F974" s="405"/>
      <c r="G974" s="4"/>
      <c r="H974" s="489"/>
    </row>
    <row r="975" spans="1:9" s="57" customFormat="1">
      <c r="A975" s="444"/>
      <c r="B975" s="380"/>
      <c r="C975" s="195"/>
      <c r="D975" s="328"/>
      <c r="E975" s="367"/>
      <c r="F975" s="356"/>
      <c r="G975" s="4"/>
      <c r="H975" s="490"/>
    </row>
    <row r="976" spans="1:9" s="57" customFormat="1" ht="25.5">
      <c r="A976" s="444" t="s">
        <v>376</v>
      </c>
      <c r="B976" s="415" t="s">
        <v>954</v>
      </c>
      <c r="C976" s="195"/>
      <c r="D976" s="328"/>
      <c r="E976" s="367"/>
      <c r="F976" s="356"/>
      <c r="G976" s="4"/>
      <c r="H976" s="490"/>
    </row>
    <row r="977" spans="1:8" s="57" customFormat="1" ht="13.5" customHeight="1">
      <c r="A977" s="444"/>
      <c r="B977" s="380" t="s">
        <v>951</v>
      </c>
      <c r="C977" s="195"/>
      <c r="D977" s="328"/>
      <c r="E977" s="367"/>
      <c r="F977" s="356"/>
      <c r="G977" s="4"/>
      <c r="H977" s="490"/>
    </row>
    <row r="978" spans="1:8" s="57" customFormat="1" ht="25.5">
      <c r="A978" s="444"/>
      <c r="B978" s="380" t="s">
        <v>952</v>
      </c>
      <c r="G978" s="4"/>
      <c r="H978" s="490"/>
    </row>
    <row r="979" spans="1:8" s="57" customFormat="1" ht="25.5">
      <c r="A979" s="444"/>
      <c r="B979" s="380" t="s">
        <v>953</v>
      </c>
      <c r="G979" s="4"/>
      <c r="H979" s="490"/>
    </row>
    <row r="980" spans="1:8" s="57" customFormat="1">
      <c r="A980" s="444"/>
      <c r="B980" s="380" t="s">
        <v>637</v>
      </c>
      <c r="C980" s="195"/>
      <c r="D980" s="328"/>
      <c r="E980" s="367"/>
      <c r="F980" s="356"/>
      <c r="G980" s="4"/>
      <c r="H980" s="490"/>
    </row>
    <row r="981" spans="1:8" s="50" customFormat="1">
      <c r="A981" s="65"/>
      <c r="B981" s="380" t="s">
        <v>585</v>
      </c>
      <c r="C981" s="195" t="s">
        <v>317</v>
      </c>
      <c r="D981" s="328">
        <v>45</v>
      </c>
      <c r="E981" s="367"/>
      <c r="F981" s="198">
        <f t="shared" ref="F981" si="111">ROUND(D981*E981,2)</f>
        <v>0</v>
      </c>
      <c r="G981" s="4"/>
      <c r="H981" s="489" t="s">
        <v>1024</v>
      </c>
    </row>
    <row r="982" spans="1:8" s="50" customFormat="1">
      <c r="A982" s="65"/>
      <c r="B982" s="380"/>
      <c r="C982" s="195"/>
      <c r="D982" s="328"/>
      <c r="E982" s="367"/>
      <c r="F982" s="356"/>
      <c r="G982" s="4"/>
      <c r="H982" s="489"/>
    </row>
    <row r="983" spans="1:8" s="4" customFormat="1">
      <c r="A983" s="10"/>
      <c r="B983" s="5"/>
      <c r="C983" s="194"/>
      <c r="D983" s="9"/>
      <c r="E983" s="11"/>
      <c r="F983" s="339"/>
      <c r="H983" s="489"/>
    </row>
    <row r="984" spans="1:8" s="57" customFormat="1">
      <c r="A984" s="444" t="s">
        <v>383</v>
      </c>
      <c r="B984" s="446" t="s">
        <v>937</v>
      </c>
      <c r="C984" s="195"/>
      <c r="G984" s="4"/>
      <c r="H984" s="490"/>
    </row>
    <row r="985" spans="1:8" s="57" customFormat="1" ht="25.5">
      <c r="A985" s="444"/>
      <c r="B985" s="4" t="s">
        <v>946</v>
      </c>
      <c r="C985" s="195"/>
      <c r="D985" s="56"/>
      <c r="E985" s="228"/>
      <c r="F985" s="356"/>
      <c r="G985" s="4"/>
      <c r="H985" s="490"/>
    </row>
    <row r="986" spans="1:8" s="57" customFormat="1" ht="38.25">
      <c r="A986" s="444"/>
      <c r="B986" s="54" t="s">
        <v>938</v>
      </c>
      <c r="C986" s="195"/>
      <c r="D986" s="56"/>
      <c r="E986" s="228"/>
      <c r="F986" s="356"/>
      <c r="G986" s="4"/>
      <c r="H986" s="490"/>
    </row>
    <row r="987" spans="1:8" s="50" customFormat="1" ht="51">
      <c r="A987" s="444"/>
      <c r="B987" s="380" t="s">
        <v>939</v>
      </c>
      <c r="G987" s="4"/>
      <c r="H987" s="489"/>
    </row>
    <row r="988" spans="1:8" s="57" customFormat="1" ht="25.5">
      <c r="A988" s="444"/>
      <c r="B988" s="54" t="s">
        <v>940</v>
      </c>
      <c r="C988" s="195"/>
      <c r="D988" s="52"/>
      <c r="E988" s="52"/>
      <c r="F988" s="356"/>
      <c r="G988" s="4"/>
      <c r="H988" s="490"/>
    </row>
    <row r="989" spans="1:8" s="50" customFormat="1">
      <c r="A989" s="444"/>
      <c r="B989" s="380" t="s">
        <v>637</v>
      </c>
      <c r="C989" s="195" t="s">
        <v>317</v>
      </c>
      <c r="D989" s="52">
        <v>9</v>
      </c>
      <c r="E989" s="52"/>
      <c r="F989" s="198">
        <f t="shared" ref="F989" si="112">ROUND(D989*E989,2)</f>
        <v>0</v>
      </c>
      <c r="G989" s="4"/>
      <c r="H989" s="489" t="s">
        <v>1024</v>
      </c>
    </row>
    <row r="990" spans="1:8" s="57" customFormat="1">
      <c r="A990" s="444"/>
      <c r="B990" s="4" t="s">
        <v>590</v>
      </c>
      <c r="C990" s="195"/>
      <c r="D990" s="52"/>
      <c r="E990" s="52"/>
      <c r="F990" s="356"/>
      <c r="G990" s="4"/>
      <c r="H990" s="490"/>
    </row>
    <row r="991" spans="1:8" s="57" customFormat="1">
      <c r="A991" s="444"/>
      <c r="B991" s="54"/>
      <c r="C991" s="195"/>
      <c r="D991" s="52"/>
      <c r="E991" s="52"/>
      <c r="F991" s="356"/>
      <c r="G991" s="4"/>
      <c r="H991" s="490"/>
    </row>
    <row r="992" spans="1:8" s="57" customFormat="1">
      <c r="A992" s="444" t="s">
        <v>385</v>
      </c>
      <c r="B992" s="446" t="s">
        <v>937</v>
      </c>
      <c r="C992" s="195"/>
      <c r="G992" s="4"/>
      <c r="H992" s="490"/>
    </row>
    <row r="993" spans="1:8" s="50" customFormat="1">
      <c r="A993" s="444"/>
      <c r="B993" s="380" t="s">
        <v>941</v>
      </c>
      <c r="C993" s="195"/>
      <c r="D993" s="328"/>
      <c r="E993" s="367"/>
      <c r="F993" s="356"/>
      <c r="G993" s="4"/>
      <c r="H993" s="489"/>
    </row>
    <row r="994" spans="1:8" s="50" customFormat="1" ht="12.75" customHeight="1">
      <c r="A994" s="444"/>
      <c r="B994" s="380" t="s">
        <v>942</v>
      </c>
      <c r="C994" s="195"/>
      <c r="D994" s="328"/>
      <c r="E994" s="367"/>
      <c r="F994" s="356"/>
      <c r="H994" s="489"/>
    </row>
    <row r="995" spans="1:8" s="50" customFormat="1">
      <c r="A995" s="444"/>
      <c r="B995" s="380" t="s">
        <v>943</v>
      </c>
      <c r="C995" s="195"/>
      <c r="D995" s="328"/>
      <c r="E995" s="367"/>
      <c r="F995" s="356"/>
      <c r="H995" s="489"/>
    </row>
    <row r="996" spans="1:8" s="50" customFormat="1" ht="25.5">
      <c r="A996" s="444"/>
      <c r="B996" s="380" t="s">
        <v>944</v>
      </c>
      <c r="C996" s="195"/>
      <c r="D996" s="296"/>
      <c r="E996" s="228"/>
      <c r="F996" s="405"/>
      <c r="H996" s="489"/>
    </row>
    <row r="997" spans="1:8" s="50" customFormat="1">
      <c r="A997" s="444"/>
      <c r="B997" s="380" t="s">
        <v>945</v>
      </c>
      <c r="C997" s="195" t="s">
        <v>317</v>
      </c>
      <c r="D997" s="52">
        <v>9</v>
      </c>
      <c r="E997" s="52"/>
      <c r="F997" s="198">
        <f t="shared" ref="F997" si="113">ROUND(D997*E997,2)</f>
        <v>0</v>
      </c>
      <c r="H997" s="489" t="s">
        <v>1024</v>
      </c>
    </row>
    <row r="998" spans="1:8" s="50" customFormat="1">
      <c r="A998" s="444"/>
      <c r="B998" s="380"/>
      <c r="C998" s="195"/>
      <c r="D998" s="52"/>
      <c r="E998" s="52"/>
      <c r="F998" s="356"/>
      <c r="H998" s="489"/>
    </row>
    <row r="999" spans="1:8" s="4" customFormat="1">
      <c r="A999" s="10"/>
      <c r="B999" s="268"/>
      <c r="C999" s="269"/>
      <c r="D999" s="225"/>
      <c r="E999" s="270"/>
      <c r="F999" s="350"/>
      <c r="H999" s="489"/>
    </row>
    <row r="1000" spans="1:8" s="4" customFormat="1">
      <c r="A1000" s="38" t="s">
        <v>541</v>
      </c>
      <c r="B1000" s="169" t="s">
        <v>374</v>
      </c>
      <c r="C1000" s="252"/>
      <c r="D1000" s="253"/>
      <c r="E1000" s="241"/>
      <c r="F1000" s="338">
        <f>SUM(F968:F999)</f>
        <v>0</v>
      </c>
      <c r="H1000" s="489"/>
    </row>
    <row r="1001" spans="1:8" s="4" customFormat="1">
      <c r="A1001" s="10"/>
      <c r="B1001" s="5"/>
      <c r="C1001" s="194"/>
      <c r="D1001" s="9"/>
      <c r="E1001" s="11"/>
      <c r="F1001" s="339"/>
      <c r="H1001" s="489"/>
    </row>
    <row r="1002" spans="1:8" s="4" customFormat="1">
      <c r="A1002" s="10"/>
      <c r="B1002" s="5"/>
      <c r="C1002" s="194"/>
      <c r="D1002" s="9"/>
      <c r="E1002" s="11"/>
      <c r="F1002" s="339"/>
      <c r="H1002" s="489"/>
    </row>
    <row r="1003" spans="1:8" s="4" customFormat="1">
      <c r="A1003" s="38" t="s">
        <v>525</v>
      </c>
      <c r="B1003" s="173" t="s">
        <v>530</v>
      </c>
      <c r="C1003" s="110"/>
      <c r="D1003" s="120"/>
      <c r="E1003" s="11"/>
      <c r="F1003" s="339"/>
      <c r="H1003" s="489"/>
    </row>
    <row r="1004" spans="1:8" s="4" customFormat="1">
      <c r="A1004" s="10"/>
      <c r="B1004" s="5"/>
      <c r="C1004" s="70"/>
      <c r="D1004" s="120"/>
      <c r="E1004" s="11"/>
      <c r="F1004" s="339"/>
      <c r="H1004" s="489"/>
    </row>
    <row r="1005" spans="1:8" s="4" customFormat="1">
      <c r="A1005" s="10"/>
      <c r="B1005" s="5"/>
      <c r="C1005" s="194"/>
      <c r="D1005" s="9"/>
      <c r="E1005" s="11"/>
      <c r="F1005" s="339"/>
      <c r="H1005" s="489"/>
    </row>
    <row r="1006" spans="1:8" s="4" customFormat="1">
      <c r="A1006" s="172" t="s">
        <v>315</v>
      </c>
      <c r="B1006" s="173" t="s">
        <v>551</v>
      </c>
      <c r="C1006" s="203"/>
      <c r="D1006" s="220"/>
      <c r="E1006" s="271"/>
      <c r="F1006" s="338">
        <f>F647</f>
        <v>0</v>
      </c>
      <c r="H1006" s="489"/>
    </row>
    <row r="1007" spans="1:8" s="4" customFormat="1">
      <c r="A1007" s="172" t="s">
        <v>318</v>
      </c>
      <c r="B1007" s="173" t="s">
        <v>366</v>
      </c>
      <c r="C1007" s="203"/>
      <c r="D1007" s="220"/>
      <c r="E1007" s="271"/>
      <c r="F1007" s="338">
        <f>F762</f>
        <v>0</v>
      </c>
      <c r="H1007" s="489"/>
    </row>
    <row r="1008" spans="1:8" s="4" customFormat="1">
      <c r="A1008" s="172" t="s">
        <v>329</v>
      </c>
      <c r="B1008" s="173" t="s">
        <v>368</v>
      </c>
      <c r="C1008" s="203"/>
      <c r="D1008" s="220"/>
      <c r="E1008" s="271"/>
      <c r="F1008" s="338">
        <f>F806</f>
        <v>0</v>
      </c>
      <c r="H1008" s="489"/>
    </row>
    <row r="1009" spans="1:8" s="4" customFormat="1">
      <c r="A1009" s="172" t="s">
        <v>303</v>
      </c>
      <c r="B1009" s="173" t="s">
        <v>371</v>
      </c>
      <c r="C1009" s="203"/>
      <c r="D1009" s="220"/>
      <c r="E1009" s="271"/>
      <c r="F1009" s="338">
        <f>F828</f>
        <v>0</v>
      </c>
      <c r="H1009" s="489"/>
    </row>
    <row r="1010" spans="1:8" s="4" customFormat="1">
      <c r="A1010" s="172" t="s">
        <v>330</v>
      </c>
      <c r="B1010" s="186" t="s">
        <v>555</v>
      </c>
      <c r="C1010" s="204"/>
      <c r="D1010" s="226"/>
      <c r="E1010" s="272"/>
      <c r="F1010" s="338">
        <f>F965</f>
        <v>0</v>
      </c>
      <c r="H1010" s="489"/>
    </row>
    <row r="1011" spans="1:8" s="4" customFormat="1">
      <c r="A1011" s="172" t="s">
        <v>332</v>
      </c>
      <c r="B1011" s="173" t="s">
        <v>373</v>
      </c>
      <c r="C1011" s="203"/>
      <c r="D1011" s="220"/>
      <c r="E1011" s="271"/>
      <c r="F1011" s="338">
        <f>F1000</f>
        <v>0</v>
      </c>
      <c r="H1011" s="489"/>
    </row>
    <row r="1012" spans="1:8" s="4" customFormat="1">
      <c r="A1012" s="10"/>
      <c r="C1012" s="194"/>
      <c r="D1012" s="9"/>
      <c r="E1012" s="11"/>
      <c r="F1012" s="339"/>
      <c r="H1012" s="489"/>
    </row>
    <row r="1013" spans="1:8" s="4" customFormat="1">
      <c r="A1013" s="38" t="s">
        <v>525</v>
      </c>
      <c r="B1013" s="173" t="s">
        <v>526</v>
      </c>
      <c r="C1013" s="203"/>
      <c r="D1013" s="220"/>
      <c r="E1013" s="271"/>
      <c r="F1013" s="338">
        <f>SUM(F1006:F1011)</f>
        <v>0</v>
      </c>
      <c r="H1013" s="489"/>
    </row>
    <row r="1014" spans="1:8" s="4" customFormat="1">
      <c r="A1014" s="10"/>
      <c r="B1014" s="5"/>
      <c r="C1014" s="194"/>
      <c r="D1014" s="9"/>
      <c r="E1014" s="11"/>
      <c r="F1014" s="339"/>
      <c r="H1014" s="489"/>
    </row>
    <row r="1015" spans="1:8" s="4" customFormat="1">
      <c r="A1015" s="10"/>
      <c r="B1015" s="5"/>
      <c r="C1015" s="194"/>
      <c r="D1015" s="9"/>
      <c r="E1015" s="11"/>
      <c r="F1015" s="339"/>
      <c r="H1015" s="489"/>
    </row>
    <row r="1016" spans="1:8" s="4" customFormat="1">
      <c r="A1016" s="10"/>
      <c r="B1016" s="179" t="s">
        <v>375</v>
      </c>
      <c r="C1016" s="11"/>
      <c r="D1016" s="120"/>
      <c r="E1016" s="11"/>
      <c r="F1016" s="339"/>
      <c r="H1016" s="489"/>
    </row>
    <row r="1017" spans="1:8" s="4" customFormat="1">
      <c r="A1017" s="10"/>
      <c r="B1017" s="180"/>
      <c r="C1017" s="11"/>
      <c r="D1017" s="120"/>
      <c r="E1017" s="11"/>
      <c r="F1017" s="339"/>
      <c r="H1017" s="489"/>
    </row>
    <row r="1018" spans="1:8" s="4" customFormat="1">
      <c r="A1018" s="10"/>
      <c r="B1018" s="180"/>
      <c r="C1018" s="11"/>
      <c r="D1018" s="9"/>
      <c r="E1018" s="11"/>
      <c r="F1018" s="339"/>
      <c r="H1018" s="489"/>
    </row>
    <row r="1019" spans="1:8" s="4" customFormat="1">
      <c r="A1019" s="10"/>
      <c r="B1019" s="171" t="s">
        <v>527</v>
      </c>
      <c r="C1019" s="273"/>
      <c r="D1019" s="274"/>
      <c r="E1019" s="275"/>
      <c r="F1019" s="351">
        <f>F567</f>
        <v>15200</v>
      </c>
      <c r="H1019" s="489"/>
    </row>
    <row r="1020" spans="1:8" s="4" customFormat="1">
      <c r="A1020" s="10"/>
      <c r="B1020" s="171"/>
      <c r="C1020" s="273"/>
      <c r="D1020" s="274"/>
      <c r="E1020" s="275"/>
      <c r="F1020" s="351"/>
      <c r="H1020" s="489"/>
    </row>
    <row r="1021" spans="1:8" s="4" customFormat="1">
      <c r="A1021" s="10"/>
      <c r="B1021" s="171" t="s">
        <v>528</v>
      </c>
      <c r="C1021" s="273"/>
      <c r="D1021" s="274"/>
      <c r="E1021" s="275"/>
      <c r="F1021" s="351">
        <f>F1013</f>
        <v>0</v>
      </c>
      <c r="H1021" s="489"/>
    </row>
    <row r="1022" spans="1:8" s="4" customFormat="1">
      <c r="A1022" s="10"/>
      <c r="B1022" s="5"/>
      <c r="C1022" s="194"/>
      <c r="D1022" s="9"/>
      <c r="E1022" s="11"/>
      <c r="F1022" s="339"/>
      <c r="H1022" s="489"/>
    </row>
    <row r="1023" spans="1:8" s="4" customFormat="1" ht="13.5" thickBot="1">
      <c r="A1023" s="10"/>
      <c r="B1023" s="5"/>
      <c r="C1023" s="194"/>
      <c r="D1023" s="9"/>
      <c r="E1023" s="11"/>
      <c r="F1023" s="339"/>
      <c r="H1023" s="489"/>
    </row>
    <row r="1024" spans="1:8" s="4" customFormat="1" ht="13.5" thickBot="1">
      <c r="A1024" s="10"/>
      <c r="B1024" s="181" t="s">
        <v>529</v>
      </c>
      <c r="C1024" s="276"/>
      <c r="D1024" s="219"/>
      <c r="E1024" s="277"/>
      <c r="F1024" s="352">
        <f>F1019+F1021</f>
        <v>15200</v>
      </c>
      <c r="H1024" s="489"/>
    </row>
    <row r="1025" spans="1:8" s="4" customFormat="1">
      <c r="A1025" s="10"/>
      <c r="B1025" s="5"/>
      <c r="C1025" s="194"/>
      <c r="D1025" s="9"/>
      <c r="E1025" s="11"/>
      <c r="F1025" s="339"/>
      <c r="H1025" s="489"/>
    </row>
    <row r="1026" spans="1:8" s="1" customFormat="1">
      <c r="A1026" s="10"/>
      <c r="B1026" s="5"/>
      <c r="C1026" s="70"/>
      <c r="D1026" s="120"/>
      <c r="E1026" s="165"/>
      <c r="F1026" s="353"/>
      <c r="G1026" s="154"/>
      <c r="H1026" s="486"/>
    </row>
    <row r="1027" spans="1:8" s="1" customFormat="1">
      <c r="A1027" s="10"/>
      <c r="B1027" s="4"/>
      <c r="C1027" s="194"/>
      <c r="D1027" s="120"/>
      <c r="E1027" s="165"/>
      <c r="F1027" s="353"/>
      <c r="G1027" s="154"/>
      <c r="H1027" s="486"/>
    </row>
    <row r="1028" spans="1:8" s="1" customFormat="1">
      <c r="A1028" s="10"/>
      <c r="B1028" s="4"/>
      <c r="C1028" s="194"/>
      <c r="D1028" s="120"/>
      <c r="E1028" s="165"/>
      <c r="F1028" s="353"/>
      <c r="G1028" s="154"/>
      <c r="H1028" s="486"/>
    </row>
    <row r="1029" spans="1:8" s="1" customFormat="1">
      <c r="A1029" s="10"/>
      <c r="B1029" s="4"/>
      <c r="C1029" s="194"/>
      <c r="D1029" s="120"/>
      <c r="E1029" s="165"/>
      <c r="F1029" s="353"/>
      <c r="G1029" s="154"/>
      <c r="H1029" s="486"/>
    </row>
    <row r="1030" spans="1:8" s="1" customFormat="1">
      <c r="A1030" s="10"/>
      <c r="B1030" s="4"/>
      <c r="C1030" s="194"/>
      <c r="D1030" s="120"/>
      <c r="E1030" s="165"/>
      <c r="F1030" s="353"/>
      <c r="G1030" s="154"/>
      <c r="H1030" s="486"/>
    </row>
    <row r="1031" spans="1:8" s="1" customFormat="1">
      <c r="A1031" s="10"/>
      <c r="B1031" s="4"/>
      <c r="C1031" s="194"/>
      <c r="D1031" s="120"/>
      <c r="E1031" s="165"/>
      <c r="F1031" s="353"/>
      <c r="G1031" s="154"/>
      <c r="H1031" s="486"/>
    </row>
    <row r="1032" spans="1:8" s="1" customFormat="1">
      <c r="A1032" s="10"/>
      <c r="B1032" s="4"/>
      <c r="C1032" s="194"/>
      <c r="D1032" s="120"/>
      <c r="E1032" s="165"/>
      <c r="F1032" s="353"/>
      <c r="G1032" s="154"/>
      <c r="H1032" s="486"/>
    </row>
    <row r="1033" spans="1:8" s="1" customFormat="1">
      <c r="A1033" s="10"/>
      <c r="B1033" s="4"/>
      <c r="C1033" s="194"/>
      <c r="D1033" s="120"/>
      <c r="E1033" s="165"/>
      <c r="F1033" s="353"/>
      <c r="G1033" s="154"/>
      <c r="H1033" s="486"/>
    </row>
    <row r="1034" spans="1:8" s="1" customFormat="1">
      <c r="A1034" s="10"/>
      <c r="B1034" s="5"/>
      <c r="C1034" s="70"/>
      <c r="D1034" s="120"/>
      <c r="E1034" s="165"/>
      <c r="F1034" s="353"/>
      <c r="G1034" s="154"/>
      <c r="H1034" s="486"/>
    </row>
    <row r="1035" spans="1:8" s="1" customFormat="1">
      <c r="A1035" s="10"/>
      <c r="B1035" s="5"/>
      <c r="C1035" s="70"/>
      <c r="D1035" s="120"/>
      <c r="E1035" s="165"/>
      <c r="F1035" s="353"/>
      <c r="G1035" s="154"/>
      <c r="H1035" s="486"/>
    </row>
    <row r="1036" spans="1:8" s="1" customFormat="1">
      <c r="A1036" s="10"/>
      <c r="B1036" s="5"/>
      <c r="C1036" s="70"/>
      <c r="D1036" s="120"/>
      <c r="E1036" s="165"/>
      <c r="F1036" s="353"/>
      <c r="G1036" s="154"/>
      <c r="H1036" s="486"/>
    </row>
    <row r="1037" spans="1:8" s="1" customFormat="1">
      <c r="A1037" s="10"/>
      <c r="B1037" s="4"/>
      <c r="C1037" s="70"/>
      <c r="D1037" s="120"/>
      <c r="E1037" s="165"/>
      <c r="F1037" s="353"/>
      <c r="G1037" s="154"/>
      <c r="H1037" s="486"/>
    </row>
    <row r="1038" spans="1:8" s="1" customFormat="1">
      <c r="A1038" s="10"/>
      <c r="B1038" s="5"/>
      <c r="C1038" s="70"/>
      <c r="D1038" s="120"/>
      <c r="E1038" s="165"/>
      <c r="F1038" s="353"/>
      <c r="G1038" s="154"/>
      <c r="H1038" s="486"/>
    </row>
    <row r="1039" spans="1:8" s="1" customFormat="1">
      <c r="A1039" s="10"/>
      <c r="B1039" s="5"/>
      <c r="C1039" s="70"/>
      <c r="D1039" s="120"/>
      <c r="E1039" s="165"/>
      <c r="F1039" s="353"/>
      <c r="G1039" s="154"/>
      <c r="H1039" s="486"/>
    </row>
    <row r="1040" spans="1:8" s="1" customFormat="1">
      <c r="A1040" s="10"/>
      <c r="B1040" s="5"/>
      <c r="C1040" s="70"/>
      <c r="D1040" s="120"/>
      <c r="E1040" s="165"/>
      <c r="F1040" s="353"/>
      <c r="G1040" s="154"/>
      <c r="H1040" s="486"/>
    </row>
    <row r="1041" spans="1:8" s="4" customFormat="1">
      <c r="A1041" s="10"/>
      <c r="B1041" s="5"/>
      <c r="C1041" s="70"/>
      <c r="D1041" s="120"/>
      <c r="E1041" s="165"/>
      <c r="F1041" s="339"/>
      <c r="G1041" s="12"/>
      <c r="H1041" s="486"/>
    </row>
  </sheetData>
  <protectedRanges>
    <protectedRange sqref="E1026:E1041" name="Range1_22"/>
    <protectedRange sqref="E1" name="Range1_20"/>
    <protectedRange sqref="E832:E833" name="Range1_8"/>
    <protectedRange sqref="E834:E838" name="Range4_4"/>
    <protectedRange sqref="E834:E838" name="Range1_13"/>
    <protectedRange sqref="E834:E838" name="Range3_4"/>
    <protectedRange sqref="E851" name="Range1_8_1"/>
    <protectedRange sqref="E840:E848" name="Range4_4_1"/>
    <protectedRange sqref="E840:E848" name="Range1_13_1"/>
    <protectedRange sqref="E840:E848" name="Range3_4_1"/>
    <protectedRange sqref="E852:E964" name="Range4_5"/>
    <protectedRange sqref="E852:E964" name="Range1_14"/>
    <protectedRange sqref="E852:E964" name="Range3_5"/>
    <protectedRange sqref="E185" name="Range1_2_1"/>
    <protectedRange sqref="E611:E619" name="Range1_7_1"/>
    <protectedRange sqref="E640:E641" name="Range1_7_3"/>
  </protectedRanges>
  <pageMargins left="0.70866141732283472" right="0.70866141732283472" top="0.74803149606299213" bottom="0.74803149606299213" header="0.31496062992125984" footer="0.31496062992125984"/>
  <pageSetup paperSize="9" scale="55" fitToHeight="0" orientation="portrait" r:id="rId1"/>
  <rowBreaks count="1" manualBreakCount="1">
    <brk id="954" max="7" man="1"/>
  </rowBreaks>
  <ignoredErrors>
    <ignoredError sqref="F563" formula="1"/>
  </ignoredErrors>
  <drawing r:id="rId2"/>
  <legacyDrawing r:id="rId3"/>
  <oleObjects>
    <mc:AlternateContent xmlns:mc="http://schemas.openxmlformats.org/markup-compatibility/2006">
      <mc:Choice Requires="x14">
        <oleObject progId="Word.Document.12" shapeId="3074" r:id="rId4">
          <objectPr defaultSize="0" r:id="rId5">
            <anchor moveWithCells="1">
              <from>
                <xdr:col>1</xdr:col>
                <xdr:colOff>38100</xdr:colOff>
                <xdr:row>101</xdr:row>
                <xdr:rowOff>57150</xdr:rowOff>
              </from>
              <to>
                <xdr:col>3</xdr:col>
                <xdr:colOff>400050</xdr:colOff>
                <xdr:row>102</xdr:row>
                <xdr:rowOff>9525</xdr:rowOff>
              </to>
            </anchor>
          </objectPr>
        </oleObject>
      </mc:Choice>
      <mc:Fallback>
        <oleObject progId="Word.Document.12" shapeId="3074" r:id="rId4"/>
      </mc:Fallback>
    </mc:AlternateContent>
    <mc:AlternateContent xmlns:mc="http://schemas.openxmlformats.org/markup-compatibility/2006">
      <mc:Choice Requires="x14">
        <oleObject progId="Word.Document.12" shapeId="3075" r:id="rId6">
          <objectPr defaultSize="0" r:id="rId7">
            <anchor moveWithCells="1">
              <from>
                <xdr:col>1</xdr:col>
                <xdr:colOff>38100</xdr:colOff>
                <xdr:row>102</xdr:row>
                <xdr:rowOff>57150</xdr:rowOff>
              </from>
              <to>
                <xdr:col>3</xdr:col>
                <xdr:colOff>419100</xdr:colOff>
                <xdr:row>102</xdr:row>
                <xdr:rowOff>3524250</xdr:rowOff>
              </to>
            </anchor>
          </objectPr>
        </oleObject>
      </mc:Choice>
      <mc:Fallback>
        <oleObject progId="Word.Document.12" shapeId="3075" r:id="rId6"/>
      </mc:Fallback>
    </mc:AlternateContent>
    <mc:AlternateContent xmlns:mc="http://schemas.openxmlformats.org/markup-compatibility/2006">
      <mc:Choice Requires="x14">
        <oleObject progId="Word.Document.12" shapeId="3076" r:id="rId8">
          <objectPr defaultSize="0" r:id="rId9">
            <anchor moveWithCells="1">
              <from>
                <xdr:col>1</xdr:col>
                <xdr:colOff>38100</xdr:colOff>
                <xdr:row>103</xdr:row>
                <xdr:rowOff>66675</xdr:rowOff>
              </from>
              <to>
                <xdr:col>3</xdr:col>
                <xdr:colOff>419100</xdr:colOff>
                <xdr:row>103</xdr:row>
                <xdr:rowOff>1266825</xdr:rowOff>
              </to>
            </anchor>
          </objectPr>
        </oleObject>
      </mc:Choice>
      <mc:Fallback>
        <oleObject progId="Word.Document.12" shapeId="3076" r:id="rId8"/>
      </mc:Fallback>
    </mc:AlternateContent>
    <mc:AlternateContent xmlns:mc="http://schemas.openxmlformats.org/markup-compatibility/2006">
      <mc:Choice Requires="x14">
        <oleObject progId="Word.Document.12" shapeId="3078" r:id="rId10">
          <objectPr defaultSize="0" autoPict="0" r:id="rId11">
            <anchor moveWithCells="1">
              <from>
                <xdr:col>0</xdr:col>
                <xdr:colOff>38100</xdr:colOff>
                <xdr:row>356</xdr:row>
                <xdr:rowOff>47625</xdr:rowOff>
              </from>
              <to>
                <xdr:col>3</xdr:col>
                <xdr:colOff>285750</xdr:colOff>
                <xdr:row>356</xdr:row>
                <xdr:rowOff>1885950</xdr:rowOff>
              </to>
            </anchor>
          </objectPr>
        </oleObject>
      </mc:Choice>
      <mc:Fallback>
        <oleObject progId="Word.Document.12" shapeId="3078" r:id="rId10"/>
      </mc:Fallback>
    </mc:AlternateContent>
    <mc:AlternateContent xmlns:mc="http://schemas.openxmlformats.org/markup-compatibility/2006">
      <mc:Choice Requires="x14">
        <oleObject progId="Word.Document.12" shapeId="3079" r:id="rId12">
          <objectPr defaultSize="0" r:id="rId13">
            <anchor moveWithCells="1">
              <from>
                <xdr:col>0</xdr:col>
                <xdr:colOff>47625</xdr:colOff>
                <xdr:row>355</xdr:row>
                <xdr:rowOff>85725</xdr:rowOff>
              </from>
              <to>
                <xdr:col>3</xdr:col>
                <xdr:colOff>85725</xdr:colOff>
                <xdr:row>356</xdr:row>
                <xdr:rowOff>28575</xdr:rowOff>
              </to>
            </anchor>
          </objectPr>
        </oleObject>
      </mc:Choice>
      <mc:Fallback>
        <oleObject progId="Word.Document.12" shapeId="3079" r:id="rId12"/>
      </mc:Fallback>
    </mc:AlternateContent>
    <mc:AlternateContent xmlns:mc="http://schemas.openxmlformats.org/markup-compatibility/2006">
      <mc:Choice Requires="x14">
        <oleObject progId="Word.Document.12" shapeId="3080" r:id="rId14">
          <objectPr defaultSize="0" autoPict="0" r:id="rId15">
            <anchor moveWithCells="1">
              <from>
                <xdr:col>0</xdr:col>
                <xdr:colOff>38100</xdr:colOff>
                <xdr:row>357</xdr:row>
                <xdr:rowOff>57150</xdr:rowOff>
              </from>
              <to>
                <xdr:col>3</xdr:col>
                <xdr:colOff>304800</xdr:colOff>
                <xdr:row>358</xdr:row>
                <xdr:rowOff>0</xdr:rowOff>
              </to>
            </anchor>
          </objectPr>
        </oleObject>
      </mc:Choice>
      <mc:Fallback>
        <oleObject progId="Word.Document.12" shapeId="3080" r:id="rId14"/>
      </mc:Fallback>
    </mc:AlternateContent>
    <mc:AlternateContent xmlns:mc="http://schemas.openxmlformats.org/markup-compatibility/2006">
      <mc:Choice Requires="x14">
        <oleObject progId="Word.Document.12" shapeId="3081" r:id="rId16">
          <objectPr defaultSize="0" r:id="rId17">
            <anchor moveWithCells="1">
              <from>
                <xdr:col>0</xdr:col>
                <xdr:colOff>28575</xdr:colOff>
                <xdr:row>352</xdr:row>
                <xdr:rowOff>47625</xdr:rowOff>
              </from>
              <to>
                <xdr:col>3</xdr:col>
                <xdr:colOff>104775</xdr:colOff>
                <xdr:row>353</xdr:row>
                <xdr:rowOff>38100</xdr:rowOff>
              </to>
            </anchor>
          </objectPr>
        </oleObject>
      </mc:Choice>
      <mc:Fallback>
        <oleObject progId="Word.Document.12" shapeId="3081" r:id="rId16"/>
      </mc:Fallback>
    </mc:AlternateContent>
    <mc:AlternateContent xmlns:mc="http://schemas.openxmlformats.org/markup-compatibility/2006">
      <mc:Choice Requires="x14">
        <oleObject progId="Word.Document.12" shapeId="3082" r:id="rId18">
          <objectPr defaultSize="0" r:id="rId19">
            <anchor moveWithCells="1">
              <from>
                <xdr:col>0</xdr:col>
                <xdr:colOff>38100</xdr:colOff>
                <xdr:row>353</xdr:row>
                <xdr:rowOff>47625</xdr:rowOff>
              </from>
              <to>
                <xdr:col>3</xdr:col>
                <xdr:colOff>85725</xdr:colOff>
                <xdr:row>353</xdr:row>
                <xdr:rowOff>2581275</xdr:rowOff>
              </to>
            </anchor>
          </objectPr>
        </oleObject>
      </mc:Choice>
      <mc:Fallback>
        <oleObject progId="Word.Document.12" shapeId="3082" r:id="rId18"/>
      </mc:Fallback>
    </mc:AlternateContent>
    <mc:AlternateContent xmlns:mc="http://schemas.openxmlformats.org/markup-compatibility/2006">
      <mc:Choice Requires="x14">
        <oleObject progId="Word.Document.12" shapeId="3083" r:id="rId20">
          <objectPr defaultSize="0" autoPict="0" r:id="rId21">
            <anchor moveWithCells="1">
              <from>
                <xdr:col>0</xdr:col>
                <xdr:colOff>38100</xdr:colOff>
                <xdr:row>354</xdr:row>
                <xdr:rowOff>57150</xdr:rowOff>
              </from>
              <to>
                <xdr:col>3</xdr:col>
                <xdr:colOff>390525</xdr:colOff>
                <xdr:row>355</xdr:row>
                <xdr:rowOff>0</xdr:rowOff>
              </to>
            </anchor>
          </objectPr>
        </oleObject>
      </mc:Choice>
      <mc:Fallback>
        <oleObject progId="Word.Document.12" shapeId="3083" r:id="rId20"/>
      </mc:Fallback>
    </mc:AlternateContent>
    <mc:AlternateContent xmlns:mc="http://schemas.openxmlformats.org/markup-compatibility/2006">
      <mc:Choice Requires="x14">
        <oleObject progId="Word.Document.12" shapeId="3084" r:id="rId22">
          <objectPr defaultSize="0" autoPict="0" r:id="rId23">
            <anchor moveWithCells="1">
              <from>
                <xdr:col>0</xdr:col>
                <xdr:colOff>38100</xdr:colOff>
                <xdr:row>358</xdr:row>
                <xdr:rowOff>28575</xdr:rowOff>
              </from>
              <to>
                <xdr:col>3</xdr:col>
                <xdr:colOff>247650</xdr:colOff>
                <xdr:row>359</xdr:row>
                <xdr:rowOff>0</xdr:rowOff>
              </to>
            </anchor>
          </objectPr>
        </oleObject>
      </mc:Choice>
      <mc:Fallback>
        <oleObject progId="Word.Document.12" shapeId="3084" r:id="rId22"/>
      </mc:Fallback>
    </mc:AlternateContent>
    <mc:AlternateContent xmlns:mc="http://schemas.openxmlformats.org/markup-compatibility/2006">
      <mc:Choice Requires="x14">
        <oleObject progId="Word.Document.12" shapeId="3085" r:id="rId24">
          <objectPr defaultSize="0" autoPict="0" r:id="rId25">
            <anchor moveWithCells="1">
              <from>
                <xdr:col>0</xdr:col>
                <xdr:colOff>66675</xdr:colOff>
                <xdr:row>358</xdr:row>
                <xdr:rowOff>4533900</xdr:rowOff>
              </from>
              <to>
                <xdr:col>3</xdr:col>
                <xdr:colOff>228600</xdr:colOff>
                <xdr:row>359</xdr:row>
                <xdr:rowOff>1790700</xdr:rowOff>
              </to>
            </anchor>
          </objectPr>
        </oleObject>
      </mc:Choice>
      <mc:Fallback>
        <oleObject progId="Word.Document.12" shapeId="3085" r:id="rId2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6875A648BB8BC4081F425CB0305AF28" ma:contentTypeVersion="7" ma:contentTypeDescription="Create a new document." ma:contentTypeScope="" ma:versionID="5cffbf5cbb47342aa3328de60e4dc80c">
  <xsd:schema xmlns:xsd="http://www.w3.org/2001/XMLSchema" xmlns:xs="http://www.w3.org/2001/XMLSchema" xmlns:p="http://schemas.microsoft.com/office/2006/metadata/properties" xmlns:ns2="7c76d68f-9ca5-4435-9527-26e5a329b35b" targetNamespace="http://schemas.microsoft.com/office/2006/metadata/properties" ma:root="true" ma:fieldsID="bb6424bc12583a2cd26ccb0269b8d53b" ns2:_="">
    <xsd:import namespace="7c76d68f-9ca5-4435-9527-26e5a329b35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6d68f-9ca5-4435-9527-26e5a329b3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02E0BE-BCF5-4F84-AEA0-FF24956C57F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DE8A2E7-F302-452C-B4C3-833AE7622149}">
  <ds:schemaRefs/>
</ds:datastoreItem>
</file>

<file path=customXml/itemProps3.xml><?xml version="1.0" encoding="utf-8"?>
<ds:datastoreItem xmlns:ds="http://schemas.openxmlformats.org/officeDocument/2006/customXml" ds:itemID="{49B166D7-D4F6-4244-BFB9-DD53F70318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Naslovnica</vt:lpstr>
      <vt:lpstr>Opći uvjeti</vt:lpstr>
      <vt:lpstr>A GOR </vt:lpstr>
      <vt:lpstr>'A GOR '!Print_Area</vt:lpstr>
      <vt:lpstr>Naslovnica!Print_Area</vt:lpstr>
      <vt:lpstr>'A GOR '!Print_Titles</vt:lpstr>
    </vt:vector>
  </TitlesOfParts>
  <Company>PRIVATE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MSANUSER</dc:creator>
  <cp:lastModifiedBy>Ivan Cakaric</cp:lastModifiedBy>
  <cp:lastPrinted>2025-09-03T14:26:38Z</cp:lastPrinted>
  <dcterms:created xsi:type="dcterms:W3CDTF">1999-03-06T18:33:56Z</dcterms:created>
  <dcterms:modified xsi:type="dcterms:W3CDTF">2025-09-09T07:38:59Z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1033-10.2.0.7636</vt:lpwstr>
  </property>
</Properties>
</file>