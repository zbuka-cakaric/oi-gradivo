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T:\Energetska obnova Buzet\"/>
    </mc:Choice>
  </mc:AlternateContent>
  <xr:revisionPtr revIDLastSave="0" documentId="13_ncr:1_{0005F0E1-AC82-4222-BC33-426A4A4F7193}" xr6:coauthVersionLast="47" xr6:coauthVersionMax="47" xr10:uidLastSave="{00000000-0000-0000-0000-000000000000}"/>
  <bookViews>
    <workbookView xWindow="31965" yWindow="990" windowWidth="20280" windowHeight="20310" xr2:uid="{00000000-000D-0000-FFFF-FFFF00000000}"/>
  </bookViews>
  <sheets>
    <sheet name="GRAĐEVINSKI RADOVI" sheetId="5" r:id="rId1"/>
  </sheets>
  <calcPr calcId="191029"/>
</workbook>
</file>

<file path=xl/calcChain.xml><?xml version="1.0" encoding="utf-8"?>
<calcChain xmlns="http://schemas.openxmlformats.org/spreadsheetml/2006/main">
  <c r="L174" i="5" l="1"/>
  <c r="L175" i="5" s="1"/>
  <c r="L189" i="5" s="1"/>
  <c r="L169" i="5" l="1"/>
  <c r="L168" i="5"/>
  <c r="L167" i="5"/>
  <c r="L170" i="5" l="1"/>
  <c r="L188" i="5" s="1"/>
  <c r="L198" i="5"/>
  <c r="L199" i="5" s="1"/>
  <c r="L163" i="5"/>
  <c r="L161" i="5"/>
  <c r="L160" i="5"/>
  <c r="L159" i="5"/>
  <c r="L158" i="5"/>
  <c r="L154" i="5"/>
  <c r="L155" i="5" s="1"/>
  <c r="L186" i="5" s="1"/>
  <c r="L148" i="5"/>
  <c r="L147" i="5"/>
  <c r="L146" i="5"/>
  <c r="L145" i="5"/>
  <c r="L144" i="5"/>
  <c r="L143" i="5"/>
  <c r="L142" i="5"/>
  <c r="L141" i="5"/>
  <c r="L140" i="5"/>
  <c r="L134" i="5"/>
  <c r="L133" i="5"/>
  <c r="L132" i="5"/>
  <c r="L131" i="5"/>
  <c r="L130" i="5"/>
  <c r="L129" i="5"/>
  <c r="L127" i="5"/>
  <c r="L120" i="5"/>
  <c r="L119" i="5"/>
  <c r="L117" i="5"/>
  <c r="L116" i="5"/>
  <c r="L115" i="5"/>
  <c r="L113" i="5"/>
  <c r="L112" i="5"/>
  <c r="L110" i="5"/>
  <c r="L108" i="5"/>
  <c r="L106" i="5"/>
  <c r="L105" i="5"/>
  <c r="L98" i="5"/>
  <c r="L97" i="5"/>
  <c r="L95" i="5"/>
  <c r="L93" i="5"/>
  <c r="L92" i="5"/>
  <c r="L91" i="5"/>
  <c r="L89" i="5"/>
  <c r="L87" i="5"/>
  <c r="L86" i="5"/>
  <c r="L84" i="5"/>
  <c r="L83" i="5"/>
  <c r="L82" i="5"/>
  <c r="L80" i="5"/>
  <c r="L73" i="5"/>
  <c r="L72" i="5"/>
  <c r="L71" i="5"/>
  <c r="L69" i="5"/>
  <c r="L68" i="5"/>
  <c r="L66" i="5"/>
  <c r="L65" i="5"/>
  <c r="L64" i="5"/>
  <c r="L63" i="5"/>
  <c r="L55" i="5"/>
  <c r="L54" i="5"/>
  <c r="L53" i="5"/>
  <c r="L52" i="5"/>
  <c r="L51" i="5"/>
  <c r="L50" i="5"/>
  <c r="L49" i="5"/>
  <c r="L48" i="5"/>
  <c r="L47" i="5"/>
  <c r="L46" i="5"/>
  <c r="L44" i="5"/>
  <c r="L43" i="5"/>
  <c r="L42" i="5"/>
  <c r="L40" i="5"/>
  <c r="L39" i="5"/>
  <c r="L38" i="5"/>
  <c r="L37" i="5"/>
  <c r="L36" i="5"/>
  <c r="L35" i="5"/>
  <c r="L33" i="5"/>
  <c r="L32" i="5"/>
  <c r="L31" i="5"/>
  <c r="L29" i="5"/>
  <c r="L28" i="5"/>
  <c r="L27" i="5"/>
  <c r="L26" i="5"/>
  <c r="L25" i="5"/>
  <c r="L24" i="5"/>
  <c r="L23" i="5"/>
  <c r="L22" i="5"/>
  <c r="L21" i="5"/>
  <c r="L14" i="5"/>
  <c r="L13" i="5"/>
  <c r="L12" i="5"/>
  <c r="L11" i="5"/>
  <c r="L10" i="5"/>
  <c r="L9" i="5"/>
  <c r="L164" i="5" l="1"/>
  <c r="L187" i="5" s="1"/>
  <c r="L121" i="5"/>
  <c r="L183" i="5" s="1"/>
  <c r="L149" i="5"/>
  <c r="L185" i="5" s="1"/>
  <c r="L135" i="5"/>
  <c r="L184" i="5" s="1"/>
  <c r="L99" i="5"/>
  <c r="L182" i="5" s="1"/>
  <c r="L74" i="5"/>
  <c r="L181" i="5" s="1"/>
  <c r="L56" i="5"/>
  <c r="L180" i="5" s="1"/>
  <c r="L15" i="5"/>
  <c r="L179" i="5" s="1"/>
  <c r="L203" i="5"/>
  <c r="L204" i="5" s="1"/>
  <c r="L205" i="5" s="1"/>
  <c r="L206" i="5" s="1"/>
  <c r="L211" i="5"/>
  <c r="L190" i="5" l="1"/>
  <c r="L191" i="5" s="1"/>
  <c r="L210" i="5" l="1"/>
  <c r="L212" i="5" s="1"/>
  <c r="L213" i="5" s="1"/>
  <c r="L214" i="5" s="1"/>
  <c r="L192" i="5"/>
</calcChain>
</file>

<file path=xl/sharedStrings.xml><?xml version="1.0" encoding="utf-8"?>
<sst xmlns="http://schemas.openxmlformats.org/spreadsheetml/2006/main" count="449" uniqueCount="251">
  <si>
    <t>1.    PRETHODNI  I  PRIPREMNI  RADOVI</t>
  </si>
  <si>
    <t>R.br.</t>
  </si>
  <si>
    <t>OPIS RADOVA</t>
  </si>
  <si>
    <t>Jed. mjere</t>
  </si>
  <si>
    <r>
      <rPr>
        <sz val="8"/>
        <rFont val="Arial"/>
        <family val="2"/>
        <charset val="238"/>
      </rPr>
      <t>Količina</t>
    </r>
  </si>
  <si>
    <r>
      <rPr>
        <sz val="8"/>
        <rFont val="Arial"/>
        <family val="2"/>
        <charset val="238"/>
      </rPr>
      <t>m</t>
    </r>
    <r>
      <rPr>
        <sz val="5"/>
        <rFont val="Arial"/>
        <family val="2"/>
        <charset val="238"/>
      </rPr>
      <t>2</t>
    </r>
  </si>
  <si>
    <r>
      <rPr>
        <sz val="8"/>
        <rFont val="Arial"/>
        <family val="2"/>
        <charset val="238"/>
      </rPr>
      <t>m</t>
    </r>
    <r>
      <rPr>
        <sz val="6"/>
        <rFont val="Arial"/>
        <family val="2"/>
        <charset val="238"/>
      </rPr>
      <t>2</t>
    </r>
  </si>
  <si>
    <t>kom</t>
  </si>
  <si>
    <t>m</t>
  </si>
  <si>
    <t>m'</t>
  </si>
  <si>
    <t>m2</t>
  </si>
  <si>
    <t>REKAPITULACIJA:</t>
  </si>
  <si>
    <t>I.</t>
  </si>
  <si>
    <t>PRETHODNI I PRIPREMNI RADOVI</t>
  </si>
  <si>
    <t>DEMONTAŽA I RUŠENJA</t>
  </si>
  <si>
    <t>IZOLACIJSKI I FASADERSKI RADOVI</t>
  </si>
  <si>
    <t>LIMARSKI RADOVI</t>
  </si>
  <si>
    <t>OSTALI RADOVI</t>
  </si>
  <si>
    <t>UKUPNO</t>
  </si>
  <si>
    <t>I.   GRAĐEVINSKI RADOVI</t>
  </si>
  <si>
    <t>UKUPNO  -  1.  PRETHODNI I PRIPREMNI RADOVI :</t>
  </si>
  <si>
    <t xml:space="preserve">2.    DEMONTAŽA I RUŠENJA                                                                                                                        </t>
  </si>
  <si>
    <t>2.1.</t>
  </si>
  <si>
    <t>2.3.</t>
  </si>
  <si>
    <t>2.4.</t>
  </si>
  <si>
    <t>2.5.</t>
  </si>
  <si>
    <t>UKUPNO  -  2.  DEMONTAŽA I RUŠENJA:</t>
  </si>
  <si>
    <t>UKUPNO  -  3.  UKUPNO ZAVRŠNO - ZIDARSKI RADOVI:</t>
  </si>
  <si>
    <t>3.        ZAVRŠNO - ZIDARSKI RADOVI</t>
  </si>
  <si>
    <t>4.   IZOLACIJSKI I FASADERSKI RADOVI :</t>
  </si>
  <si>
    <t>UKUPNO  -  4. IZOLACIJSKI I FASADERSKI RADOVI:</t>
  </si>
  <si>
    <t>3.1.</t>
  </si>
  <si>
    <t>4.1.</t>
  </si>
  <si>
    <t>4.2.</t>
  </si>
  <si>
    <t>6.1.</t>
  </si>
  <si>
    <r>
      <rPr>
        <b/>
        <sz val="9"/>
        <rFont val="Arial"/>
        <family val="2"/>
        <charset val="238"/>
      </rPr>
      <t>GRA</t>
    </r>
    <r>
      <rPr>
        <sz val="9"/>
        <rFont val="Arial"/>
        <family val="2"/>
        <charset val="238"/>
      </rPr>
      <t>Đ</t>
    </r>
    <r>
      <rPr>
        <b/>
        <sz val="9"/>
        <rFont val="Arial"/>
        <family val="2"/>
        <charset val="238"/>
      </rPr>
      <t>EVINSKI  RADOVI</t>
    </r>
  </si>
  <si>
    <t>Otprašivanje  površine   pročelja  i  pranje  vodenim  mlazom  pod
pritiskom,uključivo i pranje sokla. Stavka se obračunava po izvedenim situacijama upisom količina u građevinskoj knjizi i prema naputcima nadzornog inženjera. Obračun po m2.</t>
  </si>
  <si>
    <t xml:space="preserve">objekt </t>
  </si>
  <si>
    <t>m1</t>
  </si>
  <si>
    <t>NAPOMENA :Žbukanje zidova i armirano betonske konstrukcije vršiti u pogodno vrijeme, kad su potpuno suhi, te u optimalnoj temperaturi. Žbukanje treba izbjegavati za vrijeme zimskih i ljetnih visokih temperatura, jer može doći do smrzavanja odnosno prebrzog sušenja žbuke.</t>
  </si>
  <si>
    <t>Završno  čišćenje  objekta  od  ostataka  ljepila,  silikata.  Potrebno
očistiti sve klupice, stakla i okoliš objekta.Obračun po kompletu radova.</t>
  </si>
  <si>
    <t>1.1.</t>
  </si>
  <si>
    <t>Ukoliko nije u opisu rada drugačije označeno, obračun kvadrature izvršiti po prosječnim normama. Povećanje zbog postotka otvora za vanjske plohe treba uključiti u jediničnu cijenu jer se isto ne plaća po koeficijentu povećanja zasebno. Žbukanje zidova mora se izvesti u skladu sa projektom uz prethodnu provjeru kvalitete zidane konstukcije, u pogledu geometrije i čvrstoće, posebno na betonskim dijelovima gdje se moraju odstraniti eventualne masnoće od sredstva kojima se premazuje oplata radi lakšeg odvajanja betona. Za izvedbu radova upotrijebiti materijale koji odgovaraju normama. Ako se opisom pojedinog rada traži materijal koji nije obuhvaćen važećim normama, mora se ugraditi materijal u svemu prema naputku proizvođača, te sukladno garanciji i atestima ovlaštenih ustanova.</t>
  </si>
  <si>
    <t>4.3.</t>
  </si>
  <si>
    <t xml:space="preserve">NAPOMENA : Sva rušenja, probijanja, bušenja i dubljenja treba u pravilu izvoditi ručnim alatom, s osobitom pažnjom. Sve otvore na pročelju treba odmah nakon postave skele zaštititi PVC folijom debljine 0,20 mm, kako prilikom obijanja žbuke ne bi došlo do oštećenja. Nakon provedenih pripremnih radova, rušenja na građevini vrše se prema unaprijed utvrđenom redosljedu dogovorenim s nadzornim inženjerom investitora. Demontaže i rušenja izvode se u pravilu od krova prema podrumu. Skidanje – obijanje žbuke vrši se do nosivog dijela zida, uključujući čišćenje sljubnica skobama i uz stalno kvašenje vodom zbog manjeg prašenja. </t>
  </si>
  <si>
    <t>7.1.</t>
  </si>
  <si>
    <t>2.2.</t>
  </si>
  <si>
    <t>4.4.</t>
  </si>
  <si>
    <t>PDV 25%</t>
  </si>
  <si>
    <t>SVEUKUPNO</t>
  </si>
  <si>
    <t>6.2.</t>
  </si>
  <si>
    <t>1.2.</t>
  </si>
  <si>
    <t xml:space="preserve">Dobava, doprema i postava gradilišne ploče minimalnih dimenzija 420x594 mm. Ploča mora biti napravljena prema Pravilniku o sadržaju i izgledu ploče kojom se označava gradilište. Obračun po kom napravljene i postavljene ploče.  </t>
  </si>
  <si>
    <t>5.1.</t>
  </si>
  <si>
    <t>NAPOMENA : U jediničnu cijenu stavke obavezno uključiti svu skelu potrebnu za izvođenje radova, sve mjere osiguranja radnika i prolaznika, sva potrebna premještanja postojećih instalacija za potrebe izvođenje radova, vraćanje istih na mjesto i u prvobitno stanje funkcionalnosti, utovar materijala preostalog od rušenja i odvoz na deponiju udaljenosti do 20 km; u cijenu uključiti troškove utovara, odvoza, zbrinjavanja i deponiranja materijala. Također u jediničnu cijenu uključiti sva potrebna osiguranja i podupiranja kod rušenja, kao i čišćenje prostora po dovršetku radova.</t>
  </si>
  <si>
    <t xml:space="preserve">Jedinična cijena treba sadržavati:
- sav rad uključivo i uzimanje mjere na gradnji za izvedbu i obračun prema građevinskim normama.,
- sav materijal uključivo pomoćni te pričvrsni materijal,
- sav rad na gradnji i u radionici,
- sav transport i uskladištenje materijala,
- čišćenje i miniziranje željeznih dijelova
- dobavu i polaganje podložne ljepenke,
- ugradbu limarije upucavanjem,
- potrebne platforme, pokretnu skelu za montažu, kuke, užad, ljestve,
- ugradbu u ziđe ili sl. potrebnih obujmica, slivnika i sl.,
- čišćenje od otpadaka nakon izvršenih radova,
- zaštitu izvedenih radova do primopredaje.
Obračun se vrši po m ili m2, ovisno o vrsti elementa, prema važećim građevinskim normama za ojedine radove, što je i naznačeno u pojedinim stavkama troškovnika.Eventualne nejasnoće oko načina izvedbe ili obračuna izvoditelj je dužan razjasniti sa nadzornim inžinjerom prije samog pristupanja izvođenju.
</t>
  </si>
  <si>
    <t>2.6.</t>
  </si>
  <si>
    <t>3.2.</t>
  </si>
  <si>
    <t>Količina</t>
  </si>
  <si>
    <t>PVC STOLARIJA</t>
  </si>
  <si>
    <t>ALUMINIJSKA BRAVARIJA - VRATA</t>
  </si>
  <si>
    <t>1.3.</t>
  </si>
  <si>
    <t>1.4.</t>
  </si>
  <si>
    <t>1.5.</t>
  </si>
  <si>
    <t>Priprema i organizacija gradilišta koja uključuje: dopremu, postavu i uklanjanje po završetku radova pomoćnih gradilišnih objekata (uredski kontejneri, kontejneri za smještaj radnika, skladišni kontejneri, WC-i i ostalo); osiguranje potrebnih gradilišnih priključaka vode, telefona, struje i sve ostalo nužno za nesmetano funkcioniranje gradilišta.</t>
  </si>
  <si>
    <t>kpl</t>
  </si>
  <si>
    <r>
      <t xml:space="preserve">Jedinična cijena iz ponude izvoditelja treba obuhvatiti kompletno rušenje, uključivo sve pripremno-završne radove sadržane u faktorskim troškovima. Svi prijenosi materijala dobiveni rušenjem i demontažom, odvoz na privremeni gradilišni deponij ili gradsku planirku, s čišćenjem gradilišta i dovođenjem javne površine u prvobitno stanje, trebaju biti uključeni u jediničnoj cijeni radova i neće se posebno priznavati. Prije početka radova treba ispitati sve instalacije koje se nalaze na pročelju ili krovu građevine, te ih po stručnoj osobi zaštititi u skladu s propisima.Sve elemente s pročelja (tablice s kućnim brojem, reklame i sl.) treba skinuti i privremeno – do završetka radova kada će se ponovno postaviti – pohraniti na gradilištu ili mjestu koje se dogovori s nadzornim inžinjerom investitora. Izvoditelj će snositi troškove ukoliko se navedeni elementi oštete ili otuđe.                                                  Jediničnom cijenom treba obuhvatiti:                                                     - sav rad i materijal za izvedbu radova iz pojedine stavke,                         - sav transport,                                                                                               - sve društvene obveze vezane za radnu snagu i materijal,                         - pripremno – završne radove.                                               </t>
    </r>
    <r>
      <rPr>
        <b/>
        <i/>
        <sz val="8"/>
        <color indexed="8"/>
        <rFont val="Arial"/>
        <family val="2"/>
        <charset val="238"/>
      </rPr>
      <t>NAPOMENA : Izvođač je dužan osigurati dizalicu ili platformu za podizanje materijala, te</t>
    </r>
    <r>
      <rPr>
        <i/>
        <sz val="8"/>
        <color indexed="8"/>
        <rFont val="Arial"/>
        <family val="2"/>
        <charset val="238"/>
      </rPr>
      <t xml:space="preserve"> </t>
    </r>
    <r>
      <rPr>
        <b/>
        <i/>
        <sz val="8"/>
        <color indexed="8"/>
        <rFont val="Arial"/>
        <family val="2"/>
        <charset val="238"/>
      </rPr>
      <t xml:space="preserve">sam snosi troškove deponiranja.  </t>
    </r>
    <r>
      <rPr>
        <i/>
        <sz val="8"/>
        <color indexed="8"/>
        <rFont val="Arial"/>
        <family val="2"/>
        <charset val="238"/>
      </rPr>
      <t xml:space="preserve">   </t>
    </r>
  </si>
  <si>
    <t>demontaža</t>
  </si>
  <si>
    <t>montaža</t>
  </si>
  <si>
    <t>Žbukanje ravnih površina pročelja produžnom grubom i finom žbukom m-5, omjera 1:3:9 zaglađene završne obrade, debljine 3-4,5 cm, uz prethodno pranje površina vodom pod pritiskom. Žbuka se nanosi na ravne površine pročelja gdje je postojeća žbuka otučena, reške očišćene, a površina otprašena i oprana. Žbuku izvesti prema slijedećim fazama: površinu zida oprati vodom pod pritiskom, na navlaženu površinu zida nanijeti rijetki cementni mort-špric omjera 1:2. Na tako pripremljenu podlogu nanijeti osnovni
sloj grube produžne žbuke debljine 2-2,5 cm. Kada se osnovni sloj potpuno osuši i potom obilno navlaži nanosi se završni sloj fine produžne žbuke debljine 1-1,5 cm, veličine agregata do 2,0 mm. Završni sloj fino zagladiti. Stavka se obračunava po izvedenim situacijama sa upisom količina u građevinskoj knjizi i sa ovjerom nadzornog inženjera.  Obračun po m2 ožbukane površine.</t>
  </si>
  <si>
    <t>Zidarska pripomoć pri ugradnji stolarije - obrada unutarnjih špaleta širine do 50 cm.  U cijenu uključena zaštita stolarije, impregnacija, gletanje, brušenje i ličenje špaleta. U jediničnu cijenu je uračunata i postava apl lajsni po obodu stolarije zbog spriječavanja nastajanja pukotina, prodora vode te zbog vizualnog efekta ravnih linija. Obračun po m1.</t>
  </si>
  <si>
    <t>NAPOMENA : Spojeve dodatno armirati staklenom mrežicom po potrebi. Za ojačanje rubova, zaštitu uglova koristiti tipske aluminijske poliesterski zaštićene profile za vanjske rubove. Uključivo i postava svih rubnih, završnih profila, te ugradnja tipskog završnog profila za okapnicu istaka (sve uključeno u cijenu m2 pročelja). Potrebno je izvesti sve pravilno i oštrih bridova, te glatkih i ravnih površina. Sve prema uputama proizvođača.U jediničnu cijenu ulazi sve komplet sa dobavom, dopremom i ugradnjom, a uvjet je da se nanošenje žbuke vrši ručno. Otvori manji od 3 m2 nisu odbijani, od većih otvora odbijana je samo površina veća od 3 m2. U cijenu stavke 4.1. potrebno je uključiti i izradu špaleta otvora s vanjske strane sa mineralnom vunom d=1-3 cm i završnu obradu slojevima sukladno okolnim obodima zidova. Obračun špaleta se vrši prema slijedećem: otvori oko kojih postoje uložine  do 20 cm, širine se odbijaju na slijedeći način:                                                                                                      a) otvori veličine do 3,00 m2 se ne odbijaju i njihove uložine se ne obračunavaju                                                                                      b) otvori veličine 3,00-5,00 m2 odbija se površina preko 3,00 m2, a uložine se ne odbijaju posebno                                                          c) kod otvora veličine preko 5,00 m2 odbija se površina preko 3,00 m2, a uložine se obračunavaju posebno.                                          d)ako su uložine šire od 20 cm, onda se preko 20 cm obračunava posebno po m2, s tim što se svaki dužni metar razvija prema dole nižoj skali u m2.</t>
  </si>
  <si>
    <t xml:space="preserve">1. za razvijene širine do 12 cm i 1,00 m1 = 0,35 m2                          2. za razvijene širine od 12 do 18 cm i 1,00 m1 = 0,50 m2                3. za razvijene širine od 18 do 25 cm i 1,00 m1 = 0,75 m2               4. za razvijene širine od 25 do 50 cm i 1,00 m1 = 1,00 m2               5. za razvijene širine od 50 do 75 cm i 1,00 m1 = 1,25 m2               6. za razvijene širine od 75 do 100 cm i 1,00 m1 = 1,50 m2             7. za razvijene širine od 100 do 125 cm i 1,00 m1 = 1,75 m2           8. za razvijene širine od 125 do 150 cm i 1,00 m1 = 2,00 m2           9. za spojnice-nutne razvijene širine do 5 cm i 1,00 m1 = 0,25 m2.        Radove moraju izvoditi obučeni radnici s certifikatom. Dozvoljena je primjena sistema jednog izvođača. Ne smiju se miješati materijali više izvođača. Obavezna upotreba cinkovog spreja kod vidljivih metalnih dijelova na fasadi zbog spriječavanja korozijskog djelovanja. Kod izvođenja radova i pri manipulaciji izolaterskim radovima treba poštovati pravila struke i strogo se držati preporuka proizvođača i HUPFAS-a. A kako bi se osigurala odgovarajuća proinjivost između ploče i ljepila te ljepila i podloge, ploču je prilikom postavljanja potrebno pritisnuti na podlogu. Ljepilo ni u kojem slučaju ne smije doprijeti u fuge. Načelno se smiju postavljati samo cijele ploče. Priključni komadi moraju biti širi od &gt; 15 cm i ne smiju se postavljati na uglovima objekta, već samo u sredini površine. Na uglovima objekta smiju se koristiti samo cijele i polovice ploča/lamela na način da se ploče/lamele na uglu međusobno preklapaju.                                                         NAPOMENA : Izvođač je dužan osigurati dizalicu ili platformu za podizanje materijala. </t>
  </si>
  <si>
    <t>Demontaža   i   privremeno   deponiranje   raznih   elemenata   na
pročelju zgrade  na  mjesto prema  odluci nadzornog  inženjera i Investitora  te  ponovna  montaža  nakon  izvedbe  radova. U cijeni sav potreban rad,alat i pomoćni materijal i montiranje nazad. Obračun po kom/m1.</t>
  </si>
  <si>
    <t xml:space="preserve">Dobava, postava, skidanje i otprema tunelske skele-prolaza za pješake, izrađene od bešavnih cijevi i potrebnih spojnih elemenata sa svim potrebnim ukrućenjima i sidrenjima. Pokrov tunela izraditi od mosnica položenih jedna preko druge, a preko njih potrebno je postaviti PVC foliju sa preklopima min. 15 cm. Nakon postave skele potrebno je izvesti svu signalizaciju kao putokazi i rasvjeta i sl. kako to nalažu HTZ propisi. Stavkom su obuhvaćeni svi radovi na postavi i demontaži tunelske skele uključujući izradu potrebne prometne signalizacije za pješake. Obračun je po m² tlocrtne površine koju zauzima skela. </t>
  </si>
  <si>
    <t>5.2.</t>
  </si>
  <si>
    <t>Izrada i postava zaštitne ograde za ograđivanje gradilišta (skladište materijala), u skladu s propisima zaštite na radu. Ograda se postavlja na rub radnog pojasa, tako da ne ometa radove i promet. Obračun po m postavljene ograde.</t>
  </si>
  <si>
    <t>8.1.</t>
  </si>
  <si>
    <t>II. USLUGE NADZORA GRAĐEVINSKIH RADOVA</t>
  </si>
  <si>
    <t>1.</t>
  </si>
  <si>
    <t>Usluga nadzornog inženjera za obavljanje stučnog nadzora nad
izvođenjem ovojnice fasade.Stavka obuhvaća izradu završnog izvještaja da je izvođenje napravljeno sukladno projektu, kontrola materijala, pregled radova prilikom izvođenja i kontrolu količina.Obračun po kompletu radova.</t>
  </si>
  <si>
    <t>UKUPNO  -  II.  USLUGE NADZORA GRAĐEVINSKIH RADOVA :</t>
  </si>
  <si>
    <t>II.</t>
  </si>
  <si>
    <t>USLUGE NADZORA GRAĐEVINSKIH RADOVA</t>
  </si>
  <si>
    <t>SVEUKUPNA REKAPITULACIJA:</t>
  </si>
  <si>
    <t>GRAĐEVINSKI RADOVI</t>
  </si>
  <si>
    <t>Obrada svih betonskih dijelova koji se ne oblažu toplinskom izolacijom prema slijedećem :                                                                  - izrada armirajućeg i izravnavajućeg sloja cca 4 mm debljine (polimerno-cementno ljepilo u dva sloja i tekstilno-staklena mrežica sa preklopima min 10 cm)                                                                           - postavljanje pvc kutnika sa mrežicom i pvc okapnog profila gdje je to potrebno                                                                                              - međupremaz putz-grund                                                                     - završni sloj silikonske žbuke, granulacije 2 mm u tonu po izboru naručitelja.                                                                                                                                                                     Jedinična cijena sadrži dobavu i dopremu svog potrebnog materijala, sav rad na izradi, te čišćenje i odvoz otpadnog materijala po završetku radova. Obračun po m2.</t>
  </si>
  <si>
    <t>Pažljiva   demontaža   postojećih unutarnjih prozorskih   limenih  i kamenih klupčica sa odvozom na gradski deponij. U cijeni sav potreban rad s odvozom na gradski deponij.                               Obračun po metru dužnom demontirane klupčice.</t>
  </si>
  <si>
    <t>Demontaža, te dobava i ugradnja nove gromobranske instalacije. Gromobransku instalaciju od inox trake postaviti na pročeljima, spajanje iste sa svim metalnim elementima, ugraditi gromobranske ormariće. Ispitivanje nove gromobranske instalacije uz ishodovanje atesta od ovlaštene tvrtke za obavljanje ove djelatnosti uključeno u cijenu. Obračun po m1 postavljene gromobranske instalacije sa svim potrebnim materijalom i radom.</t>
  </si>
  <si>
    <t>4.6.</t>
  </si>
  <si>
    <t>4.7.</t>
  </si>
  <si>
    <t>m3</t>
  </si>
  <si>
    <t>Dobava, doprema i montaža odzračnika na objektu. Obračun po komadu ugrađenog odzračnika.</t>
  </si>
  <si>
    <t>ZAVRŠNI ZIDARSKO -OBRTNIČKI RADOVI</t>
  </si>
  <si>
    <t xml:space="preserve"> - vertikalni oluci - demontaža</t>
  </si>
  <si>
    <t>Pažljiva   demontaža   postojećih   vanjskih prozorskih limenih  i kamenih klupčica sa odvozom na gradski deponij. U cijeni sav potreban rad s odvozom na gradski deponij.                               Obračun po metru dužnom demontirane klupčice.</t>
  </si>
  <si>
    <t>Dobava materijala, izrada i ugradnja odvoda oborinske vode od pocinčanog obostrano bojanog lima d=0,60 mm, promjera 120 mm. U cijenu uključen sav potreban spojni i pričvrsni materijal kao i potrebna koljena. Sve fiksirati zakovicama u boji lima, spojeve brtviti silikonom-poliuretanom za lim, u cijeni i čepovi. Razmak između obujmica iznosi 2,00 do 2,50 m1. Obračun po m1.</t>
  </si>
  <si>
    <t>vertikalni oluci</t>
  </si>
  <si>
    <t>7.2.</t>
  </si>
  <si>
    <t>7.3.</t>
  </si>
  <si>
    <t>7.4.</t>
  </si>
  <si>
    <t>7.5.</t>
  </si>
  <si>
    <t>4.5.</t>
  </si>
  <si>
    <t>horizontalni oluci</t>
  </si>
  <si>
    <r>
      <t>Radove obavezno izvoditi prema uputama proizvođača i u suradnji sa nadzornim inženjerom.  Obračun po m</t>
    </r>
    <r>
      <rPr>
        <sz val="8"/>
        <color indexed="8"/>
        <rFont val="Times New Roman"/>
        <family val="1"/>
        <charset val="238"/>
      </rPr>
      <t>²</t>
    </r>
    <r>
      <rPr>
        <sz val="8"/>
        <rFont val="Arial"/>
        <family val="2"/>
        <charset val="238"/>
      </rPr>
      <t xml:space="preserve"> izvedene izolacije uključivo foliju.</t>
    </r>
  </si>
  <si>
    <t xml:space="preserve">  - rasvjetna tijela (demontaža)</t>
  </si>
  <si>
    <r>
      <t xml:space="preserve">  </t>
    </r>
    <r>
      <rPr>
        <sz val="8"/>
        <rFont val="Arial"/>
        <family val="2"/>
        <charset val="238"/>
      </rPr>
      <t>- kućni broj (demontaža i montaža novog)</t>
    </r>
  </si>
  <si>
    <t xml:space="preserve"> - nosač zastava (demontaža i montaža novog)</t>
  </si>
  <si>
    <t>Za sve navedene marke proizvoda i tipove proizvoda te za norme i tipove vrijedi izraz jednako nula.</t>
  </si>
  <si>
    <t>2.11.</t>
  </si>
  <si>
    <r>
      <t xml:space="preserve">Kod radova gdje je uz ugradbu materijala označena i dobava, isti treba uključiti, a također i eventualno izradu pojedinih elemenata koji se izvode na gradilištu i ugrađuju montažno. Jedinična cijena sadrži dopremu materijala na gradilište, sav materijal, alat, mehanizaciju, uskladištenje, montažu i demontažu skela i radnih platformi, troškove radne snage, sve horizontalne i vertikalne transporte, čišćenje nakon izvedbe radova, svu štetu i troškove popravaka kao posljedice nepažnje, troškove zaštite na radu, troškove stesta, zaštitu zidnih površina od utjecaja vrućine, hladnoće i atmosferskih nepogoda. Obračun izvršenih radova izvršit će se prema jedinici mjere pojedinog rada i prema stvarno izvršenim količinama ovjerenih od nadzorne službe investitora. Prije predaje ponude izvođač radova mora zatražiti sva potrebna razjašnjenja od projektanta ukoliko neke stavke u troškovniku nisu dovoljno opisane, jer se kasniji prigovori neće uzeti u obzir. Po završetku radova sav otpadni mateijal na gradilišnoj deponiji potrebno je sortirati prema tipu, te odvesti na deponiju određene od strane općine ili županije, pridržavajući se Zakon o održivom gospodarenju otpadom (NN 94/13, 73/17, 14/19 i 98/19) i Zakona o zaštiti okoliša ( NN 80/13, 153/13, 78/15, 12/18, 118/18).                                   </t>
    </r>
    <r>
      <rPr>
        <b/>
        <i/>
        <sz val="8"/>
        <rFont val="Arial"/>
        <family val="2"/>
        <charset val="238"/>
      </rPr>
      <t xml:space="preserve">NAPOMENA : Izvođač je dužan osigurati dizalicu ili platformu za podizanje materijala. </t>
    </r>
  </si>
  <si>
    <r>
      <t xml:space="preserve">Prostor između zidanog dijela i aluminijskih profila izveden prema normama struke. Svi navedeni spojevi moraju imati vrhunsku hidroizolaciju i termoizolaciju međuprostora kako ne bi došlo do prodora vode, zraka ili prolaza topline. Sa vanjske strane dodatno izvesti silikoniranje kvalitetnim silikonom otpornim na atmosferske utjecaje i u boji profila.
U cijeni obuhvatiti sav potreban okov kao i izradu radioničke dokumentacije koja se daje na uvid i odobrenje osobi koja vrši nadzor na objektu. Uz dokumentaciju potrebno je dostaviti uzorak profila koji također treba odobriti nadzorna osoba. Bilo kakva ugradnja prije odobrenja uzorka i dokumentacije, nije dozvoljena.
Ostale izvedbene detalje dogovoriti sa Investitorom. </t>
    </r>
    <r>
      <rPr>
        <b/>
        <i/>
        <sz val="8"/>
        <rFont val="Arial"/>
        <family val="2"/>
        <charset val="238"/>
      </rPr>
      <t>RAL UGRADNJA UZ OBAVEZAN BLOWER DOOR TEST NAKON ZAVRŠETKA OBNOVE OBJEKTA.</t>
    </r>
  </si>
  <si>
    <t>Sav upotrebljeni materijal i finalni građevinski proizvodi moraju odgovarati postojećim tehničkim propisima i HR normama ili jednakovrijednom EN Normom. Prilikom izvedbe limarskih radova treba se u svemu pridržavati slijedećih propisa i normi:                     - Pravilnik o zaštiti na radu u građevinarstvu,                                      - Pravilnik o tehničkim mjerama i uvjetima za završne radove u građevinarstvu,                                                                                         - Tehnički uvjeti za izvođenje limarskih radova,                               Pomoćni i vezivni materijali kalaj, zakovice, zavrtnji i drugo moraju odgovarati odredbama HR normi ili jednakovrijednom EN Normom. Sve radove treba izvesti stručno i solidno, prema tehničkim proisima i uzancama zanata. Izvoditelj je dužan na zahtjev investitora ili nadzornog inženjera predočiti uzorke i prospekte za pojedine materijale.                                                                   Nestandardiziran materijal mora imati atest o kvaliteti izdan od organizacije ovlaštene za izdavanje atesta. Izvoditelj je također dužan da za svaku stavku izradi detaljni crtež i ovjeri ga kod projektanta i nadzornog inženjera.Različite vrste metala, koje se uslijed elektrolitskih pojava međusobno razaraju, ne smiju se izravno dodirivati. Sve željezne dijelove koji dolaze u dodir s cinkom ili pocinčanim limom treba preličiti asfaltnim lakom, ili odgovarajućim sredstvom. Kod polaganja lima na masivne podloge, potrebno je podloge prije oblaganja obložiti slojem krovne ljepenke  radi sprečavanja štetnih kemijskih uticaja na lim.Sva se učvršćenja i povezivanja limova moraju izvesti tako da konstrukcija bude osigurana od nevremena, atmosferilija i prodora vode u objekt, i da pojedini dijelovi mogu nesmetano raditi kod temperaturnih promjena bez štete po ispravnost konstrukcije.</t>
  </si>
  <si>
    <t xml:space="preserve"> - horizontalni limeni opšavi, pod limova, limova istaka, atika - demontaža</t>
  </si>
  <si>
    <t>sokl</t>
  </si>
  <si>
    <t>Dobava i izvedba toplinske izolacije lindre pločama mineralne kamene vune namijenjene za ETICS fasadu, debljine 3 cm.                                                                                                Stavka uključuje:                                                                                     - nanošenje impregnacijskog sloja,                                                        - nanošenje mase za ljepljenje u debljini min 2 mm,                                 - postavu izolacijske ploče d=3 cm,                                                        - učvršćenje plastičnim pričvrsnicama sa širokim glavama na podlogu,                                                                                                 - nanošenje morta za armiranje,                                                            - armiranje tkaninom od staklenih vlakana sa preklopima od min 10 cm (utiskivanje vršiti zajedno sa postavom drugog sloja morta za armiranje),                                                                                               - postavu kutnih profila na istaknutim bridovima,                                   - postava okapnih profila,                                                                      - drugi sloj morta za armiranje nakon sušenja od 24 h ,                        - treći sloj morta - izravnavajući i vezivni sloj                                        - nanošenje silikonskog završnog premaza, granulacije 2 mm, u tonu po izboru Investitora.                                                                                                                                                                     U cijeni komplet materijal i rad. Za sve slojeve potrebno je primjeniti jedinstven ETAG certificirani fasadni sustav, za koji će izvoditelj osigurati atestnu dokumentaciju. Obračun po m2.</t>
  </si>
  <si>
    <t>Uklanjanje   slabodržeće  žbuke  s  pročelja  zgrade   do  nosivog
dijela. Debljina sloja 2.5 cm. Detaljan pregled nakon postavljene skele uz prisustvo i ovjerom nadzornog inženjera. Na crtežu pročelja označiti ustanovljene neravnine i kotirati slabodržeće površine.  Iskazana količina je aproksimativna. Obračun po m2 površine s odvozom šute na gradski deponij.</t>
  </si>
  <si>
    <t>3.3.</t>
  </si>
  <si>
    <t>Dobava, doprema i izrada sloja za pad na krovu od laganog betona gustoće 1000 kg/m3, debljine 4-11 cm, u padu prema vertikalnim slivnicima. Obračun po m3.</t>
  </si>
  <si>
    <t>3.4.</t>
  </si>
  <si>
    <t>Dobava, doprema i postavljanje geotekstila ispod TPO folije. Postavljanje izvršiti sa preklopom od 20 cm. Obračun po m2 postavljenog geotekstila, sa svim potrebnim materijalom i radom.</t>
  </si>
  <si>
    <t>3.5.</t>
  </si>
  <si>
    <t xml:space="preserve">Izrada oplate i betoniranje atika radi podizanja kote krova. Širina zidova 10 cm, prosječna visina podizanja zidova atike 20 cm. Prije betoniranja očistiti podlogu i nanijeti SN vezu. Izvedba glatka završna, dobava betona, ugradba u konstrukciju i zaštita. Klasa betona C25/30, XC1. Dvostrana bočna oplata. </t>
  </si>
  <si>
    <t>a) beton</t>
  </si>
  <si>
    <t>b) oplata</t>
  </si>
  <si>
    <t>3.6.</t>
  </si>
  <si>
    <t>Čelik B500B. Nabava, ispravljanje, čišćenje, sječenje i savijanje, doprema na gradilišni deponij, unutrašnji transport, postavljanje i vezivanje. Nova armatura se sidri ankerima(trnovi) ,bušenjem postojeće ploče zbog konstruktivnog povezivanja postojeće krovne ploče i novog armiranobetonskog zida. Obračun po kg.</t>
  </si>
  <si>
    <t>a) šipke</t>
  </si>
  <si>
    <t>kg</t>
  </si>
  <si>
    <t>b) mreže</t>
  </si>
  <si>
    <r>
      <t xml:space="preserve"> Radove obavezno izvoditi prema uputama proizvođača i u suradnji sa nadzornim inženjerom.  Obračun po m</t>
    </r>
    <r>
      <rPr>
        <sz val="8"/>
        <rFont val="Times New Roman"/>
        <family val="1"/>
        <charset val="238"/>
      </rPr>
      <t>²</t>
    </r>
    <r>
      <rPr>
        <sz val="8"/>
        <rFont val="Arial"/>
        <family val="2"/>
        <charset val="238"/>
      </rPr>
      <t xml:space="preserve"> izvedene izolacije uključivo foliju.</t>
    </r>
  </si>
  <si>
    <r>
      <t xml:space="preserve">Dobava, doprema i postava izolacije ravnog krova armiranom, termozavarivom završnom krovnom membranom od sintetičke gume (TPO-termoplastičnog poliolefina na bazi polipropilena) dizajniranom za trajnu zaštitu od svih postojećih vremenskih utjecaja debljine 1,50 mm, otpornost na statičko opterećenje 20kg.                                                                                    Folija mora zadovoljiti uvjete norme HRN EN 13956:2012 ;                                                             Vanjska otpornost na vatru HRN EN 13501-1                       Vodonepropusnost HRN EN 1928                                                     UV izlaganje HRN EN 1297                                                             Razred reakcije na požar prema HRN EN 13501: E                             </t>
    </r>
    <r>
      <rPr>
        <i/>
        <sz val="8"/>
        <rFont val="Arial"/>
        <family val="2"/>
        <charset val="238"/>
      </rPr>
      <t xml:space="preserve">ili jednakovrijedan </t>
    </r>
    <r>
      <rPr>
        <sz val="8"/>
        <rFont val="Arial"/>
        <family val="2"/>
        <charset val="238"/>
      </rPr>
      <t>_____________________________________________________            Obračun po m2 postavljene izolacije.</t>
    </r>
  </si>
  <si>
    <t>Dobava i postava vertikalne hidroizolacije na detalju (zid, nadozid, min. visine 30 cm), iz sintetičke membrane na bazi termoplastičnog poliolefina TPO-a, armirana staklenim voalom, debljine d= 1.5 mm. Membrana se lijepi na podlogu parapetnog zida / svjetlarnika sa kontaktnim ljepilom. Obračun po m´ istake.</t>
  </si>
  <si>
    <t>nadozid</t>
  </si>
  <si>
    <t>4.8.</t>
  </si>
  <si>
    <t>Dobava i postava specijalnih profila od galvaniziranog čeličnog lima 0,6mm laminiranog sa slojem FPO membrane 1,1mm. Dodatno brtvljenje trajnoelastičnim kitom na bazi poliuretana, odgovarajućim temeljnim premazom i PE ispunom za fuge.</t>
  </si>
  <si>
    <t>holker</t>
  </si>
  <si>
    <t>završna (putz-lajsna) r.š. 7 cm</t>
  </si>
  <si>
    <t>okapnica r.š. 20 cm</t>
  </si>
  <si>
    <t>4.9.</t>
  </si>
  <si>
    <t xml:space="preserve">Dobava i montaža slivnika na bazi tvrdog FPO-a s pripadajućom zaštitno/kišnom rešetkom.  Završetci membrane iz polja se zavaruju na ugrađene plašteve slivnika. </t>
  </si>
  <si>
    <r>
      <t xml:space="preserve">Okomiti dvostruki DN </t>
    </r>
    <r>
      <rPr>
        <sz val="8"/>
        <rFont val="Calibri"/>
        <family val="2"/>
        <charset val="238"/>
      </rPr>
      <t>Ø125</t>
    </r>
  </si>
  <si>
    <r>
      <t xml:space="preserve">Izrada, dobava i montaža vanjskih prozora izrađenih iz PVC profila. Profili u presjeku moraju imati min šest komora, ojačano pocinčanim čeličnim profilom u krilu i štoku, mora imat odgovarajuće certifikate o dokazu kvalitete. Ugradbene širine profila minimalno 75 mm do maksimalno 87 mm. Prozori moraju imati tri razine brtvljenja, brtve izrađene od visokokvalitetnog EPDM. Koeficijent prolaska topline okvira, spoj okvir-staklo </t>
    </r>
    <r>
      <rPr>
        <b/>
        <sz val="8"/>
        <rFont val="Arial"/>
        <family val="2"/>
        <charset val="238"/>
      </rPr>
      <t>U≤ 1,4 W/m2K</t>
    </r>
    <r>
      <rPr>
        <sz val="8"/>
        <rFont val="Arial"/>
        <family val="2"/>
        <charset val="238"/>
      </rPr>
      <t xml:space="preserve">. Staklo punjeno plinom (argon) zbog smanjenja toplinske provodljivosti, te zvučne izolacije. Dvostruko ostakljenje IZO 4+16+4 Low-E vanjsko staklo, PVB folija na unutarnjem ostakljenju. Koeficijent prolaska topline stakla </t>
    </r>
    <r>
      <rPr>
        <b/>
        <sz val="8"/>
        <rFont val="Arial"/>
        <family val="2"/>
        <charset val="238"/>
      </rPr>
      <t>U≤1,1 W/m2K.</t>
    </r>
    <r>
      <rPr>
        <sz val="8"/>
        <rFont val="Arial"/>
        <family val="2"/>
        <charset val="238"/>
      </rPr>
      <t xml:space="preserve">  Sav vidljiv okov sa plastičnim čepovima, kao i na šarafima. Okov kvalitetni, kvaka sa blokadom okretanja kad je prozor otvoren, sa svim osnovnim i bočnim zatvaračima, u broju prema veličini otvora. Elementi proširenja iz jednog komada sa brtvom, te dodatnog silikoniranja između profila. Svi elementi sa montažnom letvom. U slučaju potrebe, u jedinične cijene uračunati opšavne lajsne sa unutarnje strane. Spojni kutevi okvira štoka i krila trebaju biti zaštićeni prema preporuci proizvođača sistema kako ne bi došlo do pojave oksidacije na mjestima rezanja profila.</t>
    </r>
  </si>
  <si>
    <r>
      <t>Otvore vrata izraditi od aluminijskih profila sa prekinutim termičkim mostom. Površinska zaštita mora obuhvaćati dodatnu zaštitu protiv agresivnih atmosferskih utjecaja bez dodatne nadoplate. Prekid termičkog mosta mora biti izveden četverokomornim umetcima,</t>
    </r>
    <r>
      <rPr>
        <b/>
        <i/>
        <sz val="8"/>
        <rFont val="Arial"/>
        <family val="2"/>
        <charset val="238"/>
      </rPr>
      <t xml:space="preserve"> </t>
    </r>
    <r>
      <rPr>
        <i/>
        <sz val="8"/>
        <rFont val="Arial"/>
        <family val="2"/>
        <charset val="238"/>
      </rPr>
      <t>a brtvljenje između štoka i krila izveden</t>
    </r>
    <r>
      <rPr>
        <b/>
        <i/>
        <sz val="8"/>
        <rFont val="Arial"/>
        <family val="2"/>
        <charset val="238"/>
      </rPr>
      <t xml:space="preserve"> </t>
    </r>
    <r>
      <rPr>
        <i/>
        <sz val="8"/>
        <rFont val="Arial"/>
        <family val="2"/>
        <charset val="238"/>
      </rPr>
      <t xml:space="preserve">trostrukim brtvama. Ostakljene otvore ostakliti toplisko-izolacijskim staklom koje zadovoljava </t>
    </r>
    <r>
      <rPr>
        <b/>
        <i/>
        <sz val="8"/>
        <rFont val="Arial"/>
        <family val="2"/>
        <charset val="238"/>
      </rPr>
      <t>Ug=1,1 W/m2K</t>
    </r>
    <r>
      <rPr>
        <i/>
        <sz val="8"/>
        <rFont val="Arial"/>
        <family val="2"/>
        <charset val="238"/>
      </rPr>
      <t xml:space="preserve"> (warm edge). Kompletna ostakljena vrata moraju zadovoljavati </t>
    </r>
    <r>
      <rPr>
        <b/>
        <i/>
        <sz val="8"/>
        <rFont val="Arial"/>
        <family val="2"/>
        <charset val="238"/>
      </rPr>
      <t>Ud≤1,4 W/m</t>
    </r>
    <r>
      <rPr>
        <b/>
        <i/>
        <vertAlign val="superscript"/>
        <sz val="8"/>
        <rFont val="Arial"/>
        <family val="2"/>
        <charset val="238"/>
      </rPr>
      <t>2</t>
    </r>
    <r>
      <rPr>
        <b/>
        <i/>
        <sz val="8"/>
        <rFont val="Arial"/>
        <family val="2"/>
        <charset val="238"/>
      </rPr>
      <t>K</t>
    </r>
    <r>
      <rPr>
        <i/>
        <sz val="8"/>
        <rFont val="Arial"/>
        <family val="2"/>
        <charset val="238"/>
      </rPr>
      <t xml:space="preserve">. 
Vrata moraju biti opremljena šarnirima čiji broj ovisi o statičkim uvjetima datim širinom prozora. 
Sustav aluminijskih profila </t>
    </r>
    <r>
      <rPr>
        <b/>
        <i/>
        <sz val="8"/>
        <rFont val="Arial"/>
        <family val="2"/>
        <charset val="238"/>
      </rPr>
      <t xml:space="preserve">mora zadovoljavati sljedeće norme:  HRN EN 755-2, HRN EN14351, HRN EN1026, HRN EN1027, HRN EN12207, HRN EN12208, HRN EN12210, HRN EN12211, HRN EN10077-1, HRN EN10077-2                                                                </t>
    </r>
    <r>
      <rPr>
        <i/>
        <sz val="8"/>
        <rFont val="Arial"/>
        <family val="2"/>
        <charset val="238"/>
      </rPr>
      <t xml:space="preserve">ili jednakovrijedno </t>
    </r>
    <r>
      <rPr>
        <b/>
        <i/>
        <sz val="8"/>
        <rFont val="Arial"/>
        <family val="2"/>
        <charset val="238"/>
      </rPr>
      <t>_____________________________________________________</t>
    </r>
    <r>
      <rPr>
        <i/>
        <sz val="8"/>
        <rFont val="Arial"/>
        <family val="2"/>
        <charset val="238"/>
      </rPr>
      <t>. Zadovoljavanje navedenih normi potrebno je dokazati odgovarajućom atestnom dokumentacijom. Predložak atestne dokumentacije potrebno je dostaviti nadzornom inženjeru zajedno sa uzorkom profila prije početka izvođenja radova na objektu.</t>
    </r>
  </si>
  <si>
    <t>opšav atike RK</t>
  </si>
  <si>
    <t>3.7.</t>
  </si>
  <si>
    <r>
      <t>Dobava, doprema i postava ekstrudiranog polistirena d=3 cm u visini od 30 cm na unutarnjim zidovima atike</t>
    </r>
    <r>
      <rPr>
        <sz val="8"/>
        <color indexed="8"/>
        <rFont val="Arial"/>
        <family val="2"/>
        <charset val="238"/>
      </rPr>
      <t>. Obračun po m2.</t>
    </r>
  </si>
  <si>
    <t>Dobava,postava,skidanje  i  otprema   cijevne  fasadne  skele  od
bešavnih cijevi (visina montaže do 17 m visine). Skelu izvesti prema postojećim HTZ propisima i u svemu kako je opisano u općim uvjetima. U jediničnu cijenu uključiti  i zaštitni zastor od jutenih ili plastičnih traka,koje se postavljaju s vanjske strane skele po cijeloj  površini. Skelu  je  potrebno osigurati od prevrtanja bez sidrenja u fasadne zidove, a od udara groma uzemljenjem. Potrebno je izvesti pomoćne željezne ili drvene ljestve-penjalice u svrhu vertikalne komunikacije po skeli. Prije izvedbe skele izvođač je dužan izraditi projekt skele što je u cijeni stavke. Obračun se vrši po m2 vertikalne projekcije  površine skele.</t>
  </si>
  <si>
    <t xml:space="preserve">  - satelitska antena</t>
  </si>
  <si>
    <t xml:space="preserve"> - riblja kost</t>
  </si>
  <si>
    <t xml:space="preserve"> - sušila za robu (demontaža i montaža novih)</t>
  </si>
  <si>
    <t>Pažljiva demontaža postojeće hidroizolacije ravnog krova sve do nosivog sloja. Obračun po m2.</t>
  </si>
  <si>
    <t xml:space="preserve">Dobava i izvedba toplinsko izolacijskog sustava na području sokla građevine visine h=60 cm prema specifikaciji proizvođača. Sokl se oblaže XPS pločama  d=12 cm, tlačne čvrstoće 300 kPa i gustoće 30 kg/m3.  Između letvice za podnožje i ploče za izolaciju od XPS ploča treba umetnuti elastičnu traku. Sustav za izolaciju podnožja mora udovoljavati zahtjevu za vodoodbojnost w&lt;0,5 kg/m2/0.5 h.Izolacijske ploče od XPS-a lijepe se sa min 40% kontaktne površine, pričvršćuju se pričvrsnicama prema normativu 6-8 kom/m2. Zbog povišenih mehaničkih opterećenja u predjelu podnožja izvodi se dvostruko armiranje min debljine 5 mm. Stavka uključuje:                                                                                      - nanošenje impregnacijskog sloja,                                                               - nanošenje mase za ljepljenje u debljini min 2 mm,                                                             - postavu XPS izolacijske ploče d=12 cm,                                                    - učvršćenje plastičnim pričvrsnicama sa širokim glavama na podlogu min 6-8 kom /m2,                                                                                                                 - nanošenje morta za armiranje,                                                            - armiranje tkaninom od staklenih vlakana sa preklopima od min 10 cm (utiskivanje vršiti zajedno sa postavom drugog sloja morta za armiranje),                                                                                                              - postavu kutnih profila na istaknutim bridovima,                                                    - postava okapnih profila,                                                                                                  - drugi sloj morta za armiranje nakon sušenja od 24 h ,                                                       - nanošenje završnog akrilnog kulir premaza d= 1,5 mm, u tonu po izboru Investitora.                                                                                    U cijeni komplet materijal i rad. Za sve slojeve potrebno je primjeniti jedinstven ETAG certificirani fasadni sustav, za koji će izvoditelj osigurati atestnu dokumentaciju. Obračun po m2. </t>
  </si>
  <si>
    <t>Dobava materijala i postava toplinske izolacije ploče tavana tvrdom kamenom mineralnom vunom debljine 18 cm (λ=0,038W/m²K). Ispod polistirena postavlja se aluminijska folija.  U stavku je uključen sav potreban rad i materijal. Radove obavezno izvoditi prema uputama proizvođača i u suradnji sa nadzornim inženjerom.</t>
  </si>
  <si>
    <t>Dobava materijala i postava podne obloge tavana OSB pločama d=18 mm. U cijenu je uključena drvena rešetkasta podkonstrukcija d=18 cm između koje se postavljaju ploče ekstrudiranog polistirena (obračunate u zasebnoj stavci) kao i sav pričvrsni materijal potreban za postavu OSB ploča. Obračun po m2.</t>
  </si>
  <si>
    <r>
      <t xml:space="preserve">Prostor između zidanog dijela i pvc profila izveden prema normama struke. Svi navedeni spojevi moraju imati vrhunsku hidroizolaciju i termoizolaciju međuprostora kako ne bi došlo do prodora vode, zraka ili prolaza topline. Kompletna ispuna između profila i zidova sa kvalitetnom poliuretanskom pjenom uz prethodno vlaženje zidova za bolje prijanjanje. Sa vanjske strane dodatno izvesti silikoniranje kvalitetnim silikonom otpornim na atmosferske utjecaje i u boji profila.
U cijeni obuhvatiti sav potreban okov kao i izradu radioničke dokumentacije koja se daje na uvid i odobrenje osobi koja vrši nadzor na objektu. Uz dokumentaciju potrebno je dostaviti uzorak profila koji također treba odobriti nadzorna osoba. Bilo kakva ugradnja prije odobrenja uzorka i dokumentacije, nije dozvoljena.
Ostale izvedbene detalje dogovoriti sa Investitorom. </t>
    </r>
    <r>
      <rPr>
        <b/>
        <i/>
        <sz val="8"/>
        <rFont val="Arial"/>
        <family val="2"/>
        <charset val="238"/>
      </rPr>
      <t>RAL UGRADNJA UZ OBAVEZAN BLOWER DOOR TEST NAKON ZAVRŠETKA OBNOVE OBJEKTA. Rolete u cijeni</t>
    </r>
    <r>
      <rPr>
        <i/>
        <sz val="8"/>
        <rFont val="Arial"/>
        <family val="2"/>
        <charset val="238"/>
      </rPr>
      <t xml:space="preserve">
</t>
    </r>
  </si>
  <si>
    <t xml:space="preserve">TROŠKOVNIK GRAĐEVINSKO - OBRTNIČKIH RADOVA ZA POVEĆANJE TOPLINSKE ZAŠTITE VANJSKE OVOJNICE VIŠESTAMBENE ZGRADE AUGUSTINA VIVODE 2, BUZET                                                       </t>
  </si>
  <si>
    <t>opšav kosog krova  i zida</t>
  </si>
  <si>
    <t>opšav zida i RK</t>
  </si>
  <si>
    <t>horizontalne uvale RŠ 80 cm</t>
  </si>
  <si>
    <t xml:space="preserve">NAPOMENA : Sav upotrebljeni materijal i finalni građevinski proizvodi moraju odgovarati postojećim tehničkim propisima i normama. Izvoditelj je dužan na zahtjev investitora i nadzornog inženjera predočiti uzorke i prospekte za pojedine matrijale koji se planiraju upotrijebiti, kao i predočiti njihove ateste. Krovište mora biti pokriveno kvalitetnim matrijalom, pravilnog oblika, traženih dimenzija,koji u potpunosti zadovoljava važeće propise i standarde i ne smije propuštati vodu. Pokrivanje se vrši po propisima i pravilima zanata. Pokrivene plohe moraju biti ravne, bez uvala koje bi omogućavale skupljanje i zadržavanje vode. Prije početka pokrivanja krova sva limarija krova mora biti gotova i postavljena. Jedinična cijena obuhvaća sav rad, materijal, transport do gradilišta i sav horizontalan i vertikalan transport na gradilištu, te sav sitni spojni i pomoćni materijal.Sve radove treba izvest stručno i solidno, prema tehničkim propisima i pravilima dobrog zanata.           </t>
  </si>
  <si>
    <r>
      <t xml:space="preserve">Sav upotrebljeni materijal i finalni građevinski proizvodi moraju odgovarati postojećim tehničkim propisima i HR normama ili jednakovrijedno _____________________________________________________. Prilikom izvedbe tesarskih radova treba se u svemu pridržavati svih važećih propisa i standarda za drvene konstrukcije.                                                                                                      </t>
    </r>
    <r>
      <rPr>
        <b/>
        <i/>
        <sz val="8"/>
        <rFont val="Arial"/>
        <family val="2"/>
        <charset val="238"/>
      </rPr>
      <t xml:space="preserve">NAPOMENA : Sve mjere uzeti na licu mjesta.                  Izvođač je dužan osigurati dizalicu ili platformu za podizanje materijala. </t>
    </r>
  </si>
  <si>
    <t>Dobava i doprema materijala te izvedba oplate od dasaka debljine 24 mm za postavu drvenog roštilja. Daščana oplata se postavlja na drvenu krovnu konstrukciju (grede). Građa mora biti propisane suhoće i impregnirana fungicidnim premazom što je obračunato u zasebnoj stavci.</t>
  </si>
  <si>
    <t>5.3.</t>
  </si>
  <si>
    <t xml:space="preserve">Dobava, doprema materijala i izrada drvenog roštilja za postavu pokrova od crijepa. Roštilj se sastoji od poprečnih štafli 8x5 cm postavljenih okomito na sljeme na osnom razmaku od cca 60-70 cm i kontra uzdužnih letvi 3x5 cm postavljenih na razmaku od cca 34 cm ovisno o vrsti pokrova na koje se pričvršćuje sam pokrov. Dodatna poprečna letva 3x5 cm postavlja se na svakih 21 cm osnog razmaka. Građa mora biti propisane suhoće i impregnirana fungicidnim premazom što je obračunato u zasebnoj stavci. U jediničnu cijenu uračunata je tekućina/brtvilo za brtvljenje provrta vijka kroz paropropusnu foliju. Obratiti pažnju da se zadnji red kanalica u sljemenu mora završiti cijelom gornjom kanalicom tako da je razmak između zadnjih uzdužnih letvi fiksna i iznosi 23 cm te je potrebno uz uzdužnu letvu koja je uz samo sljeme dodati još jednu dim 1x5 cm. Dok udaljenost između uzdužne letve na strehi 3x5 cm (uračunata u ovoj stavci) i prve uzdužne letve (dodati jos jednu dim. 1x5 cm) ovisi o dužini prebačaja kanalice, što znači :                                                    - dužina prebačaja od 6 cm = 34 cm udaljenosti među uzdužnim letvama                                                                                                     - dužina prebačaja od 7 cm = 33 cm udaljenosti među uzdužnim letvama                                                                                                     - dužina prebačaja od 8 cm = 32 cm udaljenosti među uzdužnim letvama                                                                                                     - dužina prebačaja od 9 cm = 31 cm udaljenosti među uzdužnim letvama                                                                                                   - dužina prebačaja od 10 cm = 30 cm udaljenosti među uzdužnim letvama    </t>
  </si>
  <si>
    <t>U jediničnoj cijeni uključeno prethodno brušenje drva. Obračun po m² površine krova.</t>
  </si>
  <si>
    <t>5.4.</t>
  </si>
  <si>
    <t xml:space="preserve">Nabava, doprema i ugradnja vjetrovne lajsne izrađene od cementne ploče debljine 12,5 mm za vanjsku uporabu na krajnje nosive grede. </t>
  </si>
  <si>
    <t>Obračun po m2 postavljene završne lajsne.</t>
  </si>
  <si>
    <t>5.5.</t>
  </si>
  <si>
    <t>Ličenje vidljivih dijelova krovne konstrukcije lazurnom temeljnom bojom 2x te jednim slojem laka u odabiru boje po odabiru Investitora. Prije ličenja drvenih površina izvršiti premaz slojem impregnacije.</t>
  </si>
  <si>
    <t>Obračun po m2 oličene površine.</t>
  </si>
  <si>
    <t>5.6.</t>
  </si>
  <si>
    <t>Dobava, doprema i pokrivanje krova glinenim crijepom-kanalicom sa rupom za pričvršćivanje s vijcima neposredno na letve. Konkavno položene donje kanalice moraju imati rupu za pričvršćenje na širem dijelu, dok konveksno položene gornje kanalice moraju imati rupu za pričvršćenje na užem dijelu. U cijenu je uračunata i postava kanalice za prozračivanje (utrošak 0,2 kom/m2 ovisno o proizvođaču). Obračun po m2.</t>
  </si>
  <si>
    <t>5.7.</t>
  </si>
  <si>
    <t>Ugradnja elemenata okapnice u što je uključeno:</t>
  </si>
  <si>
    <t>a) rešetka za okapnicu u metalnoj izvedbi zbog dodatnog učvršćenja crijepova na okapnici</t>
  </si>
  <si>
    <t>b) mrežica za ventilaciju koja priječi pristup kukcima između prve letve okapnice i oplate</t>
  </si>
  <si>
    <t>5.8.</t>
  </si>
  <si>
    <t>Pokrivanje sljemena krovišta sljemenjakom. U jediničnu cijenu je uračunato postavljanje nosača letve sljemena/grebena, kuke za pričvršćivanje kao i postava sljemenske odnosno grebene trake za ventilaciju te "zeta" vijci za pričvršćivanje početnog, razdjelnog i spojnog sljemenjaka na letvu odnosno greben. Također je potrebno obratiti pažnju da se na području sljemena ugrade sljemeni jezici koji se pričvršćuju kukom za pričvršćivanje na sljemenu letvu, a na području grebena postaviti grebeni jezik i to na način da ga položimo u udubinu uz greben te ga s vrha učvrstimo i pričvrstimo za grebenu letvu.</t>
  </si>
  <si>
    <t>5.9.</t>
  </si>
  <si>
    <t xml:space="preserve">Pričvršćivanje crijepa </t>
  </si>
  <si>
    <t>a) vijci za pričvršćivanje donjih konkavno položenih kanalica i gornjih kanalica (prvi donji crijep pričvrstiti vijkom)</t>
  </si>
  <si>
    <t>b) kuke za vješanje prvih redova gornjih kanalica, kuka mora nalijegati da dasku</t>
  </si>
  <si>
    <t>UKUPNO  -  5. TESARSKI I KROVOPOKRIVAČKI RADOVI:</t>
  </si>
  <si>
    <t>Dobava, materijala, rezanje, krojenje i postava krovnih nosivih "duo" greda dim. 14/18 cm za pričvršćenje poprečnih letvi. Grede se postavljaju na osnom razmaku cca 60 cm, duljina grede ovisi o pojedinom krovu, potrebno je utvrditi na licu mjesta. Građa mora biti propisane suhoće  i impregnirana fungicidnim premazom što je obračunato u zasebnoj stavci.</t>
  </si>
  <si>
    <t>6. LIMARSKI RADOVI</t>
  </si>
  <si>
    <t>UKUPNO  -  6. LIMARSKI RADOVI:</t>
  </si>
  <si>
    <t>UKUPNO  -  7. PVC STOLARIJA  :</t>
  </si>
  <si>
    <t>UKUPNO  -  8. ALUMINIJSKA BRAVARIJA - VRATA :</t>
  </si>
  <si>
    <t>9.    OSTALI RADOVI</t>
  </si>
  <si>
    <t>9.1.</t>
  </si>
  <si>
    <t>9.2.</t>
  </si>
  <si>
    <t>9.3.</t>
  </si>
  <si>
    <t>9.4.</t>
  </si>
  <si>
    <t>9.5.</t>
  </si>
  <si>
    <t>UKUPNO  -  9.  OSTALI RADOVI:</t>
  </si>
  <si>
    <t>TESARSKO KROVOPOKRIVAČKI RADOVI</t>
  </si>
  <si>
    <t>Pažljiva demontaža postojećeg pokrova kosog krova. Demontirani materijal odvesti na za to predviđenu deponiju. Troškove deponije snosi izvođač radova. Obračun po m2.</t>
  </si>
  <si>
    <t>2.8.</t>
  </si>
  <si>
    <t>Pažljiva dmeontaža postojećih sljemenjaka/grebena kosog krova položenih u mort. Demontirani materijal odvesti na za to predviđenu deponiju. Troškove deponije snosi izvođač radova. Obračun po m1.</t>
  </si>
  <si>
    <t>2.9.</t>
  </si>
  <si>
    <t xml:space="preserve">Pažljiva demontaža postojeće drvene građe (letve i kontra letve, daske, sekundarnog pokrova) kosog krova. Demontirani materijal odvesti na za to predviđenu deponiju. Izvođač snosi sve troškove deponije. Obračun po m2.              </t>
  </si>
  <si>
    <t>2.10.</t>
  </si>
  <si>
    <t>Pažljiva demontaža postojeće krovne hidroizolacije (ljepenka) kosog krova. Deponirani materijal odvesti na za to predviđenu deponiju. Izvođač snosi troškove deponije. Obračun po m2 deponiranog materijala.</t>
  </si>
  <si>
    <t>2.12.</t>
  </si>
  <si>
    <t>2.13.</t>
  </si>
  <si>
    <t>dim.120x120 cm</t>
  </si>
  <si>
    <t>dim. 140x120 cm</t>
  </si>
  <si>
    <t>dim.74x215+141x137 cm</t>
  </si>
  <si>
    <t>dim.78x75 cm</t>
  </si>
  <si>
    <t>dim.138x215 cm</t>
  </si>
  <si>
    <t>dim. 176x220 cm</t>
  </si>
  <si>
    <t>dim. 78x70 cm</t>
  </si>
  <si>
    <t>dim. 140x70 cm</t>
  </si>
  <si>
    <t>dim. 120x120 cm</t>
  </si>
  <si>
    <t>dim.220x70 cm</t>
  </si>
  <si>
    <t>7.6.</t>
  </si>
  <si>
    <t>7.7.</t>
  </si>
  <si>
    <t>7.8.</t>
  </si>
  <si>
    <t>7.9.</t>
  </si>
  <si>
    <t>dim. 220x70 cm</t>
  </si>
  <si>
    <t>Strojno probijanje otvora u vanjskim zidovima fi 22 radi postave zidne mehaničke vetilacije u stanovima. Pažljivo izvesti proboje bez oštećenja unutarnjih stambenih površina. Pripremni i zaštitni radovi u cijeni.</t>
  </si>
  <si>
    <t>Izrada napajanja rekuperatorskih jedinica.</t>
  </si>
  <si>
    <t>ZDRAVIJI UNUTARNJI KLIMATSKI UVJETI</t>
  </si>
  <si>
    <t>10. ZDRAVIJI UNUTARNJI KLIMATSKI UVJETI</t>
  </si>
  <si>
    <t>10.1.</t>
  </si>
  <si>
    <t>10.2.</t>
  </si>
  <si>
    <t>10.3.</t>
  </si>
  <si>
    <t>UKUPNO  -  10.  ZDRAVIJI UNUTARNJI KLIMATSKI UVJETI:</t>
  </si>
  <si>
    <t>Jedinična cijena (€)</t>
  </si>
  <si>
    <t>Ukupan iznos (€)</t>
  </si>
  <si>
    <t>Dobava i izvedba toplinske izolacije postojećeg objekta, pločama kamene vune namijenjene za ETICS fasadu, debljine 12 cm.                                                                                                Stavka uključuje:                                                                                     - nanošenje impregnacijskog sloja,                                                        - nanošenje mase za ljepljenje u debljini min 2 mm,                                 - postavu izolacijske ploče d=12 cm, (λ=0,035W/m²K)                                                        - učvršćenje plastičnim pričvrsnicama sa širokim glavama na podlogu,                                                                                                 - nanošenje  morta za armiranje,                                                             - armiranje tkaninom od staklenih vlakana sa preklopima od min 10 cm (utiskivanje vršiti zajedno sa postavom drugog sloja morta za armiranje),                                                                                              - postavu kutnih profila na istaknutim bridovima,                                   - postava okapnih profila,                                                                      - drugi sloj morta za armiranje nakon sušenja od 24 h ,                        - treći sloj morta - izravnavajući i vezivni sloj                                        - nanošenje silikonskog završnog premaza, granulacije 2 mm, u tonu po izboru Investitora.                                                                            U cijeni komplet materijal i rad. Za sve slojeve potrebno je primjeniti jedinstven fasadni sustav, za koji će izvoditelj osigurati atestnu dokumentaciju. Obračun po m2.</t>
  </si>
  <si>
    <t>€</t>
  </si>
  <si>
    <t>11.    NABAVA I MONTAŽA STALKA ZA BICIKLE</t>
  </si>
  <si>
    <t>11.1.</t>
  </si>
  <si>
    <t>Nabava i montaža stalka za bicikle.U jediničnu cijenu je uračunat potreban rad i materijal montaže stakla za bicikle. Obračun po komadu montiranog stalka.</t>
  </si>
  <si>
    <t>UKUPNO  -  11.  NABAVA I MONTAŽA STALKA ZA BICIKLE:</t>
  </si>
  <si>
    <t>NABAVA I MONTAŽA STALKA ZA BICIKLE</t>
  </si>
  <si>
    <r>
      <t>Dobava materijala i postava toplinske izolacije ravnih krovova od tvrdih ploča kamene vune za ravne krovove debljine 18 cm,</t>
    </r>
    <r>
      <rPr>
        <i/>
        <sz val="8"/>
        <rFont val="Arial"/>
        <family val="2"/>
        <charset val="238"/>
      </rPr>
      <t xml:space="preserve"> </t>
    </r>
    <r>
      <rPr>
        <sz val="8"/>
        <rFont val="Arial"/>
        <family val="2"/>
        <charset val="238"/>
      </rPr>
      <t>gustoće 140 kg/m3,  koeficijenta toplinske provodljivosti λ=0,037 W/mK. Ploče kamene vune moraju zadovoljavati uvjete norme HRN EN 13162.                                Razred reakcije na požar prema HRN EN 13501-1: A1</t>
    </r>
    <r>
      <rPr>
        <i/>
        <sz val="8"/>
        <rFont val="Arial"/>
        <family val="2"/>
        <charset val="238"/>
      </rPr>
      <t xml:space="preserve">                                                      ili jednakovrijedan _____________________________________________________</t>
    </r>
    <r>
      <rPr>
        <sz val="8"/>
        <rFont val="Arial"/>
        <family val="2"/>
        <charset val="238"/>
      </rPr>
      <t xml:space="preserve"> Termoizolacija se postavlja na postojeću podnu oblogu. Ispod mineralne kamene vune postavlja se aluminizirana polietilenska folija u jezgri ojačana tkaninom visokootpornom na kidanje</t>
    </r>
    <r>
      <rPr>
        <i/>
        <sz val="8"/>
        <rFont val="Arial"/>
        <family val="2"/>
        <charset val="238"/>
      </rPr>
      <t xml:space="preserve"> </t>
    </r>
    <r>
      <rPr>
        <sz val="8"/>
        <rFont val="Arial"/>
        <family val="2"/>
        <charset val="238"/>
      </rPr>
      <t xml:space="preserve">debljine 0,20 mm, gustoća 90 g/m2. Folija mora zadovoljiti uvjete norme HRN EN 13984.  Relativni otpor difuziji vodene pare ;Sd 70 m prema HRN EN 1931.  Razred reakcije na požar prema HRN EN 13501: F                                                            </t>
    </r>
    <r>
      <rPr>
        <i/>
        <sz val="8"/>
        <rFont val="Arial"/>
        <family val="2"/>
        <charset val="238"/>
      </rPr>
      <t xml:space="preserve">ili jednakovrijedan </t>
    </r>
    <r>
      <rPr>
        <sz val="8"/>
        <rFont val="Arial"/>
        <family val="2"/>
        <charset val="238"/>
      </rPr>
      <t>_____________________________________________________                  U stavku je uključen sav potreban rad i materijal.</t>
    </r>
    <r>
      <rPr>
        <i/>
        <sz val="8"/>
        <rFont val="Arial"/>
        <family val="2"/>
        <charset val="238"/>
      </rPr>
      <t xml:space="preserve"> </t>
    </r>
  </si>
  <si>
    <r>
      <t xml:space="preserve">Demontaža Ii montaža postojećih vanjskih klima uređaja bez obzira na veličinu vanjskog uređaja. U stavku je uračunato i skladištenje vanjskih jedinica tokom izvedbe, zaštita cijevi tokom izvedbe te sav potreban novi materijal (instalacijski vodovi, produženi nosači klima uređaja, i sl.) za njihovu postavu. Stručno uklanjanje vanjske klima jedinica, deponiranje prema nalogu investitora. Zbrinjavanje rashladnog medija. Izvođač osigurava mjesto i način čuvanja do preuzimanja od strane investitora.Obračun po komadu uklonjenog, deponiranog i ponovno ugrađenog vanjskog klima uređaja. </t>
    </r>
    <r>
      <rPr>
        <sz val="8"/>
        <color rgb="FFFF0000"/>
        <rFont val="Arial"/>
        <family val="2"/>
        <charset val="238"/>
      </rPr>
      <t xml:space="preserve">U cijeni nadogradnja instalacijskih cijevi do 5 m'. Iznad toga svaki 1m' se doplaćuje 35 €/m' </t>
    </r>
  </si>
  <si>
    <r>
      <t xml:space="preserve">Pažljiva demontaža postojećih prozora i ulaznih vrata. U cijeni sav potreban rad s odvozom na gradski deponij. Obračun po kom. - </t>
    </r>
    <r>
      <rPr>
        <sz val="8"/>
        <color rgb="FFFF0000"/>
        <rFont val="Arial"/>
        <family val="2"/>
        <charset val="238"/>
      </rPr>
      <t>NE NUDIMO, NARUČITELJ PREUZIMA STOLARSKE RADOVE</t>
    </r>
  </si>
  <si>
    <r>
      <t xml:space="preserve">5. TESARSKI I KROVOPOKRIVAČKI RADOVI </t>
    </r>
    <r>
      <rPr>
        <b/>
        <sz val="11"/>
        <color rgb="FFFF0000"/>
        <rFont val="Arial"/>
        <family val="2"/>
        <charset val="238"/>
      </rPr>
      <t>NE NUDIMO</t>
    </r>
  </si>
  <si>
    <r>
      <t xml:space="preserve">7. PVC STOLARIJA - </t>
    </r>
    <r>
      <rPr>
        <b/>
        <sz val="11"/>
        <color rgb="FFFF0000"/>
        <rFont val="Arial"/>
        <family val="2"/>
        <charset val="238"/>
      </rPr>
      <t>NE NUDIMO</t>
    </r>
  </si>
  <si>
    <r>
      <t>8. ALUMINIJSKA BRAVARIJA - VRATA -</t>
    </r>
    <r>
      <rPr>
        <b/>
        <sz val="11"/>
        <color rgb="FFFF0000"/>
        <rFont val="Arial"/>
        <family val="2"/>
        <charset val="238"/>
      </rPr>
      <t xml:space="preserve"> NE NUDIMO</t>
    </r>
  </si>
  <si>
    <r>
      <t>Dobava i montaža lokalnih zidnih rekuperatora zraka. Količina izmjerenog zraka pri rekuperaciji:                                                            - odvod : min. 100 m3                                                                                     - odvod: min. 80 m3                                                                                               - noćni režim - min 25 m3                                                                                      - učinkovitost vraćanja topline% - min 80 %                                                             - senzor vlage                                                                                                       - senzor kvalitete zraka u prostoriji                                                                         - senzor atmosferskog tlaka                                                                                         - mogućnost bežičnog upravljanja</t>
    </r>
    <r>
      <rPr>
        <sz val="8"/>
        <color rgb="FFFF0000"/>
        <rFont val="Arial"/>
        <family val="2"/>
        <charset val="238"/>
      </rPr>
      <t xml:space="preserve"> NUDIMO TERMA  FT-W5-150-50. Opcija Prana Pro je 1950,00 eur/kom</t>
    </r>
  </si>
  <si>
    <r>
      <t>Pažljivo čišćenje ograde od postojeće boje.Farbanje temeljnom bojom te nanošenje dva sloja boje prema izboru investitora. U cijenu uključen sav rad i materijal. Napomena : U  cijenu je uključeno i prekrajanje ograde ukoliko je potrebno (</t>
    </r>
    <r>
      <rPr>
        <sz val="8"/>
        <color rgb="FFFF0000"/>
        <rFont val="Arial"/>
        <family val="2"/>
        <charset val="238"/>
      </rPr>
      <t>cijena 85€/kom</t>
    </r>
    <r>
      <rPr>
        <sz val="8"/>
        <rFont val="Arial"/>
        <family val="2"/>
        <charset val="238"/>
      </rPr>
      <t xml:space="preserve">). </t>
    </r>
  </si>
  <si>
    <r>
      <t xml:space="preserve">Dobava materijala i ugradba vanjskih prozorskih klupčica širine do 50cm, debljine 3 cm . Svi rubovi obrađeni, gornja površina polirana i zaštićena. Obavezno postaviti brtvenu ekspandirajuću traku s folijskim ljepilom s unutarnje strane prije postave same klupice. U cijenu uključen sav rad i materijal na postavljanju klupčica, na fleksibilno ljepilo ili cementni mort. Klupčice montirati na način da se rubovi podvuku min 2 cm ispod izolacije špaleta, obavezno uključiti silikoniranje spojeva klupčica i prozora. Obavezna kontrola mjera na objektu. NAPOMENA : Klupčice montirati na način da spojevi budu na pravilnim rasterima. </t>
    </r>
    <r>
      <rPr>
        <sz val="8"/>
        <color rgb="FFFF0000"/>
        <rFont val="Arial"/>
        <family val="2"/>
        <charset val="238"/>
      </rPr>
      <t xml:space="preserve">Nudimo brački sivac </t>
    </r>
  </si>
  <si>
    <r>
      <t xml:space="preserve">Dobava materijala i ugradba unutarnjih prozorskih klupčica širine do 40cm, debljine 3 cm . Svi rubovi obrađeni, gornja površina polirana i zaštićena. Obavezno postaviti brtvenu ekspandirajuću traku s folijskim ljepilom s unutarnje strane prije postave same klupice. U cijenu uključen sav rad i materijal na postavljanju klupčica, na fleksibilno ljepilo ili cementni mort. Obavezna kontrola mjera na objektu. NAPOMENA : Klupčice montirati na način da spojevi budu na pravilnim rasterima.  </t>
    </r>
    <r>
      <rPr>
        <sz val="8"/>
        <color rgb="FFFF0000"/>
        <rFont val="Arial"/>
        <family val="2"/>
        <charset val="238"/>
      </rPr>
      <t xml:space="preserve">Nudimo brački sivac </t>
    </r>
  </si>
  <si>
    <r>
      <t xml:space="preserve">Dobava materijala i ugradnja vanjskih kamenih pragova na mjestima ulaznih vrata i balkonskih stijena širine do 40 cm, minimalne debljine 3 cm. Svi rubovi obrađeni, gornja površina polirana i zaštićena. Obavezno postaviti brtvenu ekspandirajuću traku s folijskim ljepilom s unutarnje strane prije postave samog praga. U cijenu uključen sav rad i materijal na postavljeni prag, na fleksibilno ljepilo ili cementni mort. Obavezna kontrola mjera na objektu.  </t>
    </r>
    <r>
      <rPr>
        <sz val="8"/>
        <color rgb="FFFF0000"/>
        <rFont val="Arial"/>
        <family val="2"/>
        <charset val="238"/>
      </rPr>
      <t xml:space="preserve">Nudimo brački sivac </t>
    </r>
  </si>
  <si>
    <t>Izmještanje postojećih elektroinstalacija na objektu.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</si>
</sst>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x14ac:knownFonts="1">
    <font>
      <sz val="10"/>
      <color rgb="FF000000"/>
      <name val="Times New Roman"/>
      <family val="1"/>
      <charset val="238"/>
    </font>
    <font>
      <sz val="10"/>
      <name val="Arial"/>
      <family val="2"/>
      <charset val="238"/>
    </font>
    <font>
      <b/>
      <sz val="10"/>
      <name val="Arial"/>
      <family val="2"/>
      <charset val="238"/>
    </font>
    <font>
      <b/>
      <sz val="11"/>
      <name val="Arial"/>
      <family val="2"/>
      <charset val="238"/>
    </font>
    <font>
      <b/>
      <sz val="8"/>
      <name val="Arial"/>
      <family val="2"/>
      <charset val="238"/>
    </font>
    <font>
      <sz val="8"/>
      <name val="Arial"/>
      <family val="2"/>
      <charset val="238"/>
    </font>
    <font>
      <sz val="5"/>
      <name val="Arial"/>
      <family val="2"/>
      <charset val="238"/>
    </font>
    <font>
      <sz val="6"/>
      <name val="Arial"/>
      <family val="2"/>
      <charset val="238"/>
    </font>
    <font>
      <b/>
      <sz val="9"/>
      <name val="Arial"/>
      <family val="2"/>
      <charset val="238"/>
    </font>
    <font>
      <sz val="9"/>
      <name val="Arial"/>
      <family val="2"/>
      <charset val="238"/>
    </font>
    <font>
      <i/>
      <sz val="8"/>
      <name val="Arial"/>
      <family val="2"/>
      <charset val="238"/>
    </font>
    <font>
      <b/>
      <i/>
      <sz val="8"/>
      <name val="Arial"/>
      <family val="2"/>
      <charset val="238"/>
    </font>
    <font>
      <sz val="8"/>
      <name val="Arial"/>
      <family val="2"/>
    </font>
    <font>
      <i/>
      <sz val="8"/>
      <color indexed="8"/>
      <name val="Arial"/>
      <family val="2"/>
      <charset val="238"/>
    </font>
    <font>
      <sz val="10"/>
      <color rgb="FF000000"/>
      <name val="Times New Roman"/>
      <family val="1"/>
      <charset val="238"/>
    </font>
    <font>
      <sz val="10"/>
      <color rgb="FF000000"/>
      <name val="Arial"/>
      <family val="2"/>
      <charset val="238"/>
    </font>
    <font>
      <sz val="8"/>
      <color rgb="FF000000"/>
      <name val="Arial"/>
      <family val="2"/>
      <charset val="238"/>
    </font>
    <font>
      <sz val="8"/>
      <color rgb="FF000000"/>
      <name val="Times New Roman"/>
      <family val="1"/>
      <charset val="238"/>
    </font>
    <font>
      <i/>
      <sz val="8"/>
      <color rgb="FF000000"/>
      <name val="Arial"/>
      <family val="2"/>
      <charset val="238"/>
    </font>
    <font>
      <b/>
      <sz val="10"/>
      <color rgb="FF000000"/>
      <name val="Arial"/>
      <family val="2"/>
      <charset val="238"/>
    </font>
    <font>
      <sz val="9"/>
      <color rgb="FF000000"/>
      <name val="Arial"/>
      <family val="2"/>
      <charset val="238"/>
    </font>
    <font>
      <b/>
      <sz val="9"/>
      <color rgb="FF000000"/>
      <name val="Arial"/>
      <family val="2"/>
      <charset val="238"/>
    </font>
    <font>
      <b/>
      <sz val="12"/>
      <name val="Arial"/>
      <family val="2"/>
      <charset val="238"/>
    </font>
    <font>
      <sz val="10"/>
      <name val="Calibri"/>
      <family val="2"/>
      <charset val="238"/>
    </font>
    <font>
      <b/>
      <i/>
      <vertAlign val="superscript"/>
      <sz val="8"/>
      <name val="Arial"/>
      <family val="2"/>
      <charset val="238"/>
    </font>
    <font>
      <sz val="10"/>
      <name val="Calibri"/>
      <family val="2"/>
      <charset val="238"/>
      <scheme val="minor"/>
    </font>
    <font>
      <b/>
      <i/>
      <sz val="8"/>
      <color indexed="8"/>
      <name val="Arial"/>
      <family val="2"/>
      <charset val="238"/>
    </font>
    <font>
      <b/>
      <sz val="11"/>
      <color rgb="FF000000"/>
      <name val="Times New Roman"/>
      <family val="1"/>
      <charset val="238"/>
    </font>
    <font>
      <sz val="8"/>
      <color indexed="8"/>
      <name val="Times New Roman"/>
      <family val="1"/>
      <charset val="238"/>
    </font>
    <font>
      <b/>
      <sz val="10"/>
      <color rgb="FFFF0000"/>
      <name val="Times New Roman"/>
      <family val="1"/>
      <charset val="238"/>
    </font>
    <font>
      <sz val="8"/>
      <name val="Times New Roman"/>
      <family val="1"/>
      <charset val="238"/>
    </font>
    <font>
      <sz val="8"/>
      <name val="Calibri"/>
      <family val="2"/>
      <charset val="238"/>
    </font>
    <font>
      <sz val="8"/>
      <color indexed="8"/>
      <name val="Arial"/>
      <family val="2"/>
      <charset val="238"/>
    </font>
    <font>
      <sz val="8"/>
      <color rgb="FFFF0000"/>
      <name val="Arial"/>
      <family val="2"/>
      <charset val="238"/>
    </font>
    <font>
      <b/>
      <sz val="11"/>
      <color rgb="FFFF0000"/>
      <name val="Arial"/>
      <family val="2"/>
      <charset val="238"/>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s>
  <borders count="5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rgb="FF000000"/>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right style="thin">
        <color indexed="64"/>
      </right>
      <top style="thin">
        <color rgb="FF000000"/>
      </top>
      <bottom style="thin">
        <color rgb="FF000000"/>
      </bottom>
      <diagonal/>
    </border>
    <border>
      <left/>
      <right/>
      <top style="thin">
        <color indexed="64"/>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top style="thin">
        <color indexed="64"/>
      </top>
      <bottom/>
      <diagonal/>
    </border>
    <border>
      <left/>
      <right style="thin">
        <color rgb="FF000000"/>
      </right>
      <top style="thin">
        <color indexed="64"/>
      </top>
      <bottom/>
      <diagonal/>
    </border>
    <border>
      <left style="thin">
        <color rgb="FF000000"/>
      </left>
      <right/>
      <top/>
      <bottom style="thin">
        <color indexed="64"/>
      </bottom>
      <diagonal/>
    </border>
    <border>
      <left/>
      <right/>
      <top style="thin">
        <color rgb="FF000000"/>
      </top>
      <bottom/>
      <diagonal/>
    </border>
    <border>
      <left/>
      <right/>
      <top style="thin">
        <color rgb="FF000000"/>
      </top>
      <bottom style="thin">
        <color indexed="64"/>
      </bottom>
      <diagonal/>
    </border>
    <border>
      <left style="thin">
        <color indexed="64"/>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style="thin">
        <color indexed="64"/>
      </right>
      <top/>
      <bottom/>
      <diagonal/>
    </border>
    <border>
      <left/>
      <right style="thin">
        <color rgb="FF000000"/>
      </right>
      <top/>
      <bottom style="thin">
        <color indexed="64"/>
      </bottom>
      <diagonal/>
    </border>
    <border>
      <left style="thin">
        <color indexed="64"/>
      </left>
      <right/>
      <top style="thin">
        <color indexed="64"/>
      </top>
      <bottom style="thin">
        <color rgb="FF000000"/>
      </bottom>
      <diagonal/>
    </border>
    <border>
      <left style="thin">
        <color indexed="64"/>
      </left>
      <right style="thin">
        <color indexed="64"/>
      </right>
      <top/>
      <bottom style="thin">
        <color indexed="64"/>
      </bottom>
      <diagonal/>
    </border>
    <border>
      <left/>
      <right style="thin">
        <color indexed="64"/>
      </right>
      <top style="thin">
        <color rgb="FF000000"/>
      </top>
      <bottom style="thin">
        <color indexed="64"/>
      </bottom>
      <diagonal/>
    </border>
    <border>
      <left style="thin">
        <color indexed="64"/>
      </left>
      <right/>
      <top style="thin">
        <color rgb="FF000000"/>
      </top>
      <bottom style="thin">
        <color rgb="FF000000"/>
      </bottom>
      <diagonal/>
    </border>
    <border>
      <left/>
      <right/>
      <top style="thin">
        <color auto="1"/>
      </top>
      <bottom/>
      <diagonal/>
    </border>
    <border>
      <left/>
      <right/>
      <top style="thin">
        <color indexed="64"/>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64"/>
      </left>
      <right/>
      <top/>
      <bottom style="thin">
        <color rgb="FF000000"/>
      </bottom>
      <diagonal/>
    </border>
    <border>
      <left/>
      <right style="thin">
        <color indexed="64"/>
      </right>
      <top/>
      <bottom style="thin">
        <color rgb="FF000000"/>
      </bottom>
      <diagonal/>
    </border>
  </borders>
  <cellStyleXfs count="8">
    <xf numFmtId="0" fontId="0" fillId="0" borderId="0"/>
    <xf numFmtId="0" fontId="1" fillId="0" borderId="0"/>
    <xf numFmtId="0" fontId="14" fillId="0" borderId="0"/>
    <xf numFmtId="0" fontId="1" fillId="0" borderId="0"/>
    <xf numFmtId="0" fontId="1" fillId="0" borderId="0"/>
    <xf numFmtId="0" fontId="1" fillId="0" borderId="0"/>
    <xf numFmtId="0" fontId="15" fillId="0" borderId="0" applyNumberFormat="0" applyBorder="0" applyProtection="0">
      <alignment horizontal="justify" vertical="top" wrapText="1"/>
    </xf>
    <xf numFmtId="0" fontId="15" fillId="0" borderId="0" applyNumberFormat="0" applyBorder="0" applyProtection="0">
      <alignment horizontal="justify" vertical="top" wrapText="1"/>
    </xf>
  </cellStyleXfs>
  <cellXfs count="533">
    <xf numFmtId="0" fontId="0" fillId="0" borderId="0" xfId="0" applyAlignment="1">
      <alignment horizontal="left" vertical="top"/>
    </xf>
    <xf numFmtId="0" fontId="1" fillId="0" borderId="0" xfId="0" applyFont="1" applyAlignment="1">
      <alignment horizontal="left" vertical="top"/>
    </xf>
    <xf numFmtId="0" fontId="4" fillId="0" borderId="12" xfId="0" applyFont="1" applyBorder="1" applyAlignment="1">
      <alignment horizontal="left" vertical="top" wrapText="1"/>
    </xf>
    <xf numFmtId="0" fontId="5" fillId="2" borderId="13" xfId="0" applyFont="1" applyFill="1" applyBorder="1" applyAlignment="1">
      <alignment horizontal="center" vertical="center" wrapText="1"/>
    </xf>
    <xf numFmtId="0" fontId="16" fillId="0" borderId="0" xfId="0" applyFont="1" applyAlignment="1">
      <alignment horizontal="left" vertical="top"/>
    </xf>
    <xf numFmtId="0" fontId="17" fillId="0" borderId="0" xfId="0" applyFont="1" applyAlignment="1">
      <alignment horizontal="left" vertical="top"/>
    </xf>
    <xf numFmtId="0" fontId="5" fillId="2" borderId="14" xfId="0" applyFont="1" applyFill="1" applyBorder="1" applyAlignment="1">
      <alignment horizontal="center" vertical="center" wrapText="1"/>
    </xf>
    <xf numFmtId="0" fontId="2" fillId="0" borderId="0" xfId="0" applyFont="1" applyAlignment="1">
      <alignment vertical="top"/>
    </xf>
    <xf numFmtId="0" fontId="3" fillId="0" borderId="0" xfId="0" applyFont="1" applyAlignment="1">
      <alignment vertical="top"/>
    </xf>
    <xf numFmtId="4" fontId="15" fillId="0" borderId="0" xfId="0" applyNumberFormat="1" applyFont="1" applyAlignment="1">
      <alignment horizontal="center" vertical="top"/>
    </xf>
    <xf numFmtId="4" fontId="2" fillId="0" borderId="0" xfId="0" applyNumberFormat="1" applyFont="1" applyAlignment="1">
      <alignment horizontal="center" vertical="top"/>
    </xf>
    <xf numFmtId="0" fontId="15" fillId="0" borderId="0" xfId="0" applyFont="1" applyAlignment="1">
      <alignment horizontal="center" vertical="center"/>
    </xf>
    <xf numFmtId="0" fontId="2" fillId="0" borderId="0" xfId="0" applyFont="1" applyAlignment="1">
      <alignment horizontal="center" vertical="center"/>
    </xf>
    <xf numFmtId="0" fontId="5" fillId="2" borderId="15"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21" xfId="0" applyFont="1" applyFill="1" applyBorder="1" applyAlignment="1">
      <alignment horizontal="center" vertical="center" wrapText="1"/>
    </xf>
    <xf numFmtId="4" fontId="15" fillId="0" borderId="0" xfId="0" applyNumberFormat="1" applyFont="1" applyAlignment="1">
      <alignment horizontal="center" vertical="center"/>
    </xf>
    <xf numFmtId="4" fontId="15" fillId="2" borderId="20"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15" fillId="2" borderId="14" xfId="0" applyNumberFormat="1" applyFont="1" applyFill="1" applyBorder="1" applyAlignment="1">
      <alignment horizontal="center" vertical="center" wrapText="1"/>
    </xf>
    <xf numFmtId="4" fontId="16" fillId="2" borderId="14" xfId="0" applyNumberFormat="1" applyFont="1" applyFill="1" applyBorder="1" applyAlignment="1">
      <alignment horizontal="center" vertical="center" wrapText="1"/>
    </xf>
    <xf numFmtId="4" fontId="15" fillId="2" borderId="13" xfId="0" applyNumberFormat="1" applyFont="1" applyFill="1" applyBorder="1" applyAlignment="1">
      <alignment horizontal="center" vertical="center" wrapText="1"/>
    </xf>
    <xf numFmtId="0" fontId="10" fillId="3" borderId="4" xfId="0" applyFont="1" applyFill="1" applyBorder="1" applyAlignment="1">
      <alignment horizontal="left" vertical="center" wrapText="1"/>
    </xf>
    <xf numFmtId="0" fontId="10" fillId="3" borderId="14" xfId="0" applyFont="1" applyFill="1" applyBorder="1" applyAlignment="1">
      <alignment horizontal="left" vertical="center" wrapText="1"/>
    </xf>
    <xf numFmtId="4" fontId="16" fillId="0" borderId="21" xfId="0" applyNumberFormat="1" applyFont="1" applyBorder="1" applyAlignment="1">
      <alignment horizontal="center" vertical="center" wrapText="1"/>
    </xf>
    <xf numFmtId="4" fontId="16" fillId="0" borderId="13" xfId="0" applyNumberFormat="1" applyFont="1" applyBorder="1" applyAlignment="1">
      <alignment horizontal="center" vertical="center" wrapText="1"/>
    </xf>
    <xf numFmtId="0" fontId="5" fillId="0" borderId="4" xfId="0" applyFont="1" applyBorder="1" applyAlignment="1">
      <alignment horizontal="left" vertical="center" wrapText="1"/>
    </xf>
    <xf numFmtId="4" fontId="16" fillId="0" borderId="13" xfId="0" applyNumberFormat="1" applyFont="1" applyBorder="1" applyAlignment="1">
      <alignment horizontal="center" wrapText="1"/>
    </xf>
    <xf numFmtId="0" fontId="15" fillId="0" borderId="0" xfId="0" applyFont="1" applyAlignment="1">
      <alignment vertical="top"/>
    </xf>
    <xf numFmtId="0" fontId="15" fillId="0" borderId="0" xfId="0" applyFont="1" applyAlignment="1">
      <alignment horizontal="left" vertical="center"/>
    </xf>
    <xf numFmtId="0" fontId="5" fillId="0" borderId="13" xfId="0" applyFont="1" applyBorder="1" applyAlignment="1">
      <alignment horizontal="left" vertical="center" wrapText="1"/>
    </xf>
    <xf numFmtId="0" fontId="15" fillId="0" borderId="21" xfId="0" applyFont="1" applyBorder="1" applyAlignment="1">
      <alignment horizontal="left" vertical="center" wrapText="1"/>
    </xf>
    <xf numFmtId="0" fontId="2" fillId="0" borderId="0" xfId="0" applyFont="1" applyAlignment="1">
      <alignment vertical="center"/>
    </xf>
    <xf numFmtId="0" fontId="18" fillId="0" borderId="0" xfId="0" applyFont="1" applyAlignment="1">
      <alignment horizontal="left" vertical="center" wrapText="1"/>
    </xf>
    <xf numFmtId="0" fontId="15" fillId="0" borderId="13" xfId="0" applyFont="1" applyBorder="1" applyAlignment="1">
      <alignment horizontal="left" vertical="center" wrapText="1"/>
    </xf>
    <xf numFmtId="0" fontId="16" fillId="0" borderId="13" xfId="0" applyFont="1" applyBorder="1" applyAlignment="1">
      <alignment horizontal="left" vertical="center" wrapText="1"/>
    </xf>
    <xf numFmtId="0" fontId="15" fillId="0" borderId="0" xfId="0" applyFont="1" applyAlignment="1">
      <alignment vertical="center"/>
    </xf>
    <xf numFmtId="0" fontId="16" fillId="3" borderId="0" xfId="0" applyFont="1" applyFill="1" applyAlignment="1">
      <alignment vertical="center"/>
    </xf>
    <xf numFmtId="0" fontId="5" fillId="0" borderId="4" xfId="0" applyFont="1" applyBorder="1" applyAlignment="1">
      <alignment horizontal="left" vertical="top" wrapText="1"/>
    </xf>
    <xf numFmtId="0" fontId="15" fillId="0" borderId="0" xfId="0" applyFont="1" applyAlignment="1">
      <alignment horizontal="left" vertical="top"/>
    </xf>
    <xf numFmtId="0" fontId="18" fillId="0" borderId="4" xfId="0" applyFont="1" applyBorder="1" applyAlignment="1">
      <alignment horizontal="left" vertical="top" wrapText="1"/>
    </xf>
    <xf numFmtId="4" fontId="5" fillId="2" borderId="14" xfId="0" applyNumberFormat="1" applyFont="1" applyFill="1" applyBorder="1" applyAlignment="1">
      <alignment horizontal="center" vertical="center" wrapText="1"/>
    </xf>
    <xf numFmtId="0" fontId="10" fillId="0" borderId="4" xfId="0" applyFont="1" applyBorder="1" applyAlignment="1" applyProtection="1">
      <alignment vertical="top" wrapText="1"/>
      <protection locked="0"/>
    </xf>
    <xf numFmtId="4" fontId="5" fillId="2" borderId="21" xfId="0" applyNumberFormat="1" applyFont="1" applyFill="1" applyBorder="1" applyAlignment="1">
      <alignment horizontal="center" vertical="center" wrapText="1"/>
    </xf>
    <xf numFmtId="0" fontId="10" fillId="0" borderId="1" xfId="0" applyFont="1" applyBorder="1" applyAlignment="1" applyProtection="1">
      <alignment vertical="top" wrapText="1"/>
      <protection locked="0"/>
    </xf>
    <xf numFmtId="164" fontId="16" fillId="0" borderId="12" xfId="0" applyNumberFormat="1" applyFont="1" applyBorder="1" applyAlignment="1">
      <alignment horizontal="left" vertical="top" wrapText="1"/>
    </xf>
    <xf numFmtId="0" fontId="17" fillId="0" borderId="0" xfId="0" applyFont="1" applyAlignment="1">
      <alignment vertical="top"/>
    </xf>
    <xf numFmtId="0" fontId="5" fillId="0" borderId="4" xfId="0" applyFont="1" applyBorder="1" applyAlignment="1" applyProtection="1">
      <alignment vertical="top" wrapText="1"/>
      <protection locked="0"/>
    </xf>
    <xf numFmtId="0" fontId="10" fillId="0" borderId="4" xfId="0" applyFont="1" applyBorder="1" applyAlignment="1" applyProtection="1">
      <alignment vertical="center" wrapText="1"/>
      <protection locked="0"/>
    </xf>
    <xf numFmtId="0" fontId="27" fillId="0" borderId="0" xfId="0" applyFont="1" applyAlignment="1">
      <alignment vertical="center"/>
    </xf>
    <xf numFmtId="0" fontId="16" fillId="0" borderId="4" xfId="0" applyFont="1" applyBorder="1" applyAlignment="1">
      <alignment horizontal="left" vertical="center" wrapText="1"/>
    </xf>
    <xf numFmtId="0" fontId="5" fillId="0" borderId="4" xfId="0" applyFont="1" applyBorder="1" applyAlignment="1" applyProtection="1">
      <alignment horizontal="justify" vertical="center" wrapText="1"/>
      <protection locked="0"/>
    </xf>
    <xf numFmtId="0" fontId="16" fillId="0" borderId="43" xfId="0" applyFont="1" applyBorder="1" applyAlignment="1">
      <alignment horizontal="left" vertical="center" wrapText="1"/>
    </xf>
    <xf numFmtId="0" fontId="12" fillId="0" borderId="4" xfId="0" applyFont="1" applyBorder="1" applyAlignment="1">
      <alignment horizontal="left" vertical="top" wrapText="1"/>
    </xf>
    <xf numFmtId="0" fontId="5" fillId="0" borderId="22" xfId="0" applyFont="1" applyBorder="1" applyAlignment="1">
      <alignment horizontal="left" vertical="center" wrapText="1"/>
    </xf>
    <xf numFmtId="4" fontId="16" fillId="0" borderId="14" xfId="0" applyNumberFormat="1" applyFont="1" applyBorder="1" applyAlignment="1">
      <alignment horizontal="center" vertical="center" wrapText="1"/>
    </xf>
    <xf numFmtId="0" fontId="5" fillId="0" borderId="4" xfId="0" applyFont="1" applyBorder="1" applyAlignment="1">
      <alignment vertical="center" wrapText="1"/>
    </xf>
    <xf numFmtId="0" fontId="5" fillId="0" borderId="23" xfId="0" applyFont="1" applyBorder="1" applyAlignment="1">
      <alignment horizontal="left" vertical="center" wrapText="1"/>
    </xf>
    <xf numFmtId="0" fontId="10" fillId="3" borderId="1" xfId="0" applyFont="1" applyFill="1" applyBorder="1" applyAlignment="1">
      <alignment horizontal="left" vertical="center" wrapText="1"/>
    </xf>
    <xf numFmtId="0" fontId="18" fillId="0" borderId="1" xfId="0" applyFont="1" applyBorder="1" applyAlignment="1">
      <alignment horizontal="left" vertical="center" wrapText="1"/>
    </xf>
    <xf numFmtId="4" fontId="15" fillId="2" borderId="15" xfId="0" applyNumberFormat="1" applyFont="1" applyFill="1" applyBorder="1" applyAlignment="1">
      <alignment horizontal="center" vertical="center" wrapText="1"/>
    </xf>
    <xf numFmtId="0" fontId="0" fillId="0" borderId="0" xfId="0" applyAlignment="1">
      <alignment vertical="top"/>
    </xf>
    <xf numFmtId="0" fontId="16" fillId="0" borderId="22" xfId="0" applyFont="1" applyBorder="1" applyAlignment="1">
      <alignment horizontal="left" vertical="center" wrapText="1"/>
    </xf>
    <xf numFmtId="4" fontId="16" fillId="0" borderId="22" xfId="0" applyNumberFormat="1" applyFont="1" applyBorder="1" applyAlignment="1">
      <alignment horizontal="center" wrapText="1"/>
    </xf>
    <xf numFmtId="4" fontId="5" fillId="0" borderId="4" xfId="0" applyNumberFormat="1" applyFont="1" applyBorder="1" applyAlignment="1">
      <alignment horizontal="center" vertical="center"/>
    </xf>
    <xf numFmtId="4" fontId="15" fillId="0" borderId="22" xfId="0" applyNumberFormat="1" applyFont="1" applyBorder="1" applyAlignment="1">
      <alignment horizontal="center" vertical="center" wrapText="1"/>
    </xf>
    <xf numFmtId="0" fontId="1" fillId="0" borderId="0" xfId="0" applyFont="1" applyAlignment="1">
      <alignment horizontal="left" vertical="center"/>
    </xf>
    <xf numFmtId="0" fontId="5" fillId="0" borderId="38" xfId="0" applyFont="1" applyBorder="1" applyAlignment="1">
      <alignment horizontal="left" vertical="center" wrapText="1"/>
    </xf>
    <xf numFmtId="0" fontId="16" fillId="0" borderId="0" xfId="0" applyFont="1" applyAlignment="1">
      <alignment horizontal="left" vertical="center" wrapText="1"/>
    </xf>
    <xf numFmtId="4" fontId="16" fillId="0" borderId="16" xfId="0" applyNumberFormat="1" applyFont="1" applyBorder="1" applyAlignment="1">
      <alignment horizontal="center" vertical="center" wrapText="1"/>
    </xf>
    <xf numFmtId="0" fontId="16" fillId="0" borderId="21" xfId="0" applyFont="1" applyBorder="1" applyAlignment="1">
      <alignment horizontal="left" vertical="center" wrapText="1"/>
    </xf>
    <xf numFmtId="0" fontId="5" fillId="0" borderId="29" xfId="0" applyFont="1" applyBorder="1" applyAlignment="1">
      <alignment vertical="center" wrapText="1"/>
    </xf>
    <xf numFmtId="4" fontId="16" fillId="0" borderId="43" xfId="0" applyNumberFormat="1" applyFont="1" applyBorder="1" applyAlignment="1">
      <alignment horizontal="center" vertical="center" wrapText="1"/>
    </xf>
    <xf numFmtId="0" fontId="5" fillId="0" borderId="3" xfId="0" applyFont="1" applyBorder="1" applyAlignment="1">
      <alignment horizontal="left" vertical="center" wrapText="1"/>
    </xf>
    <xf numFmtId="0" fontId="5" fillId="0" borderId="10" xfId="0" applyFont="1" applyBorder="1" applyAlignment="1" applyProtection="1">
      <alignment horizontal="left" vertical="center" wrapText="1"/>
      <protection locked="0"/>
    </xf>
    <xf numFmtId="0" fontId="0" fillId="0" borderId="0" xfId="0" applyAlignment="1">
      <alignment horizontal="center" vertical="top" wrapText="1"/>
    </xf>
    <xf numFmtId="0" fontId="0" fillId="0" borderId="0" xfId="0" applyAlignment="1">
      <alignment vertical="center" wrapText="1"/>
    </xf>
    <xf numFmtId="0" fontId="0" fillId="0" borderId="0" xfId="0" applyAlignment="1">
      <alignment vertical="top" wrapText="1"/>
    </xf>
    <xf numFmtId="0" fontId="16" fillId="0" borderId="1" xfId="0" applyFont="1" applyBorder="1" applyAlignment="1">
      <alignment horizontal="left" vertical="center" wrapText="1"/>
    </xf>
    <xf numFmtId="0" fontId="16" fillId="0" borderId="25" xfId="0" applyFont="1" applyBorder="1" applyAlignment="1">
      <alignment horizontal="left" vertical="center" wrapText="1"/>
    </xf>
    <xf numFmtId="0" fontId="29" fillId="0" borderId="0" xfId="0" applyFont="1" applyAlignment="1">
      <alignment vertical="center" wrapText="1"/>
    </xf>
    <xf numFmtId="0" fontId="16" fillId="0" borderId="3" xfId="0" applyFont="1" applyBorder="1" applyAlignment="1">
      <alignment horizontal="left" vertical="center" wrapText="1"/>
    </xf>
    <xf numFmtId="0" fontId="5" fillId="0" borderId="53" xfId="0" applyFont="1" applyBorder="1" applyAlignment="1">
      <alignment horizontal="left" vertical="center" wrapText="1"/>
    </xf>
    <xf numFmtId="0" fontId="5" fillId="0" borderId="53" xfId="0" applyFont="1" applyBorder="1" applyAlignment="1">
      <alignment horizontal="left" vertical="top" wrapText="1"/>
    </xf>
    <xf numFmtId="0" fontId="5" fillId="0" borderId="53" xfId="0" applyFont="1" applyBorder="1" applyAlignment="1">
      <alignment horizontal="left" wrapText="1"/>
    </xf>
    <xf numFmtId="0" fontId="0" fillId="0" borderId="0" xfId="0" applyAlignment="1">
      <alignment horizontal="center" vertical="top"/>
    </xf>
    <xf numFmtId="0" fontId="5" fillId="0" borderId="53" xfId="0" applyFont="1" applyBorder="1" applyAlignment="1">
      <alignment horizontal="justify" vertical="center" wrapText="1"/>
    </xf>
    <xf numFmtId="0" fontId="5" fillId="0" borderId="53" xfId="0" applyFont="1" applyBorder="1" applyAlignment="1">
      <alignment vertical="center"/>
    </xf>
    <xf numFmtId="0" fontId="5" fillId="0" borderId="53" xfId="0" applyFont="1" applyBorder="1" applyAlignment="1">
      <alignment horizontal="left" vertical="center"/>
    </xf>
    <xf numFmtId="0" fontId="5" fillId="0" borderId="53" xfId="0" applyFont="1" applyBorder="1" applyAlignment="1">
      <alignment vertical="center" wrapText="1"/>
    </xf>
    <xf numFmtId="4" fontId="5" fillId="0" borderId="8" xfId="0" applyNumberFormat="1" applyFont="1" applyBorder="1" applyAlignment="1">
      <alignment horizontal="center" wrapText="1"/>
    </xf>
    <xf numFmtId="0" fontId="5" fillId="0" borderId="0" xfId="0" applyFont="1" applyAlignment="1">
      <alignment horizontal="left" vertical="center" wrapText="1"/>
    </xf>
    <xf numFmtId="0" fontId="5" fillId="0" borderId="2" xfId="0" applyFont="1" applyBorder="1" applyAlignment="1">
      <alignment horizontal="left" vertical="center" wrapText="1"/>
    </xf>
    <xf numFmtId="4" fontId="5" fillId="0" borderId="48" xfId="0" applyNumberFormat="1" applyFont="1" applyBorder="1" applyAlignment="1">
      <alignment horizontal="center" vertical="center" wrapText="1"/>
    </xf>
    <xf numFmtId="0" fontId="5" fillId="3" borderId="19" xfId="0" applyFont="1" applyFill="1" applyBorder="1" applyAlignment="1">
      <alignment vertical="center" wrapText="1"/>
    </xf>
    <xf numFmtId="4" fontId="16" fillId="2" borderId="15" xfId="0" applyNumberFormat="1" applyFont="1" applyFill="1" applyBorder="1" applyAlignment="1">
      <alignment horizontal="center" vertical="center" wrapText="1"/>
    </xf>
    <xf numFmtId="0" fontId="10" fillId="0" borderId="2" xfId="0" applyFont="1" applyBorder="1" applyAlignment="1">
      <alignment horizontal="left" vertical="top" wrapText="1"/>
    </xf>
    <xf numFmtId="0" fontId="10" fillId="0" borderId="4" xfId="0" applyFont="1" applyBorder="1" applyAlignment="1">
      <alignment horizontal="left" vertical="top" wrapText="1"/>
    </xf>
    <xf numFmtId="4" fontId="16" fillId="0" borderId="52" xfId="0" applyNumberFormat="1" applyFont="1" applyBorder="1" applyAlignment="1">
      <alignment horizontal="center" vertical="center" wrapText="1"/>
    </xf>
    <xf numFmtId="4" fontId="16" fillId="0" borderId="4" xfId="0" applyNumberFormat="1" applyFont="1" applyBorder="1" applyAlignment="1">
      <alignment horizontal="center" vertical="center" wrapText="1"/>
    </xf>
    <xf numFmtId="4" fontId="5" fillId="0" borderId="4" xfId="0" applyNumberFormat="1" applyFont="1" applyBorder="1" applyAlignment="1">
      <alignment horizontal="center" wrapText="1"/>
    </xf>
    <xf numFmtId="0" fontId="16" fillId="0" borderId="4" xfId="0" applyFont="1" applyBorder="1" applyAlignment="1">
      <alignment horizontal="left" vertical="center"/>
    </xf>
    <xf numFmtId="4" fontId="5" fillId="0" borderId="53" xfId="0" applyNumberFormat="1" applyFont="1" applyBorder="1" applyAlignment="1">
      <alignment horizontal="center" vertical="center" wrapText="1"/>
    </xf>
    <xf numFmtId="4" fontId="16" fillId="0" borderId="1" xfId="0" applyNumberFormat="1" applyFont="1" applyBorder="1" applyAlignment="1">
      <alignment horizontal="center" wrapText="1"/>
    </xf>
    <xf numFmtId="4" fontId="16" fillId="0" borderId="4" xfId="0" applyNumberFormat="1" applyFont="1" applyBorder="1" applyAlignment="1">
      <alignment horizontal="center" wrapText="1"/>
    </xf>
    <xf numFmtId="4" fontId="5" fillId="0" borderId="53" xfId="0" applyNumberFormat="1" applyFont="1" applyBorder="1" applyAlignment="1">
      <alignment horizontal="center" wrapText="1"/>
    </xf>
    <xf numFmtId="0" fontId="5" fillId="3" borderId="17"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4" fontId="16" fillId="0" borderId="23" xfId="0" applyNumberFormat="1" applyFont="1" applyBorder="1" applyAlignment="1">
      <alignment horizontal="center" wrapText="1"/>
    </xf>
    <xf numFmtId="4" fontId="16" fillId="0" borderId="27" xfId="0" applyNumberFormat="1" applyFont="1" applyBorder="1" applyAlignment="1">
      <alignment horizontal="center" wrapText="1"/>
    </xf>
    <xf numFmtId="0" fontId="1" fillId="0" borderId="0" xfId="0" applyFont="1" applyAlignment="1">
      <alignment horizontal="left" vertical="center" wrapText="1"/>
    </xf>
    <xf numFmtId="4" fontId="5" fillId="0" borderId="4" xfId="0" applyNumberFormat="1" applyFont="1" applyBorder="1" applyAlignment="1">
      <alignment horizontal="center" vertical="center" wrapText="1"/>
    </xf>
    <xf numFmtId="4" fontId="16" fillId="3" borderId="18" xfId="0" applyNumberFormat="1" applyFont="1" applyFill="1" applyBorder="1" applyAlignment="1">
      <alignment horizontal="center" wrapText="1"/>
    </xf>
    <xf numFmtId="0" fontId="5" fillId="0" borderId="8" xfId="0" applyFont="1" applyBorder="1" applyAlignment="1">
      <alignment horizontal="left" vertical="center" wrapText="1"/>
    </xf>
    <xf numFmtId="0" fontId="5" fillId="3" borderId="24" xfId="0" applyFont="1" applyFill="1" applyBorder="1" applyAlignment="1">
      <alignment horizontal="left" vertical="center" wrapText="1"/>
    </xf>
    <xf numFmtId="4" fontId="16" fillId="3" borderId="23" xfId="0" applyNumberFormat="1" applyFont="1" applyFill="1" applyBorder="1" applyAlignment="1">
      <alignment horizontal="center" vertical="center" wrapText="1"/>
    </xf>
    <xf numFmtId="164" fontId="16" fillId="0" borderId="32" xfId="0" applyNumberFormat="1" applyFont="1" applyBorder="1" applyAlignment="1">
      <alignment horizontal="left" vertical="top" wrapText="1"/>
    </xf>
    <xf numFmtId="0" fontId="8" fillId="0" borderId="0" xfId="0" applyFont="1" applyAlignment="1">
      <alignment horizontal="left" vertical="center" wrapText="1"/>
    </xf>
    <xf numFmtId="4" fontId="8" fillId="0" borderId="0" xfId="0" applyNumberFormat="1" applyFont="1" applyAlignment="1">
      <alignment horizontal="center" vertical="center" wrapText="1"/>
    </xf>
    <xf numFmtId="0" fontId="0" fillId="0" borderId="0" xfId="0" applyAlignment="1">
      <alignment horizontal="left" vertical="center"/>
    </xf>
    <xf numFmtId="0" fontId="5" fillId="2" borderId="22" xfId="0" applyFont="1" applyFill="1" applyBorder="1" applyAlignment="1">
      <alignment horizontal="center" vertical="center" wrapText="1"/>
    </xf>
    <xf numFmtId="4" fontId="15" fillId="2" borderId="22" xfId="0" applyNumberFormat="1" applyFont="1" applyFill="1" applyBorder="1" applyAlignment="1">
      <alignment horizontal="center" vertical="center" wrapText="1"/>
    </xf>
    <xf numFmtId="4" fontId="16" fillId="0" borderId="23" xfId="0" applyNumberFormat="1" applyFont="1" applyBorder="1" applyAlignment="1">
      <alignment horizontal="center" vertical="center" wrapText="1"/>
    </xf>
    <xf numFmtId="4" fontId="0" fillId="0" borderId="0" xfId="0" applyNumberFormat="1" applyAlignment="1">
      <alignment horizontal="left" vertical="top"/>
    </xf>
    <xf numFmtId="0" fontId="8" fillId="0" borderId="12" xfId="0" applyFont="1" applyBorder="1" applyAlignment="1">
      <alignment horizontal="left" vertical="center" wrapText="1"/>
    </xf>
    <xf numFmtId="0" fontId="8" fillId="0" borderId="26" xfId="0" applyFont="1" applyBorder="1" applyAlignment="1">
      <alignment horizontal="left" vertical="center" wrapText="1"/>
    </xf>
    <xf numFmtId="4" fontId="8" fillId="0" borderId="26" xfId="0" applyNumberFormat="1" applyFont="1" applyBorder="1" applyAlignment="1">
      <alignment horizontal="center" vertical="center" wrapText="1"/>
    </xf>
    <xf numFmtId="4" fontId="8" fillId="0" borderId="27" xfId="0" applyNumberFormat="1" applyFont="1" applyBorder="1" applyAlignment="1">
      <alignment horizontal="center" vertical="center" wrapText="1"/>
    </xf>
    <xf numFmtId="0" fontId="5" fillId="0" borderId="26" xfId="0" applyFont="1" applyBorder="1" applyAlignment="1">
      <alignment horizontal="left" vertical="top" wrapText="1"/>
    </xf>
    <xf numFmtId="0" fontId="5" fillId="0" borderId="26" xfId="0" applyFont="1" applyBorder="1" applyAlignment="1">
      <alignment horizontal="right" vertical="top" wrapText="1"/>
    </xf>
    <xf numFmtId="0" fontId="5" fillId="0" borderId="27" xfId="0" applyFont="1" applyBorder="1" applyAlignment="1">
      <alignment horizontal="right" vertical="top" wrapText="1"/>
    </xf>
    <xf numFmtId="4" fontId="20" fillId="0" borderId="12" xfId="0" applyNumberFormat="1" applyFont="1" applyBorder="1" applyAlignment="1">
      <alignment horizontal="center" vertical="top" wrapText="1"/>
    </xf>
    <xf numFmtId="4" fontId="20" fillId="0" borderId="27" xfId="0" applyNumberFormat="1" applyFont="1" applyBorder="1" applyAlignment="1">
      <alignment horizontal="center" vertical="top" wrapText="1"/>
    </xf>
    <xf numFmtId="0" fontId="3" fillId="0" borderId="26" xfId="0" applyFont="1" applyBorder="1" applyAlignment="1">
      <alignment horizontal="left" vertical="top"/>
    </xf>
    <xf numFmtId="0" fontId="20" fillId="0" borderId="26" xfId="0" applyFont="1" applyBorder="1" applyAlignment="1">
      <alignment horizontal="left" vertical="top" wrapText="1"/>
    </xf>
    <xf numFmtId="0" fontId="20" fillId="0" borderId="27" xfId="0" applyFont="1" applyBorder="1" applyAlignment="1">
      <alignment horizontal="left" vertical="top" wrapText="1"/>
    </xf>
    <xf numFmtId="0" fontId="16" fillId="0" borderId="26" xfId="0" applyFont="1" applyBorder="1" applyAlignment="1">
      <alignment horizontal="left" vertical="top" wrapText="1"/>
    </xf>
    <xf numFmtId="0" fontId="3" fillId="0" borderId="8" xfId="0" applyFont="1" applyBorder="1" applyAlignment="1">
      <alignment horizontal="left" vertical="center"/>
    </xf>
    <xf numFmtId="0" fontId="5" fillId="2" borderId="24"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34" xfId="0" applyFont="1" applyFill="1" applyBorder="1" applyAlignment="1">
      <alignment horizontal="center" vertical="center" wrapText="1"/>
    </xf>
    <xf numFmtId="4" fontId="5" fillId="2" borderId="24" xfId="0" applyNumberFormat="1" applyFont="1" applyFill="1" applyBorder="1" applyAlignment="1">
      <alignment horizontal="center" vertical="center" wrapText="1"/>
    </xf>
    <xf numFmtId="4" fontId="15" fillId="2" borderId="34" xfId="0" applyNumberFormat="1" applyFont="1" applyFill="1" applyBorder="1" applyAlignment="1">
      <alignment horizontal="center" vertical="center" wrapText="1"/>
    </xf>
    <xf numFmtId="4" fontId="15" fillId="2" borderId="23" xfId="0" applyNumberFormat="1" applyFont="1" applyFill="1" applyBorder="1" applyAlignment="1">
      <alignment horizontal="center" vertical="center" wrapText="1"/>
    </xf>
    <xf numFmtId="4" fontId="5" fillId="2" borderId="23" xfId="0" applyNumberFormat="1"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4" fontId="16" fillId="0" borderId="24" xfId="0" applyNumberFormat="1" applyFont="1" applyBorder="1" applyAlignment="1">
      <alignment horizontal="center" vertical="center" wrapText="1"/>
    </xf>
    <xf numFmtId="4" fontId="16" fillId="0" borderId="34" xfId="0" applyNumberFormat="1" applyFont="1" applyBorder="1" applyAlignment="1">
      <alignment horizontal="center" vertical="center" wrapText="1"/>
    </xf>
    <xf numFmtId="4" fontId="16" fillId="0" borderId="23" xfId="0" applyNumberFormat="1" applyFont="1" applyBorder="1" applyAlignment="1">
      <alignment horizontal="center" vertical="center" wrapText="1"/>
    </xf>
    <xf numFmtId="4" fontId="16" fillId="0" borderId="28" xfId="0" applyNumberFormat="1" applyFont="1" applyBorder="1" applyAlignment="1">
      <alignment horizontal="center" vertical="center" wrapText="1"/>
    </xf>
    <xf numFmtId="4" fontId="16" fillId="0" borderId="29" xfId="0" applyNumberFormat="1" applyFont="1" applyBorder="1" applyAlignment="1">
      <alignment horizontal="center" vertical="center" wrapText="1"/>
    </xf>
    <xf numFmtId="0" fontId="4" fillId="0" borderId="38" xfId="0" applyFont="1" applyBorder="1" applyAlignment="1">
      <alignment horizontal="right" vertical="top" wrapText="1"/>
    </xf>
    <xf numFmtId="0" fontId="4" fillId="0" borderId="33" xfId="0" applyFont="1" applyBorder="1" applyAlignment="1">
      <alignment horizontal="right" vertical="top" wrapText="1"/>
    </xf>
    <xf numFmtId="0" fontId="9" fillId="0" borderId="1" xfId="0" applyFont="1" applyBorder="1" applyAlignment="1">
      <alignment horizontal="left" vertical="top" wrapText="1"/>
    </xf>
    <xf numFmtId="0" fontId="9" fillId="0" borderId="2" xfId="0" applyFont="1" applyBorder="1" applyAlignment="1">
      <alignment horizontal="left" vertical="top" wrapText="1"/>
    </xf>
    <xf numFmtId="0" fontId="5" fillId="0" borderId="2" xfId="0" applyFont="1" applyBorder="1" applyAlignment="1">
      <alignment horizontal="right" vertical="top" wrapText="1"/>
    </xf>
    <xf numFmtId="0" fontId="5" fillId="0" borderId="3" xfId="0" applyFont="1" applyBorder="1" applyAlignment="1">
      <alignment horizontal="right" vertical="top" wrapText="1"/>
    </xf>
    <xf numFmtId="4" fontId="15" fillId="0" borderId="4" xfId="0" applyNumberFormat="1" applyFont="1" applyBorder="1" applyAlignment="1">
      <alignment horizontal="center" vertical="top" wrapText="1"/>
    </xf>
    <xf numFmtId="4" fontId="19" fillId="0" borderId="32" xfId="0" applyNumberFormat="1" applyFont="1" applyBorder="1" applyAlignment="1">
      <alignment horizontal="center" vertical="top" wrapText="1"/>
    </xf>
    <xf numFmtId="4" fontId="19" fillId="0" borderId="33" xfId="0" applyNumberFormat="1" applyFont="1" applyBorder="1" applyAlignment="1">
      <alignment horizontal="center" vertical="top" wrapText="1"/>
    </xf>
    <xf numFmtId="0" fontId="8" fillId="0" borderId="32" xfId="0" applyFont="1" applyBorder="1" applyAlignment="1">
      <alignment horizontal="left" vertical="top" wrapText="1"/>
    </xf>
    <xf numFmtId="0" fontId="8" fillId="0" borderId="38" xfId="0" applyFont="1" applyBorder="1" applyAlignment="1">
      <alignment horizontal="left" vertical="top" wrapText="1"/>
    </xf>
    <xf numFmtId="0" fontId="1" fillId="0" borderId="8" xfId="0" applyFont="1" applyBorder="1" applyAlignment="1">
      <alignment horizontal="left" vertical="center" wrapText="1"/>
    </xf>
    <xf numFmtId="0" fontId="1" fillId="0" borderId="8" xfId="0" applyFont="1" applyBorder="1" applyAlignment="1">
      <alignment horizontal="right" vertical="center" wrapText="1"/>
    </xf>
    <xf numFmtId="4" fontId="15" fillId="0" borderId="8" xfId="0" applyNumberFormat="1" applyFont="1" applyBorder="1" applyAlignment="1">
      <alignment horizontal="right" vertical="center" wrapText="1"/>
    </xf>
    <xf numFmtId="0" fontId="19" fillId="0" borderId="0" xfId="0" applyFont="1" applyAlignment="1">
      <alignment horizontal="left" vertical="center"/>
    </xf>
    <xf numFmtId="0" fontId="2" fillId="0" borderId="0" xfId="0" applyFont="1" applyAlignment="1">
      <alignment horizontal="right" vertical="center" wrapText="1"/>
    </xf>
    <xf numFmtId="4" fontId="19" fillId="0" borderId="0" xfId="0" applyNumberFormat="1" applyFont="1" applyAlignment="1">
      <alignment horizontal="right" vertical="center"/>
    </xf>
    <xf numFmtId="0" fontId="22" fillId="0" borderId="8" xfId="0" applyFont="1" applyBorder="1" applyAlignment="1">
      <alignment horizontal="left" vertical="center"/>
    </xf>
    <xf numFmtId="0" fontId="1" fillId="0" borderId="5" xfId="0" applyFont="1" applyBorder="1" applyAlignment="1">
      <alignment horizontal="left" vertical="center"/>
    </xf>
    <xf numFmtId="0" fontId="1" fillId="0" borderId="5" xfId="0" applyFont="1" applyBorder="1" applyAlignment="1">
      <alignment horizontal="right" vertical="center"/>
    </xf>
    <xf numFmtId="4" fontId="1" fillId="0" borderId="5" xfId="0" applyNumberFormat="1" applyFont="1" applyBorder="1" applyAlignment="1">
      <alignment horizontal="right" vertical="center"/>
    </xf>
    <xf numFmtId="0" fontId="1" fillId="0" borderId="0" xfId="0" applyFont="1" applyAlignment="1">
      <alignment horizontal="left" vertical="center" wrapText="1"/>
    </xf>
    <xf numFmtId="0" fontId="1" fillId="0" borderId="0" xfId="0" applyFont="1" applyAlignment="1">
      <alignment horizontal="right" vertical="center" wrapText="1"/>
    </xf>
    <xf numFmtId="4" fontId="15" fillId="0" borderId="0" xfId="0" applyNumberFormat="1" applyFont="1" applyAlignment="1">
      <alignment horizontal="right" vertical="center" wrapText="1"/>
    </xf>
    <xf numFmtId="0" fontId="15" fillId="0" borderId="0" xfId="0" applyFont="1" applyAlignment="1">
      <alignment horizontal="right" vertical="center" wrapText="1"/>
    </xf>
    <xf numFmtId="0" fontId="2" fillId="0" borderId="0" xfId="0" applyFont="1" applyAlignment="1">
      <alignment horizontal="left" vertical="center" wrapText="1"/>
    </xf>
    <xf numFmtId="4" fontId="19" fillId="0" borderId="0" xfId="0" applyNumberFormat="1" applyFont="1" applyAlignment="1">
      <alignment horizontal="right" vertical="center" wrapText="1"/>
    </xf>
    <xf numFmtId="0" fontId="5" fillId="3" borderId="1" xfId="0" applyFont="1" applyFill="1" applyBorder="1" applyAlignment="1">
      <alignment horizontal="center" vertical="top" wrapText="1"/>
    </xf>
    <xf numFmtId="0" fontId="5" fillId="3" borderId="3" xfId="0" applyFont="1" applyFill="1" applyBorder="1" applyAlignment="1">
      <alignment horizontal="center" vertical="top"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5" fillId="0" borderId="10" xfId="0" applyFont="1" applyBorder="1" applyAlignment="1">
      <alignment horizontal="center" wrapText="1"/>
    </xf>
    <xf numFmtId="4" fontId="16" fillId="0" borderId="24" xfId="0" applyNumberFormat="1" applyFont="1" applyBorder="1" applyAlignment="1">
      <alignment horizontal="center" wrapText="1"/>
    </xf>
    <xf numFmtId="4" fontId="16" fillId="0" borderId="34" xfId="0" applyNumberFormat="1" applyFont="1" applyBorder="1" applyAlignment="1">
      <alignment horizontal="center" wrapText="1"/>
    </xf>
    <xf numFmtId="4" fontId="16" fillId="0" borderId="23" xfId="0" applyNumberFormat="1" applyFont="1" applyBorder="1" applyAlignment="1">
      <alignment horizontal="center" wrapText="1"/>
    </xf>
    <xf numFmtId="0" fontId="5" fillId="3" borderId="47"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1" xfId="0" applyFont="1" applyFill="1" applyBorder="1" applyAlignment="1">
      <alignment horizontal="center" wrapText="1"/>
    </xf>
    <xf numFmtId="0" fontId="5" fillId="3" borderId="2" xfId="0" applyFont="1" applyFill="1" applyBorder="1" applyAlignment="1">
      <alignment horizontal="center" wrapText="1"/>
    </xf>
    <xf numFmtId="0" fontId="5" fillId="3" borderId="3" xfId="0" applyFont="1" applyFill="1" applyBorder="1" applyAlignment="1">
      <alignment horizontal="center" wrapText="1"/>
    </xf>
    <xf numFmtId="4" fontId="16" fillId="3" borderId="19" xfId="0" applyNumberFormat="1" applyFont="1" applyFill="1" applyBorder="1" applyAlignment="1">
      <alignment horizontal="center" wrapText="1"/>
    </xf>
    <xf numFmtId="4" fontId="16" fillId="3" borderId="2" xfId="0" applyNumberFormat="1" applyFont="1" applyFill="1" applyBorder="1" applyAlignment="1">
      <alignment horizontal="center" wrapText="1"/>
    </xf>
    <xf numFmtId="4" fontId="16" fillId="3" borderId="18" xfId="0" applyNumberFormat="1" applyFont="1" applyFill="1" applyBorder="1" applyAlignment="1">
      <alignment horizontal="center" wrapText="1"/>
    </xf>
    <xf numFmtId="164" fontId="16" fillId="0" borderId="35" xfId="0" applyNumberFormat="1" applyFont="1" applyBorder="1" applyAlignment="1">
      <alignment horizontal="center" vertical="top" wrapText="1"/>
    </xf>
    <xf numFmtId="164" fontId="16" fillId="0" borderId="36" xfId="0" applyNumberFormat="1" applyFont="1" applyBorder="1" applyAlignment="1">
      <alignment horizontal="center" vertical="top" wrapText="1"/>
    </xf>
    <xf numFmtId="164" fontId="16" fillId="0" borderId="24" xfId="0" applyNumberFormat="1" applyFont="1" applyBorder="1" applyAlignment="1">
      <alignment horizontal="center" vertical="top" wrapText="1"/>
    </xf>
    <xf numFmtId="164" fontId="16" fillId="0" borderId="23" xfId="0" applyNumberFormat="1" applyFont="1" applyBorder="1" applyAlignment="1">
      <alignment horizontal="center" vertical="top" wrapText="1"/>
    </xf>
    <xf numFmtId="0" fontId="15" fillId="0" borderId="12"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7" xfId="0" applyFont="1" applyBorder="1" applyAlignment="1">
      <alignment horizontal="center" vertical="center" wrapText="1"/>
    </xf>
    <xf numFmtId="0" fontId="5" fillId="0" borderId="12" xfId="0" applyFont="1" applyBorder="1" applyAlignment="1">
      <alignment horizontal="center" wrapText="1"/>
    </xf>
    <xf numFmtId="0" fontId="5" fillId="0" borderId="26" xfId="0" applyFont="1" applyBorder="1" applyAlignment="1">
      <alignment horizontal="center" wrapText="1"/>
    </xf>
    <xf numFmtId="0" fontId="5" fillId="0" borderId="27" xfId="0" applyFont="1" applyBorder="1" applyAlignment="1">
      <alignment horizontal="center" wrapText="1"/>
    </xf>
    <xf numFmtId="4" fontId="16" fillId="0" borderId="12" xfId="0" applyNumberFormat="1" applyFont="1" applyBorder="1" applyAlignment="1">
      <alignment horizontal="center" wrapText="1"/>
    </xf>
    <xf numFmtId="4" fontId="16" fillId="0" borderId="26" xfId="0" applyNumberFormat="1" applyFont="1" applyBorder="1" applyAlignment="1">
      <alignment horizontal="center" wrapText="1"/>
    </xf>
    <xf numFmtId="4" fontId="16" fillId="0" borderId="27" xfId="0" applyNumberFormat="1" applyFont="1" applyBorder="1" applyAlignment="1">
      <alignment horizontal="center" wrapText="1"/>
    </xf>
    <xf numFmtId="4" fontId="16" fillId="0" borderId="28" xfId="0" applyNumberFormat="1" applyFont="1" applyBorder="1" applyAlignment="1">
      <alignment horizontal="center" wrapText="1"/>
    </xf>
    <xf numFmtId="4" fontId="16" fillId="0" borderId="29" xfId="0" applyNumberFormat="1" applyFont="1" applyBorder="1" applyAlignment="1">
      <alignment horizontal="center" wrapText="1"/>
    </xf>
    <xf numFmtId="0" fontId="5" fillId="2" borderId="12" xfId="0" applyFont="1" applyFill="1" applyBorder="1" applyAlignment="1">
      <alignment horizontal="center" vertical="center" wrapText="1"/>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4" fontId="5" fillId="2" borderId="12" xfId="0" applyNumberFormat="1" applyFont="1" applyFill="1" applyBorder="1" applyAlignment="1">
      <alignment horizontal="center" vertical="center" wrapText="1"/>
    </xf>
    <xf numFmtId="4" fontId="15" fillId="2" borderId="26" xfId="0" applyNumberFormat="1" applyFont="1" applyFill="1" applyBorder="1" applyAlignment="1">
      <alignment horizontal="center" vertical="center" wrapText="1"/>
    </xf>
    <xf numFmtId="4" fontId="15" fillId="2" borderId="27" xfId="0" applyNumberFormat="1" applyFont="1" applyFill="1" applyBorder="1" applyAlignment="1">
      <alignment horizontal="center" vertical="center" wrapText="1"/>
    </xf>
    <xf numFmtId="4" fontId="5" fillId="2" borderId="27" xfId="0" applyNumberFormat="1" applyFont="1" applyFill="1" applyBorder="1" applyAlignment="1">
      <alignment horizontal="center" vertical="center" wrapText="1"/>
    </xf>
    <xf numFmtId="0" fontId="5" fillId="3" borderId="12" xfId="0" applyFont="1" applyFill="1" applyBorder="1" applyAlignment="1">
      <alignment horizontal="center" vertical="top" wrapText="1"/>
    </xf>
    <xf numFmtId="0" fontId="5" fillId="3" borderId="30" xfId="0" applyFont="1" applyFill="1" applyBorder="1" applyAlignment="1">
      <alignment horizontal="center" vertical="top" wrapText="1"/>
    </xf>
    <xf numFmtId="0" fontId="5" fillId="3" borderId="44" xfId="0" applyFont="1" applyFill="1" applyBorder="1" applyAlignment="1">
      <alignment horizontal="center" vertical="top" wrapText="1"/>
    </xf>
    <xf numFmtId="0" fontId="5" fillId="3" borderId="49" xfId="0" applyFont="1" applyFill="1" applyBorder="1" applyAlignment="1">
      <alignment horizontal="center" vertical="top" wrapText="1"/>
    </xf>
    <xf numFmtId="164" fontId="16" fillId="0" borderId="7" xfId="0" applyNumberFormat="1" applyFont="1" applyBorder="1" applyAlignment="1">
      <alignment horizontal="center" vertical="top" wrapText="1"/>
    </xf>
    <xf numFmtId="164" fontId="16" fillId="0" borderId="10" xfId="0" applyNumberFormat="1" applyFont="1" applyBorder="1" applyAlignment="1">
      <alignment horizontal="center" vertical="top" wrapText="1"/>
    </xf>
    <xf numFmtId="0" fontId="5" fillId="3" borderId="6" xfId="0" applyFont="1" applyFill="1" applyBorder="1" applyAlignment="1">
      <alignment horizontal="center" vertical="top" wrapText="1"/>
    </xf>
    <xf numFmtId="0" fontId="5" fillId="3" borderId="9" xfId="0" applyFont="1" applyFill="1" applyBorder="1" applyAlignment="1">
      <alignment horizontal="center" vertical="top" wrapText="1"/>
    </xf>
    <xf numFmtId="0" fontId="5" fillId="3" borderId="11" xfId="0" applyFont="1" applyFill="1" applyBorder="1" applyAlignment="1">
      <alignment horizontal="center" vertical="top" wrapText="1"/>
    </xf>
    <xf numFmtId="0" fontId="5" fillId="3" borderId="45" xfId="0" applyFont="1" applyFill="1" applyBorder="1" applyAlignment="1">
      <alignment horizontal="center" vertical="top" wrapText="1"/>
    </xf>
    <xf numFmtId="0" fontId="5" fillId="3" borderId="7" xfId="0" applyFont="1" applyFill="1" applyBorder="1" applyAlignment="1">
      <alignment horizontal="center" vertical="top" wrapText="1"/>
    </xf>
    <xf numFmtId="0" fontId="5" fillId="3" borderId="10" xfId="0" applyFont="1" applyFill="1" applyBorder="1" applyAlignment="1">
      <alignment horizontal="center" vertical="top" wrapText="1"/>
    </xf>
    <xf numFmtId="0" fontId="15" fillId="0" borderId="28"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29"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41" xfId="0" applyFont="1" applyBorder="1" applyAlignment="1">
      <alignment horizontal="center" vertical="center" wrapText="1"/>
    </xf>
    <xf numFmtId="4" fontId="16" fillId="0" borderId="44" xfId="0" applyNumberFormat="1" applyFont="1" applyBorder="1" applyAlignment="1">
      <alignment horizontal="center" vertical="center" wrapText="1"/>
    </xf>
    <xf numFmtId="4" fontId="16" fillId="0" borderId="39" xfId="0" applyNumberFormat="1" applyFont="1" applyBorder="1" applyAlignment="1">
      <alignment horizontal="center" vertical="center" wrapText="1"/>
    </xf>
    <xf numFmtId="4" fontId="16" fillId="0" borderId="41" xfId="0" applyNumberFormat="1" applyFont="1" applyBorder="1" applyAlignment="1">
      <alignment horizontal="center" vertical="center" wrapText="1"/>
    </xf>
    <xf numFmtId="0" fontId="5" fillId="0" borderId="1" xfId="0" applyFont="1" applyBorder="1" applyAlignment="1">
      <alignment horizontal="center" wrapText="1"/>
    </xf>
    <xf numFmtId="0" fontId="5" fillId="0" borderId="2" xfId="0" applyFont="1" applyBorder="1" applyAlignment="1">
      <alignment horizontal="center" wrapText="1"/>
    </xf>
    <xf numFmtId="0" fontId="5" fillId="0" borderId="3" xfId="0" applyFont="1" applyBorder="1" applyAlignment="1">
      <alignment horizontal="center" wrapText="1"/>
    </xf>
    <xf numFmtId="4" fontId="16" fillId="0" borderId="1" xfId="0" applyNumberFormat="1" applyFont="1" applyBorder="1" applyAlignment="1">
      <alignment horizontal="center" wrapText="1"/>
    </xf>
    <xf numFmtId="4" fontId="16" fillId="0" borderId="2" xfId="0" applyNumberFormat="1" applyFont="1" applyBorder="1" applyAlignment="1">
      <alignment horizontal="center" wrapText="1"/>
    </xf>
    <xf numFmtId="4" fontId="16" fillId="0" borderId="3" xfId="0" applyNumberFormat="1" applyFont="1" applyBorder="1" applyAlignment="1">
      <alignment horizontal="center" wrapText="1"/>
    </xf>
    <xf numFmtId="4" fontId="16" fillId="0" borderId="40" xfId="0" applyNumberFormat="1" applyFont="1" applyBorder="1" applyAlignment="1">
      <alignment horizontal="center" wrapText="1"/>
    </xf>
    <xf numFmtId="4" fontId="16" fillId="0" borderId="41" xfId="0" applyNumberFormat="1" applyFont="1" applyBorder="1" applyAlignment="1">
      <alignment horizontal="center" wrapText="1"/>
    </xf>
    <xf numFmtId="4" fontId="8" fillId="0" borderId="8" xfId="0" applyNumberFormat="1" applyFont="1" applyBorder="1" applyAlignment="1">
      <alignment horizontal="center" vertical="center" wrapText="1"/>
    </xf>
    <xf numFmtId="4" fontId="8" fillId="0" borderId="10" xfId="0" applyNumberFormat="1" applyFont="1" applyBorder="1" applyAlignment="1">
      <alignment horizontal="center" vertical="center" wrapText="1"/>
    </xf>
    <xf numFmtId="0" fontId="3" fillId="0" borderId="0" xfId="0" applyFont="1" applyAlignment="1">
      <alignment horizontal="left" vertical="top" wrapText="1"/>
    </xf>
    <xf numFmtId="0" fontId="5" fillId="2" borderId="1"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2" xfId="0" applyFont="1" applyFill="1" applyBorder="1" applyAlignment="1">
      <alignment horizontal="center" vertical="center" wrapText="1"/>
    </xf>
    <xf numFmtId="4" fontId="5" fillId="2" borderId="19" xfId="0" applyNumberFormat="1" applyFont="1" applyFill="1" applyBorder="1" applyAlignment="1">
      <alignment horizontal="center" vertical="center" wrapText="1"/>
    </xf>
    <xf numFmtId="4" fontId="16" fillId="2" borderId="2" xfId="0" applyNumberFormat="1" applyFont="1" applyFill="1" applyBorder="1" applyAlignment="1">
      <alignment horizontal="center" vertical="center" wrapText="1"/>
    </xf>
    <xf numFmtId="4" fontId="16" fillId="2" borderId="18" xfId="0" applyNumberFormat="1" applyFont="1" applyFill="1" applyBorder="1" applyAlignment="1">
      <alignment horizontal="center" vertical="center" wrapText="1"/>
    </xf>
    <xf numFmtId="4" fontId="5" fillId="2" borderId="3"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35"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45" xfId="0" applyFont="1" applyFill="1" applyBorder="1" applyAlignment="1">
      <alignment horizontal="center" vertical="center" wrapText="1"/>
    </xf>
    <xf numFmtId="0" fontId="5" fillId="3" borderId="3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10" xfId="0" applyFont="1" applyFill="1" applyBorder="1" applyAlignment="1">
      <alignment horizontal="center" vertical="center" wrapText="1"/>
    </xf>
    <xf numFmtId="164" fontId="16" fillId="0" borderId="17" xfId="0" applyNumberFormat="1" applyFont="1" applyBorder="1" applyAlignment="1">
      <alignment horizontal="center" vertical="top" wrapText="1"/>
    </xf>
    <xf numFmtId="164" fontId="16" fillId="0" borderId="16" xfId="0" applyNumberFormat="1" applyFont="1" applyBorder="1" applyAlignment="1">
      <alignment horizontal="center" vertical="top" wrapText="1"/>
    </xf>
    <xf numFmtId="0" fontId="15" fillId="0" borderId="47" xfId="0" applyFont="1" applyBorder="1" applyAlignment="1">
      <alignment horizontal="center" vertical="center" wrapText="1"/>
    </xf>
    <xf numFmtId="4" fontId="16" fillId="0" borderId="12" xfId="0" applyNumberFormat="1" applyFont="1" applyBorder="1" applyAlignment="1">
      <alignment horizontal="center" vertical="top" wrapText="1"/>
    </xf>
    <xf numFmtId="4" fontId="16" fillId="0" borderId="26" xfId="0" applyNumberFormat="1" applyFont="1" applyBorder="1" applyAlignment="1">
      <alignment horizontal="center" vertical="top" wrapText="1"/>
    </xf>
    <xf numFmtId="4" fontId="16" fillId="0" borderId="27" xfId="0" applyNumberFormat="1" applyFont="1" applyBorder="1" applyAlignment="1">
      <alignment horizontal="center" vertical="top"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9" fillId="0" borderId="1" xfId="0" applyFont="1" applyBorder="1" applyAlignment="1">
      <alignment horizontal="left" vertical="top"/>
    </xf>
    <xf numFmtId="0" fontId="19" fillId="0" borderId="2" xfId="0" applyFont="1" applyBorder="1" applyAlignment="1">
      <alignment horizontal="left" vertical="top"/>
    </xf>
    <xf numFmtId="0" fontId="4" fillId="0" borderId="2" xfId="0" applyFont="1" applyBorder="1" applyAlignment="1">
      <alignment horizontal="right" vertical="top" wrapText="1"/>
    </xf>
    <xf numFmtId="0" fontId="4" fillId="0" borderId="3" xfId="0" applyFont="1" applyBorder="1" applyAlignment="1">
      <alignment horizontal="right" vertical="top" wrapText="1"/>
    </xf>
    <xf numFmtId="4" fontId="19" fillId="0" borderId="4" xfId="0" applyNumberFormat="1" applyFont="1" applyBorder="1" applyAlignment="1">
      <alignment horizontal="center" vertical="top"/>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4" fontId="16" fillId="0" borderId="12" xfId="0" applyNumberFormat="1" applyFont="1" applyBorder="1" applyAlignment="1">
      <alignment horizontal="center" vertical="center" wrapText="1"/>
    </xf>
    <xf numFmtId="4" fontId="16" fillId="0" borderId="27" xfId="0" applyNumberFormat="1" applyFont="1" applyBorder="1" applyAlignment="1">
      <alignment horizontal="center" vertical="center" wrapText="1"/>
    </xf>
    <xf numFmtId="4" fontId="15" fillId="2" borderId="2" xfId="0" applyNumberFormat="1" applyFont="1" applyFill="1" applyBorder="1" applyAlignment="1">
      <alignment horizontal="center" vertical="center" wrapText="1"/>
    </xf>
    <xf numFmtId="4" fontId="15" fillId="2" borderId="18" xfId="0" applyNumberFormat="1" applyFont="1" applyFill="1" applyBorder="1" applyAlignment="1">
      <alignment horizontal="center" vertical="center" wrapText="1"/>
    </xf>
    <xf numFmtId="164" fontId="16" fillId="0" borderId="17" xfId="0" applyNumberFormat="1" applyFont="1" applyBorder="1" applyAlignment="1">
      <alignment horizontal="center" vertical="center" wrapText="1"/>
    </xf>
    <xf numFmtId="164" fontId="16" fillId="0" borderId="16" xfId="0" applyNumberFormat="1" applyFont="1" applyBorder="1" applyAlignment="1">
      <alignment horizontal="center" vertical="center" wrapText="1"/>
    </xf>
    <xf numFmtId="164" fontId="16" fillId="0" borderId="24" xfId="0" applyNumberFormat="1" applyFont="1" applyBorder="1" applyAlignment="1">
      <alignment horizontal="center" vertical="center" wrapText="1"/>
    </xf>
    <xf numFmtId="164" fontId="16" fillId="0" borderId="23" xfId="0" applyNumberFormat="1" applyFont="1" applyBorder="1" applyAlignment="1">
      <alignment horizontal="center" vertical="center" wrapText="1"/>
    </xf>
    <xf numFmtId="0" fontId="15" fillId="0" borderId="24"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23"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4" fontId="16" fillId="0" borderId="26" xfId="0" applyNumberFormat="1" applyFont="1" applyBorder="1" applyAlignment="1">
      <alignment horizontal="center" vertical="center" wrapText="1"/>
    </xf>
    <xf numFmtId="4" fontId="16" fillId="0" borderId="19" xfId="0" applyNumberFormat="1" applyFont="1" applyBorder="1" applyAlignment="1">
      <alignment horizontal="center" wrapText="1"/>
    </xf>
    <xf numFmtId="0" fontId="3" fillId="0" borderId="26" xfId="0" applyFont="1" applyBorder="1" applyAlignment="1">
      <alignment horizontal="left" vertical="center"/>
    </xf>
    <xf numFmtId="0" fontId="5" fillId="3" borderId="24"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5" fillId="3" borderId="7" xfId="0" applyFont="1" applyFill="1" applyBorder="1" applyAlignment="1">
      <alignment horizontal="center" vertical="center" wrapText="1"/>
    </xf>
    <xf numFmtId="4" fontId="16" fillId="3" borderId="24" xfId="0" applyNumberFormat="1" applyFont="1" applyFill="1" applyBorder="1" applyAlignment="1">
      <alignment horizontal="center" vertical="center" wrapText="1"/>
    </xf>
    <xf numFmtId="4" fontId="16" fillId="3" borderId="34" xfId="0" applyNumberFormat="1" applyFont="1" applyFill="1" applyBorder="1" applyAlignment="1">
      <alignment horizontal="center" vertical="center" wrapText="1"/>
    </xf>
    <xf numFmtId="4" fontId="16" fillId="3" borderId="23" xfId="0" applyNumberFormat="1" applyFont="1" applyFill="1" applyBorder="1" applyAlignment="1">
      <alignment horizontal="center" vertical="center" wrapText="1"/>
    </xf>
    <xf numFmtId="0" fontId="5" fillId="3" borderId="27" xfId="0" applyFont="1" applyFill="1" applyBorder="1" applyAlignment="1">
      <alignment horizontal="center" vertical="center" wrapText="1"/>
    </xf>
    <xf numFmtId="4" fontId="16" fillId="3" borderId="12" xfId="0" applyNumberFormat="1" applyFont="1" applyFill="1" applyBorder="1" applyAlignment="1">
      <alignment horizontal="center" vertical="center" wrapText="1"/>
    </xf>
    <xf numFmtId="4" fontId="16" fillId="3" borderId="26" xfId="0" applyNumberFormat="1" applyFont="1" applyFill="1" applyBorder="1" applyAlignment="1">
      <alignment horizontal="center" vertical="center" wrapText="1"/>
    </xf>
    <xf numFmtId="4" fontId="16" fillId="3" borderId="27" xfId="0" applyNumberFormat="1" applyFont="1" applyFill="1" applyBorder="1" applyAlignment="1">
      <alignment horizontal="center" vertical="center" wrapText="1"/>
    </xf>
    <xf numFmtId="0" fontId="5" fillId="0" borderId="32"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3" xfId="0" applyFont="1" applyBorder="1" applyAlignment="1">
      <alignment horizontal="center" vertical="center" wrapText="1"/>
    </xf>
    <xf numFmtId="4" fontId="16" fillId="0" borderId="32" xfId="0" applyNumberFormat="1" applyFont="1" applyBorder="1" applyAlignment="1">
      <alignment horizontal="center" vertical="center" wrapText="1"/>
    </xf>
    <xf numFmtId="4" fontId="16" fillId="0" borderId="38" xfId="0" applyNumberFormat="1" applyFont="1" applyBorder="1" applyAlignment="1">
      <alignment horizontal="center" vertical="center" wrapText="1"/>
    </xf>
    <xf numFmtId="4" fontId="16" fillId="0" borderId="33" xfId="0" applyNumberFormat="1" applyFont="1" applyBorder="1" applyAlignment="1">
      <alignment horizontal="center" vertical="center" wrapText="1"/>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4" fontId="8" fillId="0" borderId="2" xfId="0" applyNumberFormat="1" applyFont="1" applyBorder="1" applyAlignment="1">
      <alignment horizontal="center" vertical="center" wrapText="1"/>
    </xf>
    <xf numFmtId="4" fontId="8" fillId="0" borderId="3"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8" fillId="0" borderId="3" xfId="0" applyFont="1" applyBorder="1" applyAlignment="1">
      <alignment horizontal="center" vertical="center" wrapText="1"/>
    </xf>
    <xf numFmtId="4" fontId="8" fillId="0" borderId="31" xfId="0" applyNumberFormat="1" applyFont="1" applyBorder="1" applyAlignment="1">
      <alignment horizontal="center" vertical="center" wrapText="1"/>
    </xf>
    <xf numFmtId="4" fontId="8" fillId="0" borderId="42" xfId="0" applyNumberFormat="1" applyFont="1" applyBorder="1" applyAlignment="1">
      <alignment horizontal="center" vertical="center" wrapText="1"/>
    </xf>
    <xf numFmtId="0" fontId="25" fillId="0" borderId="6" xfId="0" applyFont="1" applyBorder="1" applyAlignment="1" applyProtection="1">
      <alignment horizontal="center" vertical="top" wrapText="1"/>
      <protection locked="0"/>
    </xf>
    <xf numFmtId="0" fontId="25" fillId="0" borderId="5" xfId="0" applyFont="1" applyBorder="1" applyAlignment="1" applyProtection="1">
      <alignment horizontal="center" vertical="top" wrapText="1"/>
      <protection locked="0"/>
    </xf>
    <xf numFmtId="0" fontId="25" fillId="0" borderId="9" xfId="0" applyFont="1" applyBorder="1" applyAlignment="1" applyProtection="1">
      <alignment horizontal="center" vertical="top" wrapText="1"/>
      <protection locked="0"/>
    </xf>
    <xf numFmtId="0" fontId="25" fillId="0" borderId="7" xfId="0" applyFont="1" applyBorder="1" applyAlignment="1" applyProtection="1">
      <alignment horizontal="center" vertical="top" wrapText="1"/>
      <protection locked="0"/>
    </xf>
    <xf numFmtId="0" fontId="25" fillId="0" borderId="8" xfId="0" applyFont="1" applyBorder="1" applyAlignment="1" applyProtection="1">
      <alignment horizontal="center" vertical="top" wrapText="1"/>
      <protection locked="0"/>
    </xf>
    <xf numFmtId="0" fontId="25" fillId="0" borderId="10" xfId="0" applyFont="1" applyBorder="1" applyAlignment="1" applyProtection="1">
      <alignment horizontal="center" vertical="top" wrapText="1"/>
      <protection locked="0"/>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34" xfId="0" applyFont="1" applyBorder="1" applyAlignment="1">
      <alignment horizontal="center" vertical="center" wrapText="1"/>
    </xf>
    <xf numFmtId="4" fontId="5" fillId="0" borderId="1" xfId="0" applyNumberFormat="1" applyFont="1" applyBorder="1" applyAlignment="1">
      <alignment horizontal="center" vertical="center" wrapText="1"/>
    </xf>
    <xf numFmtId="4" fontId="5" fillId="0" borderId="2" xfId="0" applyNumberFormat="1" applyFont="1" applyBorder="1" applyAlignment="1">
      <alignment horizontal="center" vertical="center" wrapText="1"/>
    </xf>
    <xf numFmtId="4" fontId="5" fillId="0" borderId="3" xfId="0" applyNumberFormat="1" applyFont="1" applyBorder="1" applyAlignment="1">
      <alignment horizontal="center" vertical="center" wrapText="1"/>
    </xf>
    <xf numFmtId="0" fontId="5" fillId="2" borderId="32" xfId="0" applyFont="1" applyFill="1" applyBorder="1" applyAlignment="1">
      <alignment horizontal="center" vertical="center" wrapText="1"/>
    </xf>
    <xf numFmtId="0" fontId="5" fillId="2" borderId="33" xfId="0" applyFont="1" applyFill="1" applyBorder="1" applyAlignment="1">
      <alignment horizontal="center" vertical="center" wrapText="1"/>
    </xf>
    <xf numFmtId="0" fontId="5" fillId="2" borderId="38" xfId="0" applyFont="1" applyFill="1" applyBorder="1" applyAlignment="1">
      <alignment horizontal="center" vertical="center" wrapText="1"/>
    </xf>
    <xf numFmtId="4" fontId="5" fillId="2" borderId="32" xfId="0" applyNumberFormat="1" applyFont="1" applyFill="1" applyBorder="1" applyAlignment="1">
      <alignment horizontal="center" vertical="center" wrapText="1"/>
    </xf>
    <xf numFmtId="4" fontId="1" fillId="2" borderId="38" xfId="0" applyNumberFormat="1" applyFont="1" applyFill="1" applyBorder="1" applyAlignment="1">
      <alignment horizontal="center" vertical="center" wrapText="1"/>
    </xf>
    <xf numFmtId="4" fontId="1" fillId="2" borderId="33" xfId="0" applyNumberFormat="1" applyFont="1" applyFill="1" applyBorder="1" applyAlignment="1">
      <alignment horizontal="center" vertical="center" wrapText="1"/>
    </xf>
    <xf numFmtId="4" fontId="5" fillId="2" borderId="33" xfId="0" applyNumberFormat="1" applyFont="1" applyFill="1" applyBorder="1" applyAlignment="1">
      <alignment horizontal="center" vertical="center" wrapText="1"/>
    </xf>
    <xf numFmtId="164" fontId="5" fillId="0" borderId="1" xfId="0" applyNumberFormat="1" applyFont="1" applyBorder="1" applyAlignment="1">
      <alignment horizontal="center" vertical="top"/>
    </xf>
    <xf numFmtId="164" fontId="5" fillId="0" borderId="3" xfId="0" applyNumberFormat="1" applyFont="1" applyBorder="1" applyAlignment="1">
      <alignment horizontal="center" vertical="top"/>
    </xf>
    <xf numFmtId="0" fontId="5" fillId="0" borderId="50" xfId="0" applyFont="1" applyBorder="1" applyAlignment="1">
      <alignment horizontal="center" vertical="center" wrapText="1"/>
    </xf>
    <xf numFmtId="0" fontId="3" fillId="0" borderId="34" xfId="0" applyFont="1" applyBorder="1" applyAlignment="1">
      <alignment horizontal="left" vertical="center"/>
    </xf>
    <xf numFmtId="164" fontId="5" fillId="0" borderId="4" xfId="0" applyNumberFormat="1" applyFont="1" applyBorder="1" applyAlignment="1">
      <alignment horizontal="center" vertical="top" wrapText="1"/>
    </xf>
    <xf numFmtId="4" fontId="5" fillId="0" borderId="4" xfId="0" applyNumberFormat="1" applyFont="1" applyBorder="1" applyAlignment="1">
      <alignment horizontal="center" vertical="center" wrapText="1"/>
    </xf>
    <xf numFmtId="164" fontId="5" fillId="0" borderId="1" xfId="0" applyNumberFormat="1" applyFont="1" applyBorder="1" applyAlignment="1">
      <alignment horizontal="center" vertical="top" wrapText="1"/>
    </xf>
    <xf numFmtId="164" fontId="5" fillId="0" borderId="3" xfId="0" applyNumberFormat="1" applyFont="1" applyBorder="1" applyAlignment="1">
      <alignment horizontal="center" vertical="top" wrapText="1"/>
    </xf>
    <xf numFmtId="0" fontId="5" fillId="0" borderId="17" xfId="0" applyFont="1" applyBorder="1" applyAlignment="1">
      <alignment horizontal="center" vertical="center" wrapText="1"/>
    </xf>
    <xf numFmtId="0" fontId="5" fillId="0" borderId="0" xfId="0" applyFont="1" applyAlignment="1">
      <alignment horizontal="center" vertical="center" wrapText="1"/>
    </xf>
    <xf numFmtId="0" fontId="23" fillId="0" borderId="6" xfId="0" applyFont="1" applyBorder="1" applyAlignment="1" applyProtection="1">
      <alignment horizontal="center" vertical="center" wrapText="1"/>
      <protection locked="0"/>
    </xf>
    <xf numFmtId="0" fontId="23" fillId="0" borderId="5" xfId="0" applyFont="1" applyBorder="1" applyAlignment="1" applyProtection="1">
      <alignment horizontal="center" vertical="center" wrapText="1"/>
      <protection locked="0"/>
    </xf>
    <xf numFmtId="0" fontId="23" fillId="0" borderId="9" xfId="0" applyFont="1" applyBorder="1" applyAlignment="1" applyProtection="1">
      <alignment horizontal="center" vertical="center" wrapText="1"/>
      <protection locked="0"/>
    </xf>
    <xf numFmtId="0" fontId="23" fillId="0" borderId="7" xfId="0" applyFont="1" applyBorder="1" applyAlignment="1" applyProtection="1">
      <alignment horizontal="center" vertical="center" wrapText="1"/>
      <protection locked="0"/>
    </xf>
    <xf numFmtId="0" fontId="23" fillId="0" borderId="8" xfId="0" applyFont="1" applyBorder="1" applyAlignment="1" applyProtection="1">
      <alignment horizontal="center" vertical="center" wrapText="1"/>
      <protection locked="0"/>
    </xf>
    <xf numFmtId="0" fontId="23" fillId="0" borderId="10" xfId="0" applyFont="1" applyBorder="1" applyAlignment="1" applyProtection="1">
      <alignment horizontal="center" vertical="center" wrapText="1"/>
      <protection locked="0"/>
    </xf>
    <xf numFmtId="4" fontId="1" fillId="2" borderId="2" xfId="0" applyNumberFormat="1" applyFont="1" applyFill="1" applyBorder="1" applyAlignment="1">
      <alignment horizontal="center" vertical="center" wrapText="1"/>
    </xf>
    <xf numFmtId="4" fontId="1" fillId="2" borderId="18" xfId="0" applyNumberFormat="1"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34"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8" fillId="0" borderId="6" xfId="0" applyFont="1" applyBorder="1" applyAlignment="1">
      <alignment horizontal="left" vertical="center" wrapText="1"/>
    </xf>
    <xf numFmtId="0" fontId="8" fillId="0" borderId="52" xfId="0" applyFont="1" applyBorder="1" applyAlignment="1">
      <alignment horizontal="left" vertical="center" wrapText="1"/>
    </xf>
    <xf numFmtId="4" fontId="8" fillId="0" borderId="52" xfId="0" applyNumberFormat="1" applyFont="1" applyBorder="1" applyAlignment="1">
      <alignment horizontal="center" vertical="center" wrapText="1"/>
    </xf>
    <xf numFmtId="4" fontId="8" fillId="0" borderId="9" xfId="0" applyNumberFormat="1" applyFont="1" applyBorder="1" applyAlignment="1">
      <alignment horizontal="center" vertical="center" wrapText="1"/>
    </xf>
    <xf numFmtId="0" fontId="5" fillId="2" borderId="28" xfId="0" applyFont="1" applyFill="1" applyBorder="1" applyAlignment="1">
      <alignment horizontal="center" vertical="center" wrapText="1"/>
    </xf>
    <xf numFmtId="0" fontId="5" fillId="2" borderId="29" xfId="0" applyFont="1" applyFill="1" applyBorder="1" applyAlignment="1">
      <alignment horizontal="center" vertical="center" wrapText="1"/>
    </xf>
    <xf numFmtId="0" fontId="5" fillId="2" borderId="35"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36" xfId="0" applyFont="1" applyFill="1" applyBorder="1" applyAlignment="1">
      <alignment horizontal="center" vertical="center" wrapText="1"/>
    </xf>
    <xf numFmtId="4" fontId="5" fillId="2" borderId="35" xfId="0" applyNumberFormat="1" applyFont="1" applyFill="1" applyBorder="1" applyAlignment="1">
      <alignment horizontal="center" vertical="center" wrapText="1"/>
    </xf>
    <xf numFmtId="4" fontId="15" fillId="2" borderId="5" xfId="0" applyNumberFormat="1" applyFont="1" applyFill="1" applyBorder="1" applyAlignment="1">
      <alignment horizontal="center" vertical="center" wrapText="1"/>
    </xf>
    <xf numFmtId="4" fontId="15" fillId="2" borderId="36" xfId="0" applyNumberFormat="1" applyFont="1" applyFill="1" applyBorder="1" applyAlignment="1">
      <alignment horizontal="center" vertical="center" wrapText="1"/>
    </xf>
    <xf numFmtId="4" fontId="5" fillId="2" borderId="36"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0" borderId="2" xfId="0" applyFont="1" applyBorder="1" applyAlignment="1">
      <alignment horizontal="center" vertical="center" wrapText="1"/>
    </xf>
    <xf numFmtId="4" fontId="16" fillId="0" borderId="1" xfId="0" applyNumberFormat="1" applyFont="1" applyBorder="1" applyAlignment="1">
      <alignment horizontal="center" vertical="center" wrapText="1"/>
    </xf>
    <xf numFmtId="4" fontId="16" fillId="0" borderId="2" xfId="0" applyNumberFormat="1" applyFont="1" applyBorder="1" applyAlignment="1">
      <alignment horizontal="center" vertical="center" wrapText="1"/>
    </xf>
    <xf numFmtId="4" fontId="16" fillId="0" borderId="3" xfId="0" applyNumberFormat="1" applyFont="1" applyBorder="1" applyAlignment="1">
      <alignment horizontal="center" vertical="center" wrapText="1"/>
    </xf>
    <xf numFmtId="0" fontId="5" fillId="0" borderId="1" xfId="0" applyFont="1" applyBorder="1" applyAlignment="1">
      <alignment horizontal="center" vertical="top" wrapText="1"/>
    </xf>
    <xf numFmtId="0" fontId="5" fillId="0" borderId="3" xfId="0" applyFont="1" applyBorder="1" applyAlignment="1">
      <alignment horizontal="center" vertical="top" wrapText="1"/>
    </xf>
    <xf numFmtId="0" fontId="5" fillId="0" borderId="0" xfId="0" applyFont="1" applyAlignment="1">
      <alignment horizontal="center" wrapText="1"/>
    </xf>
    <xf numFmtId="4" fontId="16" fillId="0" borderId="0" xfId="0" applyNumberFormat="1" applyFont="1" applyAlignment="1">
      <alignment horizontal="center" wrapText="1"/>
    </xf>
    <xf numFmtId="4" fontId="5" fillId="0" borderId="1" xfId="0" applyNumberFormat="1" applyFont="1" applyBorder="1" applyAlignment="1">
      <alignment horizontal="center" wrapText="1"/>
    </xf>
    <xf numFmtId="4" fontId="5" fillId="0" borderId="3" xfId="0" applyNumberFormat="1" applyFont="1" applyBorder="1" applyAlignment="1">
      <alignment horizontal="center" wrapText="1"/>
    </xf>
    <xf numFmtId="0" fontId="5" fillId="0" borderId="6" xfId="0" applyFont="1" applyBorder="1" applyAlignment="1">
      <alignment horizontal="center" vertical="top" wrapText="1"/>
    </xf>
    <xf numFmtId="0" fontId="5" fillId="0" borderId="9" xfId="0" applyFont="1" applyBorder="1" applyAlignment="1">
      <alignment horizontal="center" vertical="top" wrapText="1"/>
    </xf>
    <xf numFmtId="0" fontId="5" fillId="0" borderId="11" xfId="0" applyFont="1" applyBorder="1" applyAlignment="1">
      <alignment horizontal="center" vertical="top" wrapText="1"/>
    </xf>
    <xf numFmtId="0" fontId="5" fillId="0" borderId="45" xfId="0" applyFont="1" applyBorder="1" applyAlignment="1">
      <alignment horizontal="center" vertical="top" wrapText="1"/>
    </xf>
    <xf numFmtId="0" fontId="5" fillId="0" borderId="7" xfId="0" applyFont="1" applyBorder="1" applyAlignment="1">
      <alignment horizontal="center" vertical="top" wrapText="1"/>
    </xf>
    <xf numFmtId="0" fontId="5" fillId="0" borderId="10" xfId="0" applyFont="1" applyBorder="1" applyAlignment="1">
      <alignment horizontal="center" vertical="top" wrapText="1"/>
    </xf>
    <xf numFmtId="4" fontId="16" fillId="0" borderId="0" xfId="0" applyNumberFormat="1" applyFont="1" applyAlignment="1">
      <alignment horizontal="center" vertical="center" wrapText="1"/>
    </xf>
    <xf numFmtId="0" fontId="5" fillId="2" borderId="17"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0" xfId="0" applyFont="1" applyFill="1" applyAlignment="1">
      <alignment horizontal="center" vertical="center" wrapText="1"/>
    </xf>
    <xf numFmtId="4" fontId="5" fillId="2" borderId="17" xfId="0" applyNumberFormat="1" applyFont="1" applyFill="1" applyBorder="1" applyAlignment="1">
      <alignment horizontal="center" vertical="center" wrapText="1"/>
    </xf>
    <xf numFmtId="4" fontId="15" fillId="2" borderId="0" xfId="0" applyNumberFormat="1" applyFont="1" applyFill="1" applyAlignment="1">
      <alignment horizontal="center" vertical="center" wrapText="1"/>
    </xf>
    <xf numFmtId="4" fontId="15" fillId="2" borderId="16" xfId="0" applyNumberFormat="1" applyFont="1" applyFill="1" applyBorder="1" applyAlignment="1">
      <alignment horizontal="center" vertical="center" wrapText="1"/>
    </xf>
    <xf numFmtId="4" fontId="5" fillId="2" borderId="18" xfId="0" applyNumberFormat="1" applyFont="1" applyFill="1" applyBorder="1" applyAlignment="1">
      <alignment horizontal="center" vertical="center" wrapText="1"/>
    </xf>
    <xf numFmtId="164" fontId="16" fillId="0" borderId="1" xfId="0" applyNumberFormat="1" applyFont="1" applyBorder="1" applyAlignment="1">
      <alignment horizontal="center" vertical="center" wrapText="1"/>
    </xf>
    <xf numFmtId="164" fontId="16" fillId="0" borderId="3" xfId="0" applyNumberFormat="1" applyFont="1" applyBorder="1" applyAlignment="1">
      <alignment horizontal="center" vertical="center" wrapText="1"/>
    </xf>
    <xf numFmtId="0" fontId="8" fillId="0" borderId="11" xfId="0" applyFont="1" applyBorder="1" applyAlignment="1">
      <alignment horizontal="left" vertical="center" wrapText="1"/>
    </xf>
    <xf numFmtId="0" fontId="8" fillId="0" borderId="0" xfId="0" applyFont="1" applyAlignment="1">
      <alignment horizontal="left" vertical="center" wrapText="1"/>
    </xf>
    <xf numFmtId="4" fontId="8" fillId="0" borderId="0" xfId="0" applyNumberFormat="1" applyFont="1" applyAlignment="1">
      <alignment horizontal="center" vertical="center" wrapText="1"/>
    </xf>
    <xf numFmtId="4" fontId="8" fillId="0" borderId="45" xfId="0" applyNumberFormat="1" applyFont="1" applyBorder="1" applyAlignment="1">
      <alignment horizontal="center" vertical="center" wrapText="1"/>
    </xf>
    <xf numFmtId="0" fontId="5" fillId="0" borderId="6" xfId="0" applyFont="1" applyBorder="1" applyAlignment="1">
      <alignment horizontal="center" vertical="center" wrapText="1"/>
    </xf>
    <xf numFmtId="0" fontId="5" fillId="0" borderId="52" xfId="0" applyFont="1" applyBorder="1" applyAlignment="1">
      <alignment horizontal="center" vertical="center" wrapText="1"/>
    </xf>
    <xf numFmtId="0" fontId="5" fillId="0" borderId="9" xfId="0" applyFont="1" applyBorder="1" applyAlignment="1">
      <alignment horizontal="center" vertical="center" wrapText="1"/>
    </xf>
    <xf numFmtId="164" fontId="16" fillId="0" borderId="6" xfId="0" applyNumberFormat="1" applyFont="1" applyBorder="1" applyAlignment="1">
      <alignment horizontal="left" vertical="top" wrapText="1"/>
    </xf>
    <xf numFmtId="164" fontId="16" fillId="0" borderId="9" xfId="0" applyNumberFormat="1" applyFont="1" applyBorder="1" applyAlignment="1">
      <alignment horizontal="left" vertical="top" wrapText="1"/>
    </xf>
    <xf numFmtId="164" fontId="16" fillId="0" borderId="7" xfId="0" applyNumberFormat="1" applyFont="1" applyBorder="1" applyAlignment="1">
      <alignment horizontal="left" vertical="top" wrapText="1"/>
    </xf>
    <xf numFmtId="164" fontId="16" fillId="0" borderId="10" xfId="0" applyNumberFormat="1" applyFont="1" applyBorder="1" applyAlignment="1">
      <alignment horizontal="left" vertical="top" wrapText="1"/>
    </xf>
    <xf numFmtId="0" fontId="15" fillId="0" borderId="1"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4" fontId="5" fillId="0" borderId="53" xfId="0" applyNumberFormat="1" applyFont="1" applyBorder="1" applyAlignment="1" applyProtection="1">
      <alignment horizontal="center" vertical="center" wrapText="1"/>
      <protection locked="0"/>
    </xf>
    <xf numFmtId="4" fontId="5" fillId="0" borderId="53" xfId="0" applyNumberFormat="1" applyFont="1" applyBorder="1" applyAlignment="1">
      <alignment horizontal="center" vertical="center" wrapText="1"/>
    </xf>
    <xf numFmtId="164" fontId="5" fillId="0" borderId="53" xfId="0" applyNumberFormat="1" applyFont="1" applyBorder="1" applyAlignment="1">
      <alignment horizontal="center" vertical="center" wrapText="1"/>
    </xf>
    <xf numFmtId="0" fontId="5" fillId="0" borderId="53" xfId="0" applyFont="1" applyBorder="1" applyAlignment="1">
      <alignment horizontal="center" vertical="center" wrapText="1"/>
    </xf>
    <xf numFmtId="0" fontId="5" fillId="0" borderId="53" xfId="0" applyFont="1" applyBorder="1" applyAlignment="1">
      <alignment horizontal="center" wrapText="1"/>
    </xf>
    <xf numFmtId="4" fontId="5" fillId="0" borderId="53" xfId="0" applyNumberFormat="1" applyFont="1" applyBorder="1" applyAlignment="1">
      <alignment horizontal="center" wrapText="1"/>
    </xf>
    <xf numFmtId="4" fontId="5" fillId="0" borderId="53" xfId="0" applyNumberFormat="1" applyFont="1" applyBorder="1" applyAlignment="1" applyProtection="1">
      <alignment horizontal="center" wrapText="1"/>
      <protection locked="0"/>
    </xf>
    <xf numFmtId="0" fontId="5" fillId="0" borderId="55" xfId="0" applyFont="1" applyBorder="1" applyAlignment="1">
      <alignment horizontal="center" vertical="center" wrapText="1"/>
    </xf>
    <xf numFmtId="164" fontId="16" fillId="0" borderId="1" xfId="0" applyNumberFormat="1" applyFont="1" applyBorder="1" applyAlignment="1">
      <alignment horizontal="center" vertical="top" wrapText="1"/>
    </xf>
    <xf numFmtId="164" fontId="16" fillId="0" borderId="3" xfId="0" applyNumberFormat="1" applyFont="1" applyBorder="1" applyAlignment="1">
      <alignment horizontal="center" vertical="top" wrapText="1"/>
    </xf>
    <xf numFmtId="0" fontId="16" fillId="0" borderId="1" xfId="0" applyFont="1" applyBorder="1" applyAlignment="1">
      <alignment horizontal="center"/>
    </xf>
    <xf numFmtId="0" fontId="16" fillId="0" borderId="3" xfId="0" applyFont="1" applyBorder="1" applyAlignment="1">
      <alignment horizontal="center"/>
    </xf>
    <xf numFmtId="164" fontId="16" fillId="0" borderId="6" xfId="0" applyNumberFormat="1" applyFont="1" applyBorder="1" applyAlignment="1">
      <alignment horizontal="center" vertical="top" wrapText="1"/>
    </xf>
    <xf numFmtId="164" fontId="16" fillId="0" borderId="9" xfId="0" applyNumberFormat="1" applyFont="1" applyBorder="1" applyAlignment="1">
      <alignment horizontal="center" vertical="top" wrapText="1"/>
    </xf>
    <xf numFmtId="4" fontId="16" fillId="3" borderId="1" xfId="0" applyNumberFormat="1" applyFont="1" applyFill="1" applyBorder="1" applyAlignment="1">
      <alignment horizontal="center" wrapText="1"/>
    </xf>
    <xf numFmtId="4" fontId="16" fillId="3" borderId="3" xfId="0" applyNumberFormat="1" applyFont="1" applyFill="1" applyBorder="1" applyAlignment="1">
      <alignment horizontal="center" wrapText="1"/>
    </xf>
    <xf numFmtId="4" fontId="5" fillId="3" borderId="1" xfId="0" applyNumberFormat="1" applyFont="1" applyFill="1" applyBorder="1" applyAlignment="1">
      <alignment horizontal="center" wrapText="1"/>
    </xf>
    <xf numFmtId="4" fontId="5" fillId="3" borderId="3" xfId="0" applyNumberFormat="1" applyFont="1" applyFill="1" applyBorder="1" applyAlignment="1">
      <alignment horizontal="center" wrapText="1"/>
    </xf>
    <xf numFmtId="164" fontId="16" fillId="0" borderId="32" xfId="0" applyNumberFormat="1" applyFont="1" applyBorder="1" applyAlignment="1">
      <alignment horizontal="center" vertical="top" wrapText="1"/>
    </xf>
    <xf numFmtId="164" fontId="16" fillId="0" borderId="38" xfId="0" applyNumberFormat="1" applyFont="1" applyBorder="1" applyAlignment="1">
      <alignment horizontal="center" vertical="top" wrapText="1"/>
    </xf>
    <xf numFmtId="164" fontId="16" fillId="0" borderId="37" xfId="0" applyNumberFormat="1" applyFont="1" applyBorder="1" applyAlignment="1">
      <alignment horizontal="center" vertical="top" wrapText="1"/>
    </xf>
    <xf numFmtId="164" fontId="16" fillId="0" borderId="8" xfId="0" applyNumberFormat="1" applyFont="1" applyBorder="1" applyAlignment="1">
      <alignment horizontal="center" vertical="top" wrapText="1"/>
    </xf>
    <xf numFmtId="0" fontId="15" fillId="0" borderId="11" xfId="0" applyFont="1" applyBorder="1" applyAlignment="1">
      <alignment horizontal="center" vertical="center" wrapText="1"/>
    </xf>
    <xf numFmtId="0" fontId="15" fillId="0" borderId="0" xfId="0" applyFont="1" applyAlignment="1">
      <alignment horizontal="center" vertical="center" wrapText="1"/>
    </xf>
    <xf numFmtId="0" fontId="15" fillId="0" borderId="45" xfId="0" applyFont="1" applyBorder="1" applyAlignment="1">
      <alignment horizontal="center" vertical="center" wrapText="1"/>
    </xf>
    <xf numFmtId="0" fontId="15" fillId="0" borderId="12" xfId="0" applyFont="1" applyBorder="1" applyAlignment="1">
      <alignment horizontal="center" wrapText="1"/>
    </xf>
    <xf numFmtId="0" fontId="15" fillId="0" borderId="27" xfId="0" applyFont="1" applyBorder="1" applyAlignment="1">
      <alignment horizontal="center" wrapText="1"/>
    </xf>
    <xf numFmtId="4" fontId="16" fillId="0" borderId="30" xfId="0" applyNumberFormat="1" applyFont="1" applyBorder="1" applyAlignment="1">
      <alignment horizontal="center" wrapText="1"/>
    </xf>
    <xf numFmtId="4" fontId="16" fillId="0" borderId="30" xfId="0" applyNumberFormat="1" applyFont="1" applyBorder="1" applyAlignment="1">
      <alignment horizontal="center" vertical="center" wrapText="1"/>
    </xf>
    <xf numFmtId="4" fontId="16" fillId="0" borderId="1" xfId="0" applyNumberFormat="1" applyFont="1" applyBorder="1" applyAlignment="1">
      <alignment horizontal="center" vertical="top" wrapText="1"/>
    </xf>
    <xf numFmtId="4" fontId="16" fillId="0" borderId="2" xfId="0" applyNumberFormat="1" applyFont="1" applyBorder="1" applyAlignment="1">
      <alignment horizontal="center" vertical="top" wrapText="1"/>
    </xf>
    <xf numFmtId="4" fontId="16" fillId="0" borderId="3" xfId="0" applyNumberFormat="1" applyFont="1" applyBorder="1" applyAlignment="1">
      <alignment horizontal="center" vertical="top" wrapText="1"/>
    </xf>
    <xf numFmtId="0" fontId="15" fillId="0" borderId="6"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9" xfId="0" applyFont="1" applyBorder="1" applyAlignment="1">
      <alignment horizontal="center" vertical="center" wrapText="1"/>
    </xf>
    <xf numFmtId="4" fontId="16" fillId="2" borderId="32" xfId="0" applyNumberFormat="1" applyFont="1" applyFill="1" applyBorder="1" applyAlignment="1">
      <alignment horizontal="center" vertical="center" wrapText="1"/>
    </xf>
    <xf numFmtId="4" fontId="16" fillId="2" borderId="38" xfId="0" applyNumberFormat="1" applyFont="1" applyFill="1" applyBorder="1" applyAlignment="1">
      <alignment horizontal="center" vertical="center" wrapText="1"/>
    </xf>
    <xf numFmtId="4" fontId="16" fillId="2" borderId="5" xfId="0" applyNumberFormat="1" applyFont="1" applyFill="1" applyBorder="1" applyAlignment="1">
      <alignment horizontal="center" vertical="center" wrapText="1"/>
    </xf>
    <xf numFmtId="4" fontId="16" fillId="2" borderId="36" xfId="0" applyNumberFormat="1" applyFont="1" applyFill="1" applyBorder="1" applyAlignment="1">
      <alignment horizontal="center" vertical="center" wrapText="1"/>
    </xf>
    <xf numFmtId="4" fontId="5" fillId="2" borderId="9" xfId="0" applyNumberFormat="1" applyFont="1" applyFill="1" applyBorder="1" applyAlignment="1">
      <alignment horizontal="center" vertical="center" wrapText="1"/>
    </xf>
    <xf numFmtId="0" fontId="5" fillId="0" borderId="4" xfId="0" applyFont="1" applyBorder="1" applyAlignment="1">
      <alignment horizontal="center" wrapText="1"/>
    </xf>
    <xf numFmtId="4" fontId="16" fillId="0" borderId="4" xfId="0" applyNumberFormat="1" applyFont="1" applyBorder="1" applyAlignment="1">
      <alignment horizontal="center" wrapText="1"/>
    </xf>
    <xf numFmtId="4" fontId="21" fillId="0" borderId="34" xfId="0" applyNumberFormat="1" applyFont="1" applyBorder="1" applyAlignment="1">
      <alignment horizontal="center" vertical="center" wrapText="1"/>
    </xf>
    <xf numFmtId="4" fontId="21" fillId="0" borderId="23" xfId="0" applyNumberFormat="1" applyFont="1" applyBorder="1" applyAlignment="1">
      <alignment horizontal="center" vertical="center" wrapText="1"/>
    </xf>
    <xf numFmtId="0" fontId="3" fillId="0" borderId="32" xfId="0" applyFont="1" applyBorder="1" applyAlignment="1">
      <alignment horizontal="left" vertical="top" wrapText="1"/>
    </xf>
    <xf numFmtId="0" fontId="3" fillId="0" borderId="38" xfId="0" applyFont="1" applyBorder="1" applyAlignment="1">
      <alignment horizontal="left" vertical="top" wrapText="1"/>
    </xf>
    <xf numFmtId="4" fontId="16" fillId="0" borderId="39" xfId="0" applyNumberFormat="1" applyFont="1" applyBorder="1" applyAlignment="1">
      <alignment horizontal="center" wrapText="1"/>
    </xf>
    <xf numFmtId="4" fontId="16" fillId="0" borderId="44" xfId="0" applyNumberFormat="1" applyFont="1" applyBorder="1" applyAlignment="1">
      <alignment horizontal="center" wrapText="1"/>
    </xf>
    <xf numFmtId="0" fontId="5" fillId="0" borderId="54" xfId="0" applyFont="1" applyBorder="1" applyAlignment="1">
      <alignment horizontal="center" vertical="center" wrapText="1"/>
    </xf>
    <xf numFmtId="0" fontId="5" fillId="0" borderId="56" xfId="0" applyFont="1" applyBorder="1" applyAlignment="1">
      <alignment horizontal="center" vertical="center" wrapText="1"/>
    </xf>
    <xf numFmtId="0" fontId="5" fillId="0" borderId="57" xfId="0" applyFont="1" applyBorder="1" applyAlignment="1">
      <alignment horizontal="center" vertical="center" wrapText="1"/>
    </xf>
    <xf numFmtId="164" fontId="16" fillId="0" borderId="6" xfId="0" applyNumberFormat="1" applyFont="1" applyBorder="1" applyAlignment="1">
      <alignment horizontal="center" vertical="center" wrapText="1"/>
    </xf>
    <xf numFmtId="164" fontId="16" fillId="0" borderId="9" xfId="0" applyNumberFormat="1" applyFont="1" applyBorder="1" applyAlignment="1">
      <alignment horizontal="center" vertical="center" wrapText="1"/>
    </xf>
    <xf numFmtId="164" fontId="16" fillId="0" borderId="11" xfId="0" applyNumberFormat="1" applyFont="1" applyBorder="1" applyAlignment="1">
      <alignment horizontal="center" vertical="center" wrapText="1"/>
    </xf>
    <xf numFmtId="164" fontId="16" fillId="0" borderId="45" xfId="0" applyNumberFormat="1" applyFont="1" applyBorder="1" applyAlignment="1">
      <alignment horizontal="center" vertical="center" wrapText="1"/>
    </xf>
    <xf numFmtId="164" fontId="16" fillId="0" borderId="7" xfId="0" applyNumberFormat="1" applyFont="1" applyBorder="1" applyAlignment="1">
      <alignment horizontal="center" vertical="center" wrapText="1"/>
    </xf>
    <xf numFmtId="164" fontId="16" fillId="0" borderId="10" xfId="0" applyNumberFormat="1" applyFont="1" applyBorder="1" applyAlignment="1">
      <alignment horizontal="center" vertical="center" wrapText="1"/>
    </xf>
    <xf numFmtId="0" fontId="5" fillId="0" borderId="46" xfId="0" applyFont="1" applyBorder="1" applyAlignment="1">
      <alignment horizontal="center" wrapText="1"/>
    </xf>
    <xf numFmtId="0" fontId="5" fillId="0" borderId="47"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42" xfId="0" applyFont="1" applyBorder="1" applyAlignment="1">
      <alignment horizontal="center" vertical="center" wrapText="1"/>
    </xf>
    <xf numFmtId="164" fontId="16" fillId="0" borderId="33" xfId="0" applyNumberFormat="1" applyFont="1" applyBorder="1" applyAlignment="1">
      <alignment horizontal="center" vertical="top" wrapText="1"/>
    </xf>
    <xf numFmtId="0" fontId="15" fillId="0" borderId="32" xfId="0" applyFont="1" applyBorder="1" applyAlignment="1">
      <alignment horizontal="center" vertical="center" wrapText="1"/>
    </xf>
    <xf numFmtId="0" fontId="15" fillId="0" borderId="38" xfId="0" applyFont="1" applyBorder="1" applyAlignment="1">
      <alignment horizontal="center" vertical="center" wrapText="1"/>
    </xf>
    <xf numFmtId="0" fontId="15" fillId="0" borderId="33" xfId="0" applyFont="1" applyBorder="1" applyAlignment="1">
      <alignment horizontal="center" vertical="center" wrapText="1"/>
    </xf>
    <xf numFmtId="4" fontId="16" fillId="0" borderId="32" xfId="0" applyNumberFormat="1" applyFont="1" applyBorder="1" applyAlignment="1">
      <alignment horizontal="center" vertical="top" wrapText="1"/>
    </xf>
    <xf numFmtId="4" fontId="16" fillId="0" borderId="38" xfId="0" applyNumberFormat="1" applyFont="1" applyBorder="1" applyAlignment="1">
      <alignment horizontal="center" vertical="top" wrapText="1"/>
    </xf>
    <xf numFmtId="4" fontId="16" fillId="0" borderId="33" xfId="0" applyNumberFormat="1" applyFont="1" applyBorder="1" applyAlignment="1">
      <alignment horizontal="center" vertical="top" wrapText="1"/>
    </xf>
    <xf numFmtId="164" fontId="16" fillId="0" borderId="12" xfId="0" applyNumberFormat="1" applyFont="1" applyBorder="1" applyAlignment="1">
      <alignment horizontal="center" vertical="top" wrapText="1"/>
    </xf>
    <xf numFmtId="164" fontId="16" fillId="0" borderId="27" xfId="0" applyNumberFormat="1" applyFont="1" applyBorder="1" applyAlignment="1">
      <alignment horizontal="center" vertical="top" wrapText="1"/>
    </xf>
    <xf numFmtId="164" fontId="16" fillId="0" borderId="30" xfId="0" applyNumberFormat="1" applyFont="1" applyBorder="1" applyAlignment="1">
      <alignment horizontal="center" vertical="top" wrapText="1"/>
    </xf>
    <xf numFmtId="0" fontId="5" fillId="0" borderId="24" xfId="0" applyFont="1" applyBorder="1" applyAlignment="1">
      <alignment horizontal="center" vertical="center" wrapText="1"/>
    </xf>
    <xf numFmtId="0" fontId="5" fillId="0" borderId="5" xfId="0" applyFont="1" applyBorder="1" applyAlignment="1">
      <alignment horizontal="center" vertical="center" wrapText="1"/>
    </xf>
    <xf numFmtId="164" fontId="16" fillId="0" borderId="52" xfId="0" applyNumberFormat="1" applyFont="1" applyBorder="1" applyAlignment="1">
      <alignment horizontal="center" vertical="top" wrapText="1"/>
    </xf>
    <xf numFmtId="164" fontId="16" fillId="0" borderId="0" xfId="0" applyNumberFormat="1" applyFont="1" applyAlignment="1">
      <alignment horizontal="center" vertical="top" wrapText="1"/>
    </xf>
    <xf numFmtId="164" fontId="16" fillId="0" borderId="34" xfId="0" applyNumberFormat="1" applyFont="1" applyBorder="1" applyAlignment="1">
      <alignment horizontal="center" vertical="top" wrapText="1"/>
    </xf>
    <xf numFmtId="0" fontId="5" fillId="0" borderId="24" xfId="0" applyFont="1" applyBorder="1" applyAlignment="1">
      <alignment horizontal="center" wrapText="1"/>
    </xf>
    <xf numFmtId="0" fontId="5" fillId="0" borderId="34" xfId="0" applyFont="1" applyBorder="1" applyAlignment="1">
      <alignment horizontal="center" wrapText="1"/>
    </xf>
    <xf numFmtId="0" fontId="5" fillId="0" borderId="23" xfId="0" applyFont="1" applyBorder="1" applyAlignment="1">
      <alignment horizontal="center" wrapText="1"/>
    </xf>
    <xf numFmtId="164" fontId="16" fillId="0" borderId="4" xfId="0" applyNumberFormat="1" applyFont="1" applyBorder="1" applyAlignment="1">
      <alignment horizontal="center" vertical="top" wrapText="1"/>
    </xf>
    <xf numFmtId="0" fontId="15" fillId="0" borderId="4" xfId="0" applyFont="1" applyBorder="1" applyAlignment="1">
      <alignment horizont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164" fontId="16" fillId="0" borderId="11" xfId="0" applyNumberFormat="1" applyFont="1" applyBorder="1" applyAlignment="1">
      <alignment horizontal="center" vertical="top" wrapText="1"/>
    </xf>
    <xf numFmtId="164" fontId="16" fillId="0" borderId="45" xfId="0" applyNumberFormat="1" applyFont="1" applyBorder="1" applyAlignment="1">
      <alignment horizontal="center" vertical="top" wrapText="1"/>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18" xfId="0" applyFont="1" applyBorder="1" applyAlignment="1">
      <alignment horizontal="center" vertical="center" wrapText="1"/>
    </xf>
    <xf numFmtId="4" fontId="16" fillId="0" borderId="19" xfId="0" applyNumberFormat="1" applyFont="1" applyBorder="1" applyAlignment="1">
      <alignment horizontal="center" vertical="top" wrapText="1"/>
    </xf>
    <xf numFmtId="4" fontId="16" fillId="0" borderId="18" xfId="0" applyNumberFormat="1" applyFont="1" applyBorder="1" applyAlignment="1">
      <alignment horizontal="center" vertical="top" wrapText="1"/>
    </xf>
    <xf numFmtId="0" fontId="15" fillId="0" borderId="51" xfId="0" applyFont="1" applyBorder="1" applyAlignment="1">
      <alignment horizontal="center" vertical="center" wrapText="1"/>
    </xf>
    <xf numFmtId="4" fontId="16" fillId="0" borderId="17" xfId="0" applyNumberFormat="1" applyFont="1" applyBorder="1" applyAlignment="1">
      <alignment horizontal="center" vertical="top" wrapText="1"/>
    </xf>
    <xf numFmtId="4" fontId="16" fillId="0" borderId="0" xfId="0" applyNumberFormat="1" applyFont="1" applyAlignment="1">
      <alignment horizontal="center" vertical="top" wrapText="1"/>
    </xf>
    <xf numFmtId="4" fontId="16" fillId="0" borderId="16" xfId="0" applyNumberFormat="1" applyFont="1" applyBorder="1" applyAlignment="1">
      <alignment horizontal="center" vertical="top"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3" xfId="0" applyFont="1" applyBorder="1" applyAlignment="1">
      <alignment horizontal="left" vertical="top"/>
    </xf>
    <xf numFmtId="0" fontId="8" fillId="0" borderId="0" xfId="0" applyFont="1" applyAlignment="1">
      <alignment horizontal="left" vertical="top"/>
    </xf>
    <xf numFmtId="0" fontId="5" fillId="2" borderId="6" xfId="0" applyFont="1" applyFill="1" applyBorder="1" applyAlignment="1">
      <alignment horizontal="center" vertical="center" wrapText="1"/>
    </xf>
  </cellXfs>
  <cellStyles count="8">
    <cellStyle name="merge" xfId="6" xr:uid="{00000000-0005-0000-0000-000000000000}"/>
    <cellStyle name="merge 7" xfId="7" xr:uid="{00000000-0005-0000-0000-000001000000}"/>
    <cellStyle name="Normal" xfId="0" builtinId="0"/>
    <cellStyle name="Normal 13" xfId="1" xr:uid="{00000000-0005-0000-0000-000003000000}"/>
    <cellStyle name="Normal 2" xfId="2" xr:uid="{00000000-0005-0000-0000-000004000000}"/>
    <cellStyle name="Normal 2 2" xfId="5" xr:uid="{00000000-0005-0000-0000-000005000000}"/>
    <cellStyle name="Normal 5" xfId="4" xr:uid="{00000000-0005-0000-0000-000006000000}"/>
    <cellStyle name="Obično 2" xfId="3" xr:uid="{00000000-0005-0000-0000-000007000000}"/>
  </cellStyles>
  <dxfs count="0"/>
  <tableStyles count="0" defaultTableStyle="TableStyleMedium9"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214"/>
  <sheetViews>
    <sheetView tabSelected="1" topLeftCell="B103" zoomScale="160" zoomScaleNormal="160" workbookViewId="0">
      <selection activeCell="I106" sqref="I106:K106"/>
    </sheetView>
  </sheetViews>
  <sheetFormatPr defaultColWidth="9.33203125" defaultRowHeight="12.75" x14ac:dyDescent="0.2"/>
  <cols>
    <col min="2" max="2" width="4.6640625" style="39" customWidth="1"/>
    <col min="3" max="3" width="1.1640625" style="39" customWidth="1"/>
    <col min="4" max="4" width="56" style="29" customWidth="1"/>
    <col min="5" max="5" width="1.1640625" style="11" customWidth="1"/>
    <col min="6" max="6" width="5.83203125" style="11" customWidth="1"/>
    <col min="7" max="7" width="1.1640625" style="16" customWidth="1"/>
    <col min="8" max="8" width="10.5" style="16" customWidth="1"/>
    <col min="9" max="9" width="5.83203125" style="9" customWidth="1"/>
    <col min="10" max="10" width="4.6640625" style="9" customWidth="1"/>
    <col min="11" max="11" width="1.1640625" style="9" customWidth="1"/>
    <col min="12" max="12" width="15.1640625" style="9" customWidth="1"/>
    <col min="13" max="13" width="1.1640625" style="9" customWidth="1"/>
    <col min="14" max="14" width="4.6640625" style="39" customWidth="1"/>
    <col min="16" max="16" width="11.6640625" bestFit="1" customWidth="1"/>
  </cols>
  <sheetData>
    <row r="1" spans="2:20" ht="14.1" customHeight="1" x14ac:dyDescent="0.2">
      <c r="B1" s="1"/>
      <c r="N1"/>
    </row>
    <row r="2" spans="2:20" ht="45.75" customHeight="1" x14ac:dyDescent="0.2">
      <c r="B2" s="522" t="s">
        <v>156</v>
      </c>
      <c r="C2" s="523"/>
      <c r="D2" s="523"/>
      <c r="E2" s="523"/>
      <c r="F2" s="523"/>
      <c r="G2" s="523"/>
      <c r="H2" s="523"/>
      <c r="I2" s="523"/>
      <c r="J2" s="523"/>
      <c r="K2" s="523"/>
      <c r="L2" s="523"/>
      <c r="M2" s="524"/>
      <c r="N2"/>
    </row>
    <row r="3" spans="2:20" ht="24" customHeight="1" x14ac:dyDescent="0.2">
      <c r="B3" s="525" t="s">
        <v>108</v>
      </c>
      <c r="C3" s="526"/>
      <c r="D3" s="526"/>
      <c r="E3" s="526"/>
      <c r="F3" s="526"/>
      <c r="G3" s="526"/>
      <c r="H3" s="526"/>
      <c r="I3" s="526"/>
      <c r="J3" s="526"/>
      <c r="K3" s="526"/>
      <c r="L3" s="526"/>
      <c r="M3" s="527"/>
      <c r="N3"/>
    </row>
    <row r="4" spans="2:20" ht="15" customHeight="1" x14ac:dyDescent="0.2">
      <c r="B4" s="528" t="s">
        <v>19</v>
      </c>
      <c r="C4" s="529"/>
      <c r="D4" s="529"/>
      <c r="E4" s="529"/>
      <c r="F4" s="529"/>
      <c r="G4" s="529"/>
      <c r="H4" s="529"/>
      <c r="I4" s="529"/>
      <c r="J4" s="529"/>
      <c r="K4" s="529"/>
      <c r="L4" s="529"/>
      <c r="M4" s="530"/>
      <c r="N4"/>
    </row>
    <row r="5" spans="2:20" ht="15.75" customHeight="1" x14ac:dyDescent="0.2">
      <c r="B5" s="531" t="s">
        <v>0</v>
      </c>
      <c r="C5" s="531"/>
      <c r="D5" s="531"/>
      <c r="E5" s="531"/>
      <c r="F5" s="531"/>
      <c r="G5" s="531"/>
      <c r="H5" s="531"/>
      <c r="I5" s="531"/>
      <c r="J5" s="531"/>
      <c r="K5" s="531"/>
      <c r="L5" s="531"/>
      <c r="M5" s="531"/>
      <c r="N5"/>
    </row>
    <row r="6" spans="2:20" ht="25.5" customHeight="1" x14ac:dyDescent="0.2">
      <c r="B6" s="532" t="s">
        <v>1</v>
      </c>
      <c r="C6" s="380"/>
      <c r="D6" s="14" t="s">
        <v>2</v>
      </c>
      <c r="E6" s="378" t="s">
        <v>3</v>
      </c>
      <c r="F6" s="379"/>
      <c r="G6" s="380"/>
      <c r="H6" s="17" t="s">
        <v>4</v>
      </c>
      <c r="I6" s="381" t="s">
        <v>230</v>
      </c>
      <c r="J6" s="382"/>
      <c r="K6" s="383"/>
      <c r="L6" s="381" t="s">
        <v>231</v>
      </c>
      <c r="M6" s="467"/>
      <c r="N6"/>
    </row>
    <row r="7" spans="2:20" ht="106.5" customHeight="1" x14ac:dyDescent="0.2">
      <c r="B7" s="108"/>
      <c r="C7" s="109"/>
      <c r="D7" s="58" t="s">
        <v>54</v>
      </c>
      <c r="E7" s="262"/>
      <c r="F7" s="509"/>
      <c r="G7" s="509"/>
      <c r="H7" s="509"/>
      <c r="I7" s="509"/>
      <c r="J7" s="509"/>
      <c r="K7" s="509"/>
      <c r="L7" s="509"/>
      <c r="M7" s="510"/>
      <c r="N7"/>
      <c r="Q7" s="49"/>
      <c r="R7" s="49"/>
      <c r="S7" s="49"/>
      <c r="T7" s="49"/>
    </row>
    <row r="8" spans="2:20" ht="126" customHeight="1" x14ac:dyDescent="0.2">
      <c r="B8" s="440" t="s">
        <v>41</v>
      </c>
      <c r="C8" s="441"/>
      <c r="D8" s="67" t="s">
        <v>147</v>
      </c>
      <c r="E8" s="262"/>
      <c r="F8" s="509"/>
      <c r="G8" s="509"/>
      <c r="H8" s="509"/>
      <c r="I8" s="509"/>
      <c r="J8" s="509"/>
      <c r="K8" s="509"/>
      <c r="L8" s="509"/>
      <c r="M8" s="510"/>
      <c r="N8"/>
      <c r="Q8" s="49"/>
      <c r="R8" s="49"/>
      <c r="S8" s="49"/>
      <c r="T8" s="49"/>
    </row>
    <row r="9" spans="2:20" ht="12" customHeight="1" x14ac:dyDescent="0.2">
      <c r="B9" s="511"/>
      <c r="C9" s="512"/>
      <c r="D9" s="50" t="s">
        <v>68</v>
      </c>
      <c r="E9" s="513" t="s">
        <v>5</v>
      </c>
      <c r="F9" s="514"/>
      <c r="G9" s="515"/>
      <c r="H9" s="55">
        <v>2450</v>
      </c>
      <c r="I9" s="516">
        <v>13</v>
      </c>
      <c r="J9" s="458"/>
      <c r="K9" s="517"/>
      <c r="L9" s="516">
        <f t="shared" ref="L9:L14" si="0">I9*H9</f>
        <v>31850</v>
      </c>
      <c r="M9" s="459"/>
      <c r="N9"/>
    </row>
    <row r="10" spans="2:20" ht="12" customHeight="1" x14ac:dyDescent="0.2">
      <c r="B10" s="226"/>
      <c r="C10" s="227"/>
      <c r="D10" s="68" t="s">
        <v>67</v>
      </c>
      <c r="E10" s="460" t="s">
        <v>5</v>
      </c>
      <c r="F10" s="518"/>
      <c r="G10" s="462"/>
      <c r="H10" s="69">
        <v>2450</v>
      </c>
      <c r="I10" s="519">
        <v>10</v>
      </c>
      <c r="J10" s="520"/>
      <c r="K10" s="521"/>
      <c r="L10" s="519">
        <f t="shared" si="0"/>
        <v>24500</v>
      </c>
      <c r="M10" s="521"/>
      <c r="N10"/>
    </row>
    <row r="11" spans="2:20" ht="117" customHeight="1" x14ac:dyDescent="0.2">
      <c r="B11" s="507" t="s">
        <v>51</v>
      </c>
      <c r="C11" s="507"/>
      <c r="D11" s="50" t="s">
        <v>74</v>
      </c>
      <c r="E11" s="508" t="s">
        <v>5</v>
      </c>
      <c r="F11" s="508"/>
      <c r="G11" s="508"/>
      <c r="H11" s="104">
        <v>75</v>
      </c>
      <c r="I11" s="469">
        <v>55</v>
      </c>
      <c r="J11" s="469"/>
      <c r="K11" s="469"/>
      <c r="L11" s="469">
        <f t="shared" si="0"/>
        <v>4125</v>
      </c>
      <c r="M11" s="469"/>
      <c r="N11"/>
    </row>
    <row r="12" spans="2:20" ht="53.25" customHeight="1" x14ac:dyDescent="0.2">
      <c r="B12" s="507" t="s">
        <v>61</v>
      </c>
      <c r="C12" s="507"/>
      <c r="D12" s="50" t="s">
        <v>76</v>
      </c>
      <c r="E12" s="468" t="s">
        <v>8</v>
      </c>
      <c r="F12" s="508"/>
      <c r="G12" s="508"/>
      <c r="H12" s="104">
        <v>250</v>
      </c>
      <c r="I12" s="469">
        <v>17</v>
      </c>
      <c r="J12" s="469"/>
      <c r="K12" s="469"/>
      <c r="L12" s="469">
        <f t="shared" si="0"/>
        <v>4250</v>
      </c>
      <c r="M12" s="469"/>
      <c r="N12"/>
    </row>
    <row r="13" spans="2:20" ht="71.25" customHeight="1" x14ac:dyDescent="0.2">
      <c r="B13" s="436" t="s">
        <v>62</v>
      </c>
      <c r="C13" s="437"/>
      <c r="D13" s="51" t="s">
        <v>64</v>
      </c>
      <c r="E13" s="243" t="s">
        <v>65</v>
      </c>
      <c r="F13" s="244"/>
      <c r="G13" s="245"/>
      <c r="H13" s="104">
        <v>1</v>
      </c>
      <c r="I13" s="246">
        <v>9000</v>
      </c>
      <c r="J13" s="247"/>
      <c r="K13" s="248"/>
      <c r="L13" s="246">
        <f t="shared" si="0"/>
        <v>9000</v>
      </c>
      <c r="M13" s="248"/>
      <c r="N13"/>
    </row>
    <row r="14" spans="2:20" ht="50.25" customHeight="1" x14ac:dyDescent="0.2">
      <c r="B14" s="295" t="s">
        <v>63</v>
      </c>
      <c r="C14" s="296"/>
      <c r="D14" s="62" t="s">
        <v>52</v>
      </c>
      <c r="E14" s="504" t="s">
        <v>7</v>
      </c>
      <c r="F14" s="505"/>
      <c r="G14" s="506"/>
      <c r="H14" s="63">
        <v>1</v>
      </c>
      <c r="I14" s="189">
        <v>50</v>
      </c>
      <c r="J14" s="190"/>
      <c r="K14" s="191"/>
      <c r="L14" s="189">
        <f t="shared" si="0"/>
        <v>50</v>
      </c>
      <c r="M14" s="191"/>
      <c r="N14"/>
    </row>
    <row r="15" spans="2:20" ht="18.75" customHeight="1" x14ac:dyDescent="0.2">
      <c r="B15" s="279" t="s">
        <v>20</v>
      </c>
      <c r="C15" s="280"/>
      <c r="D15" s="323"/>
      <c r="E15" s="323"/>
      <c r="F15" s="323"/>
      <c r="G15" s="323"/>
      <c r="H15" s="323"/>
      <c r="I15" s="323"/>
      <c r="J15" s="323"/>
      <c r="K15" s="323"/>
      <c r="L15" s="324">
        <f>SUM(L9:M14)</f>
        <v>73775</v>
      </c>
      <c r="M15" s="325"/>
      <c r="N15"/>
    </row>
    <row r="16" spans="2:20" ht="18" customHeight="1" x14ac:dyDescent="0.2">
      <c r="B16" s="8" t="s">
        <v>21</v>
      </c>
      <c r="C16" s="7"/>
      <c r="D16" s="32"/>
      <c r="E16" s="12"/>
      <c r="F16" s="12"/>
      <c r="G16" s="18"/>
      <c r="H16" s="18"/>
      <c r="I16" s="10"/>
      <c r="J16" s="10"/>
      <c r="K16" s="10"/>
      <c r="L16" s="10"/>
      <c r="M16" s="10"/>
      <c r="N16"/>
    </row>
    <row r="17" spans="2:19" ht="24" customHeight="1" x14ac:dyDescent="0.2">
      <c r="B17" s="254" t="s">
        <v>1</v>
      </c>
      <c r="C17" s="255"/>
      <c r="D17" s="6" t="s">
        <v>2</v>
      </c>
      <c r="E17" s="256" t="s">
        <v>3</v>
      </c>
      <c r="F17" s="257"/>
      <c r="G17" s="255"/>
      <c r="H17" s="19" t="s">
        <v>4</v>
      </c>
      <c r="I17" s="258" t="s">
        <v>230</v>
      </c>
      <c r="J17" s="291"/>
      <c r="K17" s="292"/>
      <c r="L17" s="258" t="s">
        <v>231</v>
      </c>
      <c r="M17" s="261"/>
      <c r="N17"/>
    </row>
    <row r="18" spans="2:19" ht="127.5" customHeight="1" x14ac:dyDescent="0.2">
      <c r="B18" s="336"/>
      <c r="C18" s="337"/>
      <c r="D18" s="59" t="s">
        <v>44</v>
      </c>
      <c r="E18" s="416"/>
      <c r="F18" s="500"/>
      <c r="G18" s="500"/>
      <c r="H18" s="500"/>
      <c r="I18" s="500"/>
      <c r="J18" s="500"/>
      <c r="K18" s="500"/>
      <c r="L18" s="500"/>
      <c r="M18" s="418"/>
      <c r="N18"/>
    </row>
    <row r="19" spans="2:19" ht="253.5" customHeight="1" x14ac:dyDescent="0.2">
      <c r="B19" s="336"/>
      <c r="C19" s="337"/>
      <c r="D19" s="33" t="s">
        <v>66</v>
      </c>
      <c r="E19" s="149"/>
      <c r="F19" s="150"/>
      <c r="G19" s="150"/>
      <c r="H19" s="150"/>
      <c r="I19" s="150"/>
      <c r="J19" s="150"/>
      <c r="K19" s="150"/>
      <c r="L19" s="150"/>
      <c r="M19" s="151"/>
      <c r="N19"/>
    </row>
    <row r="20" spans="2:19" ht="57" customHeight="1" x14ac:dyDescent="0.2">
      <c r="B20" s="200" t="s">
        <v>22</v>
      </c>
      <c r="C20" s="501"/>
      <c r="D20" s="30" t="s">
        <v>73</v>
      </c>
      <c r="E20" s="234"/>
      <c r="F20" s="235"/>
      <c r="G20" s="235"/>
      <c r="H20" s="235"/>
      <c r="I20" s="235"/>
      <c r="J20" s="235"/>
      <c r="K20" s="235"/>
      <c r="L20" s="235"/>
      <c r="M20" s="236"/>
      <c r="N20"/>
    </row>
    <row r="21" spans="2:19" ht="12.95" customHeight="1" x14ac:dyDescent="0.2">
      <c r="B21" s="273"/>
      <c r="C21" s="502"/>
      <c r="D21" s="30" t="s">
        <v>105</v>
      </c>
      <c r="E21" s="300" t="s">
        <v>7</v>
      </c>
      <c r="F21" s="301"/>
      <c r="G21" s="302"/>
      <c r="H21" s="25">
        <v>37</v>
      </c>
      <c r="I21" s="276">
        <v>105</v>
      </c>
      <c r="J21" s="277"/>
      <c r="K21" s="278"/>
      <c r="L21" s="276">
        <f t="shared" ref="L21:L29" si="1">I21*H21</f>
        <v>3885</v>
      </c>
      <c r="M21" s="278"/>
    </row>
    <row r="22" spans="2:19" ht="12.95" customHeight="1" x14ac:dyDescent="0.2">
      <c r="B22" s="273"/>
      <c r="C22" s="502"/>
      <c r="D22" s="34" t="s">
        <v>106</v>
      </c>
      <c r="E22" s="300" t="s">
        <v>7</v>
      </c>
      <c r="F22" s="301"/>
      <c r="G22" s="302"/>
      <c r="H22" s="25">
        <v>3</v>
      </c>
      <c r="I22" s="276">
        <v>50</v>
      </c>
      <c r="J22" s="277"/>
      <c r="K22" s="278"/>
      <c r="L22" s="276">
        <f t="shared" si="1"/>
        <v>150</v>
      </c>
      <c r="M22" s="278"/>
    </row>
    <row r="23" spans="2:19" ht="12.95" customHeight="1" x14ac:dyDescent="0.2">
      <c r="B23" s="273"/>
      <c r="C23" s="502"/>
      <c r="D23" s="35" t="s">
        <v>107</v>
      </c>
      <c r="E23" s="300" t="s">
        <v>7</v>
      </c>
      <c r="F23" s="301"/>
      <c r="G23" s="302"/>
      <c r="H23" s="25">
        <v>3</v>
      </c>
      <c r="I23" s="276">
        <v>80</v>
      </c>
      <c r="J23" s="277"/>
      <c r="K23" s="278"/>
      <c r="L23" s="276">
        <f t="shared" si="1"/>
        <v>240</v>
      </c>
      <c r="M23" s="278"/>
    </row>
    <row r="24" spans="2:19" ht="12.95" customHeight="1" x14ac:dyDescent="0.2">
      <c r="B24" s="273"/>
      <c r="C24" s="502"/>
      <c r="D24" s="70" t="s">
        <v>148</v>
      </c>
      <c r="E24" s="300" t="s">
        <v>7</v>
      </c>
      <c r="F24" s="301"/>
      <c r="G24" s="302"/>
      <c r="H24" s="25">
        <v>7</v>
      </c>
      <c r="I24" s="276">
        <v>80</v>
      </c>
      <c r="J24" s="277"/>
      <c r="K24" s="278"/>
      <c r="L24" s="276">
        <f t="shared" si="1"/>
        <v>560</v>
      </c>
      <c r="M24" s="278"/>
    </row>
    <row r="25" spans="2:19" ht="12.95" customHeight="1" x14ac:dyDescent="0.2">
      <c r="B25" s="273"/>
      <c r="C25" s="502"/>
      <c r="D25" s="70" t="s">
        <v>149</v>
      </c>
      <c r="E25" s="300" t="s">
        <v>7</v>
      </c>
      <c r="F25" s="301"/>
      <c r="G25" s="302"/>
      <c r="H25" s="25">
        <v>7</v>
      </c>
      <c r="I25" s="276">
        <v>80</v>
      </c>
      <c r="J25" s="277"/>
      <c r="K25" s="278"/>
      <c r="L25" s="276">
        <f t="shared" si="1"/>
        <v>560</v>
      </c>
      <c r="M25" s="278"/>
    </row>
    <row r="26" spans="2:19" ht="12.95" customHeight="1" x14ac:dyDescent="0.2">
      <c r="B26" s="273"/>
      <c r="C26" s="502"/>
      <c r="D26" s="70" t="s">
        <v>150</v>
      </c>
      <c r="E26" s="300" t="s">
        <v>7</v>
      </c>
      <c r="F26" s="301"/>
      <c r="G26" s="302"/>
      <c r="H26" s="25">
        <v>34</v>
      </c>
      <c r="I26" s="276">
        <v>80</v>
      </c>
      <c r="J26" s="277"/>
      <c r="K26" s="278"/>
      <c r="L26" s="276">
        <f t="shared" si="1"/>
        <v>2720</v>
      </c>
      <c r="M26" s="278"/>
    </row>
    <row r="27" spans="2:19" ht="15" customHeight="1" x14ac:dyDescent="0.2">
      <c r="B27" s="273"/>
      <c r="C27" s="502"/>
      <c r="D27" s="70" t="s">
        <v>94</v>
      </c>
      <c r="E27" s="300" t="s">
        <v>38</v>
      </c>
      <c r="F27" s="301"/>
      <c r="G27" s="302"/>
      <c r="H27" s="25">
        <v>112</v>
      </c>
      <c r="I27" s="289">
        <v>18</v>
      </c>
      <c r="J27" s="303"/>
      <c r="K27" s="290"/>
      <c r="L27" s="289">
        <f t="shared" si="1"/>
        <v>2016</v>
      </c>
      <c r="M27" s="290"/>
    </row>
    <row r="28" spans="2:19" ht="25.5" customHeight="1" x14ac:dyDescent="0.2">
      <c r="B28" s="273"/>
      <c r="C28" s="502"/>
      <c r="D28" s="52" t="s">
        <v>113</v>
      </c>
      <c r="E28" s="300" t="s">
        <v>38</v>
      </c>
      <c r="F28" s="301"/>
      <c r="G28" s="302"/>
      <c r="H28" s="25">
        <v>330</v>
      </c>
      <c r="I28" s="289">
        <v>18</v>
      </c>
      <c r="J28" s="303"/>
      <c r="K28" s="290"/>
      <c r="L28" s="289">
        <f t="shared" si="1"/>
        <v>5940</v>
      </c>
      <c r="M28" s="290"/>
    </row>
    <row r="29" spans="2:19" ht="21.75" customHeight="1" x14ac:dyDescent="0.2">
      <c r="B29" s="202"/>
      <c r="C29" s="503"/>
      <c r="D29" s="78" t="s">
        <v>250</v>
      </c>
      <c r="E29" s="243" t="s">
        <v>65</v>
      </c>
      <c r="F29" s="244"/>
      <c r="G29" s="245"/>
      <c r="H29" s="111">
        <v>1</v>
      </c>
      <c r="I29" s="210">
        <v>5000</v>
      </c>
      <c r="J29" s="211"/>
      <c r="K29" s="212"/>
      <c r="L29" s="210">
        <f t="shared" si="1"/>
        <v>5000</v>
      </c>
      <c r="M29" s="212"/>
      <c r="O29" s="75"/>
      <c r="Q29" s="75"/>
    </row>
    <row r="30" spans="2:19" ht="81.75" customHeight="1" x14ac:dyDescent="0.2">
      <c r="B30" s="446" t="s">
        <v>46</v>
      </c>
      <c r="C30" s="489"/>
      <c r="D30" s="79" t="s">
        <v>88</v>
      </c>
      <c r="E30" s="499"/>
      <c r="F30" s="338"/>
      <c r="G30" s="338"/>
      <c r="H30" s="301"/>
      <c r="I30" s="301"/>
      <c r="J30" s="301"/>
      <c r="K30" s="301"/>
      <c r="L30" s="301"/>
      <c r="M30" s="302"/>
      <c r="O30" s="80"/>
      <c r="Q30" s="80"/>
      <c r="R30" s="80"/>
      <c r="S30" s="80"/>
    </row>
    <row r="31" spans="2:19" ht="12.95" customHeight="1" x14ac:dyDescent="0.2">
      <c r="B31" s="273"/>
      <c r="C31" s="274"/>
      <c r="D31" s="35" t="s">
        <v>67</v>
      </c>
      <c r="E31" s="300" t="s">
        <v>8</v>
      </c>
      <c r="F31" s="301"/>
      <c r="G31" s="302"/>
      <c r="H31" s="25">
        <v>400</v>
      </c>
      <c r="I31" s="289">
        <v>17</v>
      </c>
      <c r="J31" s="303"/>
      <c r="K31" s="290"/>
      <c r="L31" s="289">
        <f>I31*H31</f>
        <v>6800</v>
      </c>
      <c r="M31" s="290"/>
      <c r="N31"/>
    </row>
    <row r="32" spans="2:19" ht="12.95" customHeight="1" x14ac:dyDescent="0.2">
      <c r="B32" s="202"/>
      <c r="C32" s="203"/>
      <c r="D32" s="35" t="s">
        <v>68</v>
      </c>
      <c r="E32" s="300" t="s">
        <v>8</v>
      </c>
      <c r="F32" s="301"/>
      <c r="G32" s="302"/>
      <c r="H32" s="25">
        <v>400</v>
      </c>
      <c r="I32" s="289">
        <v>47</v>
      </c>
      <c r="J32" s="303"/>
      <c r="K32" s="290"/>
      <c r="L32" s="289">
        <f>I32*H32</f>
        <v>18800</v>
      </c>
      <c r="M32" s="290"/>
      <c r="N32"/>
    </row>
    <row r="33" spans="2:17" ht="125.25" customHeight="1" x14ac:dyDescent="0.2">
      <c r="B33" s="496" t="s">
        <v>23</v>
      </c>
      <c r="C33" s="498"/>
      <c r="D33" s="50" t="s">
        <v>240</v>
      </c>
      <c r="E33" s="207" t="s">
        <v>7</v>
      </c>
      <c r="F33" s="208"/>
      <c r="G33" s="209"/>
      <c r="H33" s="27">
        <v>21</v>
      </c>
      <c r="I33" s="210">
        <v>410</v>
      </c>
      <c r="J33" s="211"/>
      <c r="K33" s="212"/>
      <c r="L33" s="210">
        <f>I33*H33</f>
        <v>8610</v>
      </c>
      <c r="M33" s="212"/>
      <c r="N33"/>
      <c r="O33" s="77"/>
      <c r="Q33" s="77"/>
    </row>
    <row r="34" spans="2:17" ht="53.1" customHeight="1" x14ac:dyDescent="0.2">
      <c r="B34" s="446" t="s">
        <v>24</v>
      </c>
      <c r="C34" s="489"/>
      <c r="D34" s="30" t="s">
        <v>95</v>
      </c>
      <c r="E34" s="204"/>
      <c r="F34" s="205"/>
      <c r="G34" s="205"/>
      <c r="H34" s="205"/>
      <c r="I34" s="205"/>
      <c r="J34" s="205"/>
      <c r="K34" s="205"/>
      <c r="L34" s="205"/>
      <c r="M34" s="206"/>
      <c r="N34"/>
    </row>
    <row r="35" spans="2:17" ht="15" customHeight="1" x14ac:dyDescent="0.2">
      <c r="B35" s="202"/>
      <c r="C35" s="203"/>
      <c r="D35" s="34"/>
      <c r="E35" s="300" t="s">
        <v>8</v>
      </c>
      <c r="F35" s="301"/>
      <c r="G35" s="302"/>
      <c r="H35" s="25">
        <v>130</v>
      </c>
      <c r="I35" s="289">
        <v>18</v>
      </c>
      <c r="J35" s="303"/>
      <c r="K35" s="290"/>
      <c r="L35" s="289">
        <f>I35*H35</f>
        <v>2340</v>
      </c>
      <c r="M35" s="290"/>
      <c r="N35"/>
    </row>
    <row r="36" spans="2:17" ht="51" customHeight="1" x14ac:dyDescent="0.2">
      <c r="B36" s="496" t="s">
        <v>25</v>
      </c>
      <c r="C36" s="497"/>
      <c r="D36" s="30" t="s">
        <v>87</v>
      </c>
      <c r="E36" s="207" t="s">
        <v>8</v>
      </c>
      <c r="F36" s="208"/>
      <c r="G36" s="209"/>
      <c r="H36" s="27">
        <v>130</v>
      </c>
      <c r="I36" s="210">
        <v>18</v>
      </c>
      <c r="J36" s="211"/>
      <c r="K36" s="212"/>
      <c r="L36" s="210">
        <f>I36*H36</f>
        <v>2340</v>
      </c>
      <c r="M36" s="212"/>
      <c r="N36"/>
    </row>
    <row r="37" spans="2:17" ht="51" customHeight="1" x14ac:dyDescent="0.2">
      <c r="B37" s="436" t="s">
        <v>56</v>
      </c>
      <c r="C37" s="437"/>
      <c r="D37" s="73" t="s">
        <v>198</v>
      </c>
      <c r="E37" s="243" t="s">
        <v>10</v>
      </c>
      <c r="F37" s="244"/>
      <c r="G37" s="245"/>
      <c r="H37" s="104">
        <v>744</v>
      </c>
      <c r="I37" s="247">
        <v>18</v>
      </c>
      <c r="J37" s="247"/>
      <c r="K37" s="247"/>
      <c r="L37" s="475">
        <f t="shared" ref="L37:L40" si="2">I37*H37</f>
        <v>13392</v>
      </c>
      <c r="M37" s="250"/>
      <c r="N37"/>
    </row>
    <row r="38" spans="2:17" ht="51" customHeight="1" x14ac:dyDescent="0.2">
      <c r="B38" s="436" t="s">
        <v>174</v>
      </c>
      <c r="C38" s="437"/>
      <c r="D38" s="73" t="s">
        <v>200</v>
      </c>
      <c r="E38" s="243" t="s">
        <v>38</v>
      </c>
      <c r="F38" s="244"/>
      <c r="G38" s="245"/>
      <c r="H38" s="104">
        <v>58</v>
      </c>
      <c r="I38" s="247">
        <v>20</v>
      </c>
      <c r="J38" s="247"/>
      <c r="K38" s="247"/>
      <c r="L38" s="475">
        <f t="shared" si="2"/>
        <v>1160</v>
      </c>
      <c r="M38" s="250"/>
      <c r="N38"/>
    </row>
    <row r="39" spans="2:17" ht="51" customHeight="1" x14ac:dyDescent="0.2">
      <c r="B39" s="436" t="s">
        <v>199</v>
      </c>
      <c r="C39" s="437"/>
      <c r="D39" s="73" t="s">
        <v>202</v>
      </c>
      <c r="E39" s="243" t="s">
        <v>10</v>
      </c>
      <c r="F39" s="244"/>
      <c r="G39" s="245"/>
      <c r="H39" s="104">
        <v>744</v>
      </c>
      <c r="I39" s="247">
        <v>10</v>
      </c>
      <c r="J39" s="247"/>
      <c r="K39" s="247"/>
      <c r="L39" s="475">
        <f t="shared" si="2"/>
        <v>7440</v>
      </c>
      <c r="M39" s="250"/>
      <c r="N39"/>
    </row>
    <row r="40" spans="2:17" ht="51" customHeight="1" x14ac:dyDescent="0.2">
      <c r="B40" s="436" t="s">
        <v>201</v>
      </c>
      <c r="C40" s="437"/>
      <c r="D40" s="73" t="s">
        <v>204</v>
      </c>
      <c r="E40" s="243" t="s">
        <v>10</v>
      </c>
      <c r="F40" s="244"/>
      <c r="G40" s="245"/>
      <c r="H40" s="104">
        <v>10</v>
      </c>
      <c r="I40" s="247">
        <v>10</v>
      </c>
      <c r="J40" s="247"/>
      <c r="K40" s="247"/>
      <c r="L40" s="475">
        <f t="shared" si="2"/>
        <v>100</v>
      </c>
      <c r="M40" s="250"/>
      <c r="N40"/>
    </row>
    <row r="41" spans="2:17" ht="75" customHeight="1" x14ac:dyDescent="0.2">
      <c r="B41" s="446" t="s">
        <v>203</v>
      </c>
      <c r="C41" s="489"/>
      <c r="D41" s="30" t="s">
        <v>116</v>
      </c>
      <c r="E41" s="204"/>
      <c r="F41" s="205"/>
      <c r="G41" s="205"/>
      <c r="H41" s="205"/>
      <c r="I41" s="205"/>
      <c r="J41" s="205"/>
      <c r="K41" s="205"/>
      <c r="L41" s="205"/>
      <c r="M41" s="206"/>
      <c r="N41"/>
    </row>
    <row r="42" spans="2:17" ht="12.95" customHeight="1" x14ac:dyDescent="0.2">
      <c r="B42" s="273"/>
      <c r="C42" s="274"/>
      <c r="D42" s="31"/>
      <c r="E42" s="490" t="s">
        <v>5</v>
      </c>
      <c r="F42" s="491"/>
      <c r="G42" s="492"/>
      <c r="H42" s="24">
        <v>2213</v>
      </c>
      <c r="I42" s="493">
        <v>20</v>
      </c>
      <c r="J42" s="494"/>
      <c r="K42" s="495"/>
      <c r="L42" s="276">
        <f t="shared" ref="L42:L44" si="3">I42*H42</f>
        <v>44260</v>
      </c>
      <c r="M42" s="278"/>
      <c r="N42"/>
    </row>
    <row r="43" spans="2:17" ht="52.5" customHeight="1" x14ac:dyDescent="0.2">
      <c r="B43" s="436" t="s">
        <v>109</v>
      </c>
      <c r="C43" s="437"/>
      <c r="D43" s="38" t="s">
        <v>36</v>
      </c>
      <c r="E43" s="243" t="s">
        <v>10</v>
      </c>
      <c r="F43" s="244"/>
      <c r="G43" s="245"/>
      <c r="H43" s="103">
        <v>3086</v>
      </c>
      <c r="I43" s="246">
        <v>5.5</v>
      </c>
      <c r="J43" s="247"/>
      <c r="K43" s="248"/>
      <c r="L43" s="210">
        <f t="shared" si="3"/>
        <v>16973</v>
      </c>
      <c r="M43" s="212"/>
      <c r="N43"/>
    </row>
    <row r="44" spans="2:17" ht="31.5" customHeight="1" x14ac:dyDescent="0.2">
      <c r="B44" s="436" t="s">
        <v>205</v>
      </c>
      <c r="C44" s="437"/>
      <c r="D44" s="73" t="s">
        <v>151</v>
      </c>
      <c r="E44" s="243" t="s">
        <v>10</v>
      </c>
      <c r="F44" s="244"/>
      <c r="G44" s="245"/>
      <c r="H44" s="104">
        <v>10</v>
      </c>
      <c r="I44" s="247">
        <v>35</v>
      </c>
      <c r="J44" s="247"/>
      <c r="K44" s="247"/>
      <c r="L44" s="475">
        <f t="shared" si="3"/>
        <v>350</v>
      </c>
      <c r="M44" s="250"/>
      <c r="N44"/>
      <c r="O44" s="76"/>
      <c r="Q44" s="76"/>
    </row>
    <row r="45" spans="2:17" ht="33.75" customHeight="1" x14ac:dyDescent="0.2">
      <c r="B45" s="479" t="s">
        <v>206</v>
      </c>
      <c r="C45" s="480"/>
      <c r="D45" s="73" t="s">
        <v>241</v>
      </c>
      <c r="E45" s="186"/>
      <c r="F45" s="187"/>
      <c r="G45" s="187"/>
      <c r="H45" s="187"/>
      <c r="I45" s="187"/>
      <c r="J45" s="187"/>
      <c r="K45" s="187"/>
      <c r="L45" s="187"/>
      <c r="M45" s="485"/>
      <c r="N45"/>
    </row>
    <row r="46" spans="2:17" x14ac:dyDescent="0.2">
      <c r="B46" s="481"/>
      <c r="C46" s="482"/>
      <c r="D46" s="73" t="s">
        <v>207</v>
      </c>
      <c r="E46" s="486" t="s">
        <v>7</v>
      </c>
      <c r="F46" s="487"/>
      <c r="G46" s="488"/>
      <c r="H46" s="90">
        <v>2</v>
      </c>
      <c r="I46" s="469"/>
      <c r="J46" s="469"/>
      <c r="K46" s="469"/>
      <c r="L46" s="469">
        <f t="shared" ref="L46:L55" si="4">I46*H46</f>
        <v>0</v>
      </c>
      <c r="M46" s="469"/>
      <c r="N46"/>
    </row>
    <row r="47" spans="2:17" x14ac:dyDescent="0.2">
      <c r="B47" s="481"/>
      <c r="C47" s="482"/>
      <c r="D47" s="73" t="s">
        <v>208</v>
      </c>
      <c r="E47" s="477" t="s">
        <v>7</v>
      </c>
      <c r="F47" s="338"/>
      <c r="G47" s="478"/>
      <c r="H47" s="90">
        <v>12</v>
      </c>
      <c r="I47" s="469"/>
      <c r="J47" s="469"/>
      <c r="K47" s="469"/>
      <c r="L47" s="469">
        <f t="shared" si="4"/>
        <v>0</v>
      </c>
      <c r="M47" s="469"/>
      <c r="N47"/>
    </row>
    <row r="48" spans="2:17" x14ac:dyDescent="0.2">
      <c r="B48" s="481"/>
      <c r="C48" s="482"/>
      <c r="D48" s="73" t="s">
        <v>209</v>
      </c>
      <c r="E48" s="477" t="s">
        <v>7</v>
      </c>
      <c r="F48" s="338"/>
      <c r="G48" s="478"/>
      <c r="H48" s="90">
        <v>14</v>
      </c>
      <c r="I48" s="469"/>
      <c r="J48" s="469"/>
      <c r="K48" s="469"/>
      <c r="L48" s="469">
        <f t="shared" si="4"/>
        <v>0</v>
      </c>
      <c r="M48" s="469"/>
      <c r="N48"/>
    </row>
    <row r="49" spans="2:14" x14ac:dyDescent="0.2">
      <c r="B49" s="481"/>
      <c r="C49" s="482"/>
      <c r="D49" s="73" t="s">
        <v>210</v>
      </c>
      <c r="E49" s="477" t="s">
        <v>7</v>
      </c>
      <c r="F49" s="338"/>
      <c r="G49" s="478"/>
      <c r="H49" s="90">
        <v>5</v>
      </c>
      <c r="I49" s="469"/>
      <c r="J49" s="469"/>
      <c r="K49" s="469"/>
      <c r="L49" s="469">
        <f t="shared" si="4"/>
        <v>0</v>
      </c>
      <c r="M49" s="469"/>
      <c r="N49"/>
    </row>
    <row r="50" spans="2:14" x14ac:dyDescent="0.2">
      <c r="B50" s="481"/>
      <c r="C50" s="482"/>
      <c r="D50" s="73" t="s">
        <v>211</v>
      </c>
      <c r="E50" s="477" t="s">
        <v>7</v>
      </c>
      <c r="F50" s="338"/>
      <c r="G50" s="478"/>
      <c r="H50" s="90">
        <v>6</v>
      </c>
      <c r="I50" s="469"/>
      <c r="J50" s="469"/>
      <c r="K50" s="469"/>
      <c r="L50" s="469">
        <f t="shared" si="4"/>
        <v>0</v>
      </c>
      <c r="M50" s="469"/>
      <c r="N50"/>
    </row>
    <row r="51" spans="2:14" x14ac:dyDescent="0.2">
      <c r="B51" s="481"/>
      <c r="C51" s="482"/>
      <c r="D51" s="73" t="s">
        <v>212</v>
      </c>
      <c r="E51" s="477" t="s">
        <v>7</v>
      </c>
      <c r="F51" s="338"/>
      <c r="G51" s="478"/>
      <c r="H51" s="90">
        <v>2</v>
      </c>
      <c r="I51" s="469"/>
      <c r="J51" s="469"/>
      <c r="K51" s="469"/>
      <c r="L51" s="469">
        <f t="shared" si="4"/>
        <v>0</v>
      </c>
      <c r="M51" s="469"/>
      <c r="N51"/>
    </row>
    <row r="52" spans="2:14" x14ac:dyDescent="0.2">
      <c r="B52" s="481"/>
      <c r="C52" s="482"/>
      <c r="D52" s="115" t="s">
        <v>213</v>
      </c>
      <c r="E52" s="477" t="s">
        <v>7</v>
      </c>
      <c r="F52" s="338"/>
      <c r="G52" s="478"/>
      <c r="H52" s="90">
        <v>3</v>
      </c>
      <c r="I52" s="469"/>
      <c r="J52" s="469"/>
      <c r="K52" s="469"/>
      <c r="L52" s="469">
        <f t="shared" si="4"/>
        <v>0</v>
      </c>
      <c r="M52" s="469"/>
      <c r="N52"/>
    </row>
    <row r="53" spans="2:14" x14ac:dyDescent="0.2">
      <c r="B53" s="481"/>
      <c r="C53" s="482"/>
      <c r="D53" s="115" t="s">
        <v>214</v>
      </c>
      <c r="E53" s="477" t="s">
        <v>7</v>
      </c>
      <c r="F53" s="338"/>
      <c r="G53" s="478"/>
      <c r="H53" s="90">
        <v>7</v>
      </c>
      <c r="I53" s="469"/>
      <c r="J53" s="469"/>
      <c r="K53" s="469"/>
      <c r="L53" s="469">
        <f t="shared" si="4"/>
        <v>0</v>
      </c>
      <c r="M53" s="469"/>
      <c r="N53"/>
    </row>
    <row r="54" spans="2:14" ht="14.25" customHeight="1" x14ac:dyDescent="0.2">
      <c r="B54" s="481"/>
      <c r="C54" s="482"/>
      <c r="D54" s="115" t="s">
        <v>215</v>
      </c>
      <c r="E54" s="477" t="s">
        <v>7</v>
      </c>
      <c r="F54" s="338"/>
      <c r="G54" s="478"/>
      <c r="H54" s="90">
        <v>3</v>
      </c>
      <c r="I54" s="469"/>
      <c r="J54" s="469"/>
      <c r="K54" s="469"/>
      <c r="L54" s="469">
        <f t="shared" si="4"/>
        <v>0</v>
      </c>
      <c r="M54" s="469"/>
      <c r="N54"/>
    </row>
    <row r="55" spans="2:14" x14ac:dyDescent="0.2">
      <c r="B55" s="483"/>
      <c r="C55" s="484"/>
      <c r="D55" s="115" t="s">
        <v>216</v>
      </c>
      <c r="E55" s="477" t="s">
        <v>7</v>
      </c>
      <c r="F55" s="338"/>
      <c r="G55" s="478"/>
      <c r="H55" s="90">
        <v>6</v>
      </c>
      <c r="I55" s="469"/>
      <c r="J55" s="469"/>
      <c r="K55" s="469"/>
      <c r="L55" s="469">
        <f t="shared" si="4"/>
        <v>0</v>
      </c>
      <c r="M55" s="469"/>
      <c r="N55"/>
    </row>
    <row r="56" spans="2:14" ht="24" customHeight="1" x14ac:dyDescent="0.2">
      <c r="B56" s="279" t="s">
        <v>26</v>
      </c>
      <c r="C56" s="280"/>
      <c r="D56" s="280"/>
      <c r="E56" s="280"/>
      <c r="F56" s="280"/>
      <c r="G56" s="280"/>
      <c r="H56" s="280"/>
      <c r="I56" s="280"/>
      <c r="J56" s="280"/>
      <c r="K56" s="280"/>
      <c r="L56" s="251">
        <f>SUM(L19:M55)</f>
        <v>143636</v>
      </c>
      <c r="M56" s="252"/>
    </row>
    <row r="57" spans="2:14" ht="15.75" customHeight="1" x14ac:dyDescent="0.2">
      <c r="B57" s="253" t="s">
        <v>28</v>
      </c>
      <c r="C57" s="253"/>
      <c r="D57" s="253"/>
      <c r="E57" s="253"/>
      <c r="F57" s="253"/>
      <c r="G57" s="253"/>
      <c r="H57" s="253"/>
      <c r="I57" s="253"/>
      <c r="J57" s="253"/>
      <c r="K57" s="253"/>
      <c r="L57" s="253"/>
      <c r="M57" s="253"/>
    </row>
    <row r="58" spans="2:14" ht="25.5" customHeight="1" x14ac:dyDescent="0.2">
      <c r="B58" s="254" t="s">
        <v>1</v>
      </c>
      <c r="C58" s="255"/>
      <c r="D58" s="6" t="s">
        <v>2</v>
      </c>
      <c r="E58" s="256" t="s">
        <v>3</v>
      </c>
      <c r="F58" s="257"/>
      <c r="G58" s="255"/>
      <c r="H58" s="20" t="s">
        <v>4</v>
      </c>
      <c r="I58" s="258" t="s">
        <v>230</v>
      </c>
      <c r="J58" s="259"/>
      <c r="K58" s="260"/>
      <c r="L58" s="258" t="s">
        <v>231</v>
      </c>
      <c r="M58" s="261"/>
    </row>
    <row r="59" spans="2:14" ht="62.25" customHeight="1" x14ac:dyDescent="0.2">
      <c r="B59" s="262"/>
      <c r="C59" s="263"/>
      <c r="D59" s="23" t="s">
        <v>39</v>
      </c>
      <c r="E59" s="264"/>
      <c r="F59" s="265"/>
      <c r="G59" s="265"/>
      <c r="H59" s="265"/>
      <c r="I59" s="265"/>
      <c r="J59" s="265"/>
      <c r="K59" s="265"/>
      <c r="L59" s="265"/>
      <c r="M59" s="266"/>
    </row>
    <row r="60" spans="2:14" ht="153" customHeight="1" x14ac:dyDescent="0.2">
      <c r="B60" s="262"/>
      <c r="C60" s="263"/>
      <c r="D60" s="23" t="s">
        <v>42</v>
      </c>
      <c r="E60" s="267"/>
      <c r="F60" s="268"/>
      <c r="G60" s="268"/>
      <c r="H60" s="268"/>
      <c r="I60" s="268"/>
      <c r="J60" s="268"/>
      <c r="K60" s="268"/>
      <c r="L60" s="268"/>
      <c r="M60" s="269"/>
    </row>
    <row r="61" spans="2:14" ht="252" customHeight="1" x14ac:dyDescent="0.2">
      <c r="B61" s="262"/>
      <c r="C61" s="263"/>
      <c r="D61" s="23" t="s">
        <v>110</v>
      </c>
      <c r="E61" s="270"/>
      <c r="F61" s="271"/>
      <c r="G61" s="271"/>
      <c r="H61" s="271"/>
      <c r="I61" s="271"/>
      <c r="J61" s="271"/>
      <c r="K61" s="271"/>
      <c r="L61" s="271"/>
      <c r="M61" s="272"/>
    </row>
    <row r="62" spans="2:14" ht="167.25" customHeight="1" x14ac:dyDescent="0.2">
      <c r="B62" s="273" t="s">
        <v>31</v>
      </c>
      <c r="C62" s="274"/>
      <c r="D62" s="26" t="s">
        <v>69</v>
      </c>
      <c r="E62" s="275"/>
      <c r="F62" s="235"/>
      <c r="G62" s="235"/>
      <c r="H62" s="235"/>
      <c r="I62" s="235"/>
      <c r="J62" s="235"/>
      <c r="K62" s="235"/>
      <c r="L62" s="235"/>
      <c r="M62" s="236"/>
    </row>
    <row r="63" spans="2:14" ht="12" customHeight="1" x14ac:dyDescent="0.2">
      <c r="B63" s="202"/>
      <c r="C63" s="203"/>
      <c r="D63" s="34"/>
      <c r="E63" s="204" t="s">
        <v>6</v>
      </c>
      <c r="F63" s="205"/>
      <c r="G63" s="206"/>
      <c r="H63" s="25">
        <v>2213</v>
      </c>
      <c r="I63" s="276">
        <v>45</v>
      </c>
      <c r="J63" s="277"/>
      <c r="K63" s="278"/>
      <c r="L63" s="276">
        <f>I63*H63</f>
        <v>99585</v>
      </c>
      <c r="M63" s="278"/>
    </row>
    <row r="64" spans="2:14" ht="73.5" customHeight="1" x14ac:dyDescent="0.2">
      <c r="B64" s="436" t="s">
        <v>57</v>
      </c>
      <c r="C64" s="437"/>
      <c r="D64" s="50" t="s">
        <v>70</v>
      </c>
      <c r="E64" s="243" t="s">
        <v>38</v>
      </c>
      <c r="F64" s="244"/>
      <c r="G64" s="245"/>
      <c r="H64" s="104">
        <v>400</v>
      </c>
      <c r="I64" s="474">
        <v>20</v>
      </c>
      <c r="J64" s="474"/>
      <c r="K64" s="474"/>
      <c r="L64" s="475">
        <f>I64*H64</f>
        <v>8000</v>
      </c>
      <c r="M64" s="250"/>
    </row>
    <row r="65" spans="2:22" ht="33.75" x14ac:dyDescent="0.2">
      <c r="B65" s="430" t="s">
        <v>117</v>
      </c>
      <c r="C65" s="430"/>
      <c r="D65" s="82" t="s">
        <v>118</v>
      </c>
      <c r="E65" s="476" t="s">
        <v>91</v>
      </c>
      <c r="F65" s="476"/>
      <c r="G65" s="476"/>
      <c r="H65" s="102">
        <v>10</v>
      </c>
      <c r="I65" s="428">
        <v>350</v>
      </c>
      <c r="J65" s="428"/>
      <c r="K65" s="428"/>
      <c r="L65" s="428">
        <f>I65*H65</f>
        <v>3500</v>
      </c>
      <c r="M65" s="428"/>
    </row>
    <row r="66" spans="2:22" ht="33.75" x14ac:dyDescent="0.2">
      <c r="B66" s="430" t="s">
        <v>119</v>
      </c>
      <c r="C66" s="430"/>
      <c r="D66" s="83" t="s">
        <v>120</v>
      </c>
      <c r="E66" s="431" t="s">
        <v>10</v>
      </c>
      <c r="F66" s="431"/>
      <c r="G66" s="431"/>
      <c r="H66" s="102">
        <v>12</v>
      </c>
      <c r="I66" s="428">
        <v>8</v>
      </c>
      <c r="J66" s="428"/>
      <c r="K66" s="428"/>
      <c r="L66" s="428">
        <f>I66*H66</f>
        <v>96</v>
      </c>
      <c r="M66" s="428"/>
    </row>
    <row r="67" spans="2:22" ht="56.25" x14ac:dyDescent="0.2">
      <c r="B67" s="430" t="s">
        <v>121</v>
      </c>
      <c r="C67" s="430"/>
      <c r="D67" s="82" t="s">
        <v>122</v>
      </c>
      <c r="E67" s="431"/>
      <c r="F67" s="431"/>
      <c r="G67" s="431"/>
      <c r="H67" s="431"/>
      <c r="I67" s="431"/>
      <c r="J67" s="431"/>
      <c r="K67" s="431"/>
      <c r="L67" s="431"/>
      <c r="M67" s="431"/>
    </row>
    <row r="68" spans="2:22" x14ac:dyDescent="0.2">
      <c r="B68" s="430"/>
      <c r="C68" s="430"/>
      <c r="D68" s="84" t="s">
        <v>123</v>
      </c>
      <c r="E68" s="432" t="s">
        <v>91</v>
      </c>
      <c r="F68" s="432"/>
      <c r="G68" s="432"/>
      <c r="H68" s="105">
        <v>0.6</v>
      </c>
      <c r="I68" s="434">
        <v>1000</v>
      </c>
      <c r="J68" s="434"/>
      <c r="K68" s="434"/>
      <c r="L68" s="434">
        <f>I68*H68</f>
        <v>600</v>
      </c>
      <c r="M68" s="434"/>
    </row>
    <row r="69" spans="2:22" x14ac:dyDescent="0.2">
      <c r="B69" s="430"/>
      <c r="C69" s="430"/>
      <c r="D69" s="84" t="s">
        <v>124</v>
      </c>
      <c r="E69" s="432" t="s">
        <v>10</v>
      </c>
      <c r="F69" s="432"/>
      <c r="G69" s="432"/>
      <c r="H69" s="105">
        <v>12</v>
      </c>
      <c r="I69" s="434">
        <v>50</v>
      </c>
      <c r="J69" s="434"/>
      <c r="K69" s="434"/>
      <c r="L69" s="434">
        <f>I69*H69</f>
        <v>600</v>
      </c>
      <c r="M69" s="434"/>
    </row>
    <row r="70" spans="2:22" ht="56.25" x14ac:dyDescent="0.2">
      <c r="B70" s="430" t="s">
        <v>125</v>
      </c>
      <c r="C70" s="430"/>
      <c r="D70" s="82" t="s">
        <v>126</v>
      </c>
      <c r="E70" s="432"/>
      <c r="F70" s="432"/>
      <c r="G70" s="432"/>
      <c r="H70" s="432"/>
      <c r="I70" s="432"/>
      <c r="J70" s="432"/>
      <c r="K70" s="432"/>
      <c r="L70" s="432"/>
      <c r="M70" s="432"/>
    </row>
    <row r="71" spans="2:22" x14ac:dyDescent="0.2">
      <c r="B71" s="430"/>
      <c r="C71" s="430"/>
      <c r="D71" s="84" t="s">
        <v>127</v>
      </c>
      <c r="E71" s="432" t="s">
        <v>128</v>
      </c>
      <c r="F71" s="432"/>
      <c r="G71" s="432"/>
      <c r="H71" s="105">
        <v>20</v>
      </c>
      <c r="I71" s="434">
        <v>5</v>
      </c>
      <c r="J71" s="434"/>
      <c r="K71" s="434"/>
      <c r="L71" s="434">
        <f>I71*H71</f>
        <v>100</v>
      </c>
      <c r="M71" s="434"/>
    </row>
    <row r="72" spans="2:22" x14ac:dyDescent="0.2">
      <c r="B72" s="430"/>
      <c r="C72" s="430"/>
      <c r="D72" s="84" t="s">
        <v>129</v>
      </c>
      <c r="E72" s="432" t="s">
        <v>128</v>
      </c>
      <c r="F72" s="432"/>
      <c r="G72" s="432"/>
      <c r="H72" s="105">
        <v>30</v>
      </c>
      <c r="I72" s="434">
        <v>5</v>
      </c>
      <c r="J72" s="434"/>
      <c r="K72" s="434"/>
      <c r="L72" s="434">
        <f>I72*H72</f>
        <v>150</v>
      </c>
      <c r="M72" s="434"/>
    </row>
    <row r="73" spans="2:22" ht="22.5" x14ac:dyDescent="0.2">
      <c r="B73" s="436" t="s">
        <v>145</v>
      </c>
      <c r="C73" s="437"/>
      <c r="D73" s="50" t="s">
        <v>146</v>
      </c>
      <c r="E73" s="468" t="s">
        <v>10</v>
      </c>
      <c r="F73" s="468"/>
      <c r="G73" s="468"/>
      <c r="H73" s="104">
        <v>12</v>
      </c>
      <c r="I73" s="469">
        <v>50</v>
      </c>
      <c r="J73" s="469"/>
      <c r="K73" s="469"/>
      <c r="L73" s="469">
        <f t="shared" ref="L73" si="5">I73*H73</f>
        <v>600</v>
      </c>
      <c r="M73" s="469"/>
    </row>
    <row r="74" spans="2:22" s="5" customFormat="1" ht="18.75" customHeight="1" x14ac:dyDescent="0.2">
      <c r="B74" s="367" t="s">
        <v>27</v>
      </c>
      <c r="C74" s="368"/>
      <c r="D74" s="368"/>
      <c r="E74" s="368"/>
      <c r="F74" s="368"/>
      <c r="G74" s="368"/>
      <c r="H74" s="368"/>
      <c r="I74" s="368"/>
      <c r="J74" s="368"/>
      <c r="K74" s="368"/>
      <c r="L74" s="470">
        <f>L72+L71+L69+L68+L66+L65+L64+L63+L73</f>
        <v>113231</v>
      </c>
      <c r="M74" s="471"/>
      <c r="N74" s="4"/>
      <c r="P74"/>
      <c r="Q74" s="61"/>
      <c r="R74" s="61"/>
      <c r="S74" s="61"/>
      <c r="T74" s="61"/>
    </row>
    <row r="75" spans="2:22" s="5" customFormat="1" ht="17.25" customHeight="1" x14ac:dyDescent="0.2">
      <c r="B75" s="472" t="s">
        <v>29</v>
      </c>
      <c r="C75" s="473"/>
      <c r="D75" s="473"/>
      <c r="E75" s="473"/>
      <c r="F75" s="473"/>
      <c r="G75" s="473"/>
      <c r="H75" s="473"/>
      <c r="I75" s="473"/>
      <c r="J75" s="473"/>
      <c r="K75" s="473"/>
      <c r="L75" s="473"/>
      <c r="M75" s="473"/>
      <c r="N75" s="4"/>
      <c r="P75"/>
      <c r="Q75" s="61"/>
      <c r="R75" s="61"/>
      <c r="S75" s="61"/>
      <c r="T75" s="61"/>
    </row>
    <row r="76" spans="2:22" s="5" customFormat="1" ht="24.75" customHeight="1" x14ac:dyDescent="0.2">
      <c r="B76" s="342" t="s">
        <v>1</v>
      </c>
      <c r="C76" s="343"/>
      <c r="D76" s="15" t="s">
        <v>2</v>
      </c>
      <c r="E76" s="342" t="s">
        <v>3</v>
      </c>
      <c r="F76" s="343"/>
      <c r="G76" s="463" t="s">
        <v>4</v>
      </c>
      <c r="H76" s="464"/>
      <c r="I76" s="381" t="s">
        <v>230</v>
      </c>
      <c r="J76" s="465"/>
      <c r="K76" s="466"/>
      <c r="L76" s="381" t="s">
        <v>231</v>
      </c>
      <c r="M76" s="467"/>
      <c r="N76" s="4"/>
      <c r="P76"/>
      <c r="Q76" s="37"/>
      <c r="R76" s="37"/>
      <c r="S76" s="37"/>
      <c r="T76" s="37"/>
      <c r="U76" s="37"/>
    </row>
    <row r="77" spans="2:22" s="5" customFormat="1" ht="292.5" customHeight="1" x14ac:dyDescent="0.2">
      <c r="B77" s="385"/>
      <c r="C77" s="266"/>
      <c r="D77" s="22" t="s">
        <v>71</v>
      </c>
      <c r="E77" s="385"/>
      <c r="F77" s="265"/>
      <c r="G77" s="265"/>
      <c r="H77" s="265"/>
      <c r="I77" s="265"/>
      <c r="J77" s="265"/>
      <c r="K77" s="265"/>
      <c r="L77" s="265"/>
      <c r="M77" s="266"/>
      <c r="N77" s="4"/>
      <c r="P77"/>
      <c r="Q77" s="46"/>
      <c r="R77" s="46"/>
      <c r="S77" s="46"/>
      <c r="T77" s="46"/>
      <c r="U77" s="46"/>
      <c r="V77" s="46"/>
    </row>
    <row r="78" spans="2:22" s="5" customFormat="1" ht="302.25" customHeight="1" x14ac:dyDescent="0.2">
      <c r="B78" s="308"/>
      <c r="C78" s="272"/>
      <c r="D78" s="22" t="s">
        <v>72</v>
      </c>
      <c r="E78" s="308"/>
      <c r="F78" s="271"/>
      <c r="G78" s="271"/>
      <c r="H78" s="271"/>
      <c r="I78" s="271"/>
      <c r="J78" s="271"/>
      <c r="K78" s="271"/>
      <c r="L78" s="271"/>
      <c r="M78" s="272"/>
      <c r="N78" s="4"/>
      <c r="P78"/>
      <c r="Q78" s="46"/>
      <c r="R78" s="46"/>
      <c r="S78" s="46"/>
      <c r="T78" s="46"/>
      <c r="U78" s="46"/>
      <c r="V78" s="46"/>
    </row>
    <row r="79" spans="2:22" ht="248.25" customHeight="1" x14ac:dyDescent="0.2">
      <c r="B79" s="273" t="s">
        <v>32</v>
      </c>
      <c r="C79" s="274"/>
      <c r="D79" s="57" t="s">
        <v>232</v>
      </c>
      <c r="E79" s="460"/>
      <c r="F79" s="461"/>
      <c r="G79" s="461"/>
      <c r="H79" s="461"/>
      <c r="I79" s="461"/>
      <c r="J79" s="461"/>
      <c r="K79" s="461"/>
      <c r="L79" s="461"/>
      <c r="M79" s="462"/>
    </row>
    <row r="80" spans="2:22" ht="12.95" customHeight="1" x14ac:dyDescent="0.2">
      <c r="B80" s="273"/>
      <c r="C80" s="274"/>
      <c r="D80" s="30" t="s">
        <v>37</v>
      </c>
      <c r="E80" s="204" t="s">
        <v>6</v>
      </c>
      <c r="F80" s="206"/>
      <c r="G80" s="289">
        <v>2105</v>
      </c>
      <c r="H80" s="456"/>
      <c r="I80" s="457">
        <v>80</v>
      </c>
      <c r="J80" s="458"/>
      <c r="K80" s="459"/>
      <c r="L80" s="457">
        <f>I80*G80</f>
        <v>168400</v>
      </c>
      <c r="M80" s="459"/>
    </row>
    <row r="81" spans="2:20" ht="306.75" customHeight="1" x14ac:dyDescent="0.2">
      <c r="B81" s="446" t="s">
        <v>33</v>
      </c>
      <c r="C81" s="447"/>
      <c r="D81" s="38" t="s">
        <v>152</v>
      </c>
      <c r="E81" s="450"/>
      <c r="F81" s="451"/>
      <c r="G81" s="451"/>
      <c r="H81" s="451"/>
      <c r="I81" s="451"/>
      <c r="J81" s="451"/>
      <c r="K81" s="451"/>
      <c r="L81" s="451"/>
      <c r="M81" s="452"/>
    </row>
    <row r="82" spans="2:20" ht="12.75" customHeight="1" x14ac:dyDescent="0.2">
      <c r="B82" s="448"/>
      <c r="C82" s="449"/>
      <c r="D82" s="30" t="s">
        <v>114</v>
      </c>
      <c r="E82" s="453" t="s">
        <v>5</v>
      </c>
      <c r="F82" s="454"/>
      <c r="G82" s="210">
        <v>138</v>
      </c>
      <c r="H82" s="455"/>
      <c r="I82" s="246">
        <v>75</v>
      </c>
      <c r="J82" s="247"/>
      <c r="K82" s="248"/>
      <c r="L82" s="246">
        <f>I82*G82</f>
        <v>10350</v>
      </c>
      <c r="M82" s="248"/>
    </row>
    <row r="83" spans="2:20" ht="165" customHeight="1" x14ac:dyDescent="0.2">
      <c r="B83" s="436" t="s">
        <v>43</v>
      </c>
      <c r="C83" s="437"/>
      <c r="D83" s="26" t="s">
        <v>86</v>
      </c>
      <c r="E83" s="438" t="s">
        <v>10</v>
      </c>
      <c r="F83" s="439"/>
      <c r="G83" s="246">
        <v>448</v>
      </c>
      <c r="H83" s="248"/>
      <c r="I83" s="246">
        <v>45</v>
      </c>
      <c r="J83" s="247"/>
      <c r="K83" s="248"/>
      <c r="L83" s="394">
        <f>I83*G83</f>
        <v>20160</v>
      </c>
      <c r="M83" s="395"/>
      <c r="N83"/>
    </row>
    <row r="84" spans="2:20" ht="255" customHeight="1" x14ac:dyDescent="0.2">
      <c r="B84" s="440" t="s">
        <v>47</v>
      </c>
      <c r="C84" s="441"/>
      <c r="D84" s="26" t="s">
        <v>115</v>
      </c>
      <c r="E84" s="438" t="s">
        <v>10</v>
      </c>
      <c r="F84" s="439"/>
      <c r="G84" s="442">
        <v>737</v>
      </c>
      <c r="H84" s="443"/>
      <c r="I84" s="442">
        <v>65</v>
      </c>
      <c r="J84" s="198"/>
      <c r="K84" s="443"/>
      <c r="L84" s="444">
        <f>I84*G84</f>
        <v>47905</v>
      </c>
      <c r="M84" s="445"/>
      <c r="N84"/>
    </row>
    <row r="85" spans="2:20" ht="189" customHeight="1" x14ac:dyDescent="0.2">
      <c r="B85" s="430" t="s">
        <v>102</v>
      </c>
      <c r="C85" s="430"/>
      <c r="D85" s="82" t="s">
        <v>239</v>
      </c>
      <c r="E85" s="435"/>
      <c r="F85" s="435"/>
      <c r="G85" s="435"/>
      <c r="H85" s="435"/>
      <c r="I85" s="435"/>
      <c r="J85" s="435"/>
      <c r="K85" s="435"/>
      <c r="L85" s="435"/>
      <c r="M85" s="435"/>
      <c r="N85"/>
    </row>
    <row r="86" spans="2:20" ht="33.75" x14ac:dyDescent="0.2">
      <c r="B86" s="430"/>
      <c r="C86" s="430"/>
      <c r="D86" s="82" t="s">
        <v>130</v>
      </c>
      <c r="E86" s="431" t="s">
        <v>10</v>
      </c>
      <c r="F86" s="431"/>
      <c r="G86" s="429">
        <v>10</v>
      </c>
      <c r="H86" s="429"/>
      <c r="I86" s="428">
        <v>60</v>
      </c>
      <c r="J86" s="428"/>
      <c r="K86" s="428"/>
      <c r="L86" s="428">
        <f>I86*G86</f>
        <v>600</v>
      </c>
      <c r="M86" s="428"/>
      <c r="N86"/>
    </row>
    <row r="87" spans="2:20" ht="147" customHeight="1" x14ac:dyDescent="0.2">
      <c r="B87" s="430" t="s">
        <v>89</v>
      </c>
      <c r="C87" s="430"/>
      <c r="D87" s="82" t="s">
        <v>131</v>
      </c>
      <c r="E87" s="432" t="s">
        <v>10</v>
      </c>
      <c r="F87" s="432"/>
      <c r="G87" s="433">
        <v>15</v>
      </c>
      <c r="H87" s="433"/>
      <c r="I87" s="434">
        <v>45</v>
      </c>
      <c r="J87" s="434"/>
      <c r="K87" s="434"/>
      <c r="L87" s="434">
        <f>I87*G87</f>
        <v>675</v>
      </c>
      <c r="M87" s="434"/>
      <c r="N87"/>
      <c r="Q87" s="76"/>
      <c r="R87" s="76"/>
      <c r="S87" s="76"/>
      <c r="T87" s="76"/>
    </row>
    <row r="88" spans="2:20" ht="60.75" customHeight="1" x14ac:dyDescent="0.2">
      <c r="B88" s="430" t="s">
        <v>90</v>
      </c>
      <c r="C88" s="430"/>
      <c r="D88" s="86" t="s">
        <v>132</v>
      </c>
      <c r="E88" s="431"/>
      <c r="F88" s="431"/>
      <c r="G88" s="431"/>
      <c r="H88" s="431"/>
      <c r="I88" s="431"/>
      <c r="J88" s="431"/>
      <c r="K88" s="431"/>
      <c r="L88" s="431"/>
      <c r="M88" s="431"/>
      <c r="N88"/>
      <c r="Q88" s="76"/>
      <c r="R88" s="76"/>
      <c r="S88" s="76"/>
      <c r="T88" s="76"/>
    </row>
    <row r="89" spans="2:20" ht="12.75" customHeight="1" x14ac:dyDescent="0.2">
      <c r="B89" s="430"/>
      <c r="C89" s="430"/>
      <c r="D89" s="86" t="s">
        <v>133</v>
      </c>
      <c r="E89" s="431" t="s">
        <v>38</v>
      </c>
      <c r="F89" s="431"/>
      <c r="G89" s="429">
        <v>20</v>
      </c>
      <c r="H89" s="429"/>
      <c r="I89" s="428">
        <v>30</v>
      </c>
      <c r="J89" s="428"/>
      <c r="K89" s="428"/>
      <c r="L89" s="428">
        <f>I89*G89</f>
        <v>600</v>
      </c>
      <c r="M89" s="428"/>
      <c r="N89"/>
      <c r="Q89" s="76"/>
      <c r="R89" s="76"/>
      <c r="S89" s="76"/>
      <c r="T89" s="76"/>
    </row>
    <row r="90" spans="2:20" ht="45" x14ac:dyDescent="0.2">
      <c r="B90" s="430" t="s">
        <v>134</v>
      </c>
      <c r="C90" s="430"/>
      <c r="D90" s="86" t="s">
        <v>135</v>
      </c>
      <c r="E90" s="431"/>
      <c r="F90" s="431"/>
      <c r="G90" s="431"/>
      <c r="H90" s="431"/>
      <c r="I90" s="431"/>
      <c r="J90" s="431"/>
      <c r="K90" s="431"/>
      <c r="L90" s="431"/>
      <c r="M90" s="431"/>
      <c r="N90"/>
      <c r="Q90" s="76"/>
      <c r="R90" s="76"/>
      <c r="S90" s="76"/>
      <c r="T90" s="76"/>
    </row>
    <row r="91" spans="2:20" ht="12.75" customHeight="1" x14ac:dyDescent="0.2">
      <c r="B91" s="430"/>
      <c r="C91" s="430"/>
      <c r="D91" s="87" t="s">
        <v>136</v>
      </c>
      <c r="E91" s="431" t="s">
        <v>38</v>
      </c>
      <c r="F91" s="431"/>
      <c r="G91" s="429">
        <v>20</v>
      </c>
      <c r="H91" s="429"/>
      <c r="I91" s="428">
        <v>10</v>
      </c>
      <c r="J91" s="428"/>
      <c r="K91" s="428"/>
      <c r="L91" s="428">
        <f t="shared" ref="L91:L95" si="6">I91*G91</f>
        <v>200</v>
      </c>
      <c r="M91" s="428"/>
      <c r="N91"/>
      <c r="Q91" s="76"/>
      <c r="R91" s="76"/>
      <c r="S91" s="76"/>
      <c r="T91" s="76"/>
    </row>
    <row r="92" spans="2:20" x14ac:dyDescent="0.2">
      <c r="B92" s="430"/>
      <c r="C92" s="430"/>
      <c r="D92" s="88" t="s">
        <v>137</v>
      </c>
      <c r="E92" s="431" t="s">
        <v>38</v>
      </c>
      <c r="F92" s="431"/>
      <c r="G92" s="429">
        <v>20</v>
      </c>
      <c r="H92" s="429"/>
      <c r="I92" s="428">
        <v>17</v>
      </c>
      <c r="J92" s="428"/>
      <c r="K92" s="428"/>
      <c r="L92" s="428">
        <f t="shared" si="6"/>
        <v>340</v>
      </c>
      <c r="M92" s="428"/>
      <c r="N92"/>
      <c r="Q92" s="76"/>
      <c r="R92" s="76"/>
      <c r="S92" s="76"/>
      <c r="T92" s="76"/>
    </row>
    <row r="93" spans="2:20" x14ac:dyDescent="0.2">
      <c r="B93" s="430"/>
      <c r="C93" s="430"/>
      <c r="D93" s="88" t="s">
        <v>138</v>
      </c>
      <c r="E93" s="358" t="s">
        <v>38</v>
      </c>
      <c r="F93" s="358"/>
      <c r="G93" s="429">
        <v>20</v>
      </c>
      <c r="H93" s="429"/>
      <c r="I93" s="428">
        <v>15</v>
      </c>
      <c r="J93" s="428"/>
      <c r="K93" s="428"/>
      <c r="L93" s="428">
        <f t="shared" si="6"/>
        <v>300</v>
      </c>
      <c r="M93" s="428"/>
      <c r="N93"/>
      <c r="Q93" s="76"/>
      <c r="R93" s="76"/>
      <c r="S93" s="76"/>
      <c r="T93" s="76"/>
    </row>
    <row r="94" spans="2:20" ht="37.5" customHeight="1" x14ac:dyDescent="0.2">
      <c r="B94" s="430" t="s">
        <v>139</v>
      </c>
      <c r="C94" s="430"/>
      <c r="D94" s="89" t="s">
        <v>140</v>
      </c>
      <c r="E94" s="431"/>
      <c r="F94" s="431"/>
      <c r="G94" s="431"/>
      <c r="H94" s="431"/>
      <c r="I94" s="431"/>
      <c r="J94" s="431"/>
      <c r="K94" s="431"/>
      <c r="L94" s="431"/>
      <c r="M94" s="431"/>
      <c r="N94"/>
      <c r="Q94" s="76"/>
      <c r="R94" s="76"/>
      <c r="S94" s="76"/>
      <c r="T94" s="76"/>
    </row>
    <row r="95" spans="2:20" ht="24" customHeight="1" x14ac:dyDescent="0.2">
      <c r="B95" s="430"/>
      <c r="C95" s="430"/>
      <c r="D95" s="89" t="s">
        <v>141</v>
      </c>
      <c r="E95" s="431" t="s">
        <v>7</v>
      </c>
      <c r="F95" s="431"/>
      <c r="G95" s="429">
        <v>2</v>
      </c>
      <c r="H95" s="429"/>
      <c r="I95" s="428">
        <v>250</v>
      </c>
      <c r="J95" s="428"/>
      <c r="K95" s="428"/>
      <c r="L95" s="428">
        <f t="shared" si="6"/>
        <v>500</v>
      </c>
      <c r="M95" s="428"/>
      <c r="N95"/>
      <c r="Q95" s="76"/>
      <c r="R95" s="76"/>
      <c r="S95" s="76"/>
      <c r="T95" s="76"/>
    </row>
    <row r="96" spans="2:20" ht="56.25" x14ac:dyDescent="0.2">
      <c r="B96" s="419" t="s">
        <v>134</v>
      </c>
      <c r="C96" s="420"/>
      <c r="D96" s="91" t="s">
        <v>153</v>
      </c>
      <c r="E96" s="423"/>
      <c r="F96" s="424"/>
      <c r="G96" s="424"/>
      <c r="H96" s="424"/>
      <c r="I96" s="424"/>
      <c r="J96" s="424"/>
      <c r="K96" s="424"/>
      <c r="L96" s="424"/>
      <c r="M96" s="425"/>
      <c r="N96"/>
      <c r="Q96" s="76"/>
      <c r="R96" s="76"/>
      <c r="S96" s="76"/>
      <c r="T96" s="76"/>
    </row>
    <row r="97" spans="2:21" ht="33.75" x14ac:dyDescent="0.2">
      <c r="B97" s="421"/>
      <c r="C97" s="422"/>
      <c r="D97" s="26" t="s">
        <v>104</v>
      </c>
      <c r="E97" s="426" t="s">
        <v>10</v>
      </c>
      <c r="F97" s="427"/>
      <c r="G97" s="387">
        <v>700</v>
      </c>
      <c r="H97" s="388"/>
      <c r="I97" s="387">
        <v>60</v>
      </c>
      <c r="J97" s="388"/>
      <c r="K97" s="389"/>
      <c r="L97" s="387">
        <f>I97*G97</f>
        <v>42000</v>
      </c>
      <c r="M97" s="389"/>
      <c r="N97"/>
      <c r="Q97" s="76"/>
      <c r="R97" s="76"/>
      <c r="S97" s="76"/>
      <c r="T97" s="76"/>
    </row>
    <row r="98" spans="2:21" ht="60.75" customHeight="1" x14ac:dyDescent="0.2">
      <c r="B98" s="410" t="s">
        <v>139</v>
      </c>
      <c r="C98" s="411"/>
      <c r="D98" s="92" t="s">
        <v>154</v>
      </c>
      <c r="E98" s="426" t="s">
        <v>10</v>
      </c>
      <c r="F98" s="427"/>
      <c r="G98" s="387">
        <v>700</v>
      </c>
      <c r="H98" s="389"/>
      <c r="I98" s="387">
        <v>75</v>
      </c>
      <c r="J98" s="388"/>
      <c r="K98" s="389"/>
      <c r="L98" s="339">
        <f>I98*G98</f>
        <v>52500</v>
      </c>
      <c r="M98" s="341"/>
      <c r="N98"/>
      <c r="Q98" s="76"/>
      <c r="R98" s="76"/>
      <c r="S98" s="76"/>
      <c r="T98" s="76"/>
    </row>
    <row r="99" spans="2:21" ht="11.1" customHeight="1" x14ac:dyDescent="0.2">
      <c r="B99" s="412" t="s">
        <v>30</v>
      </c>
      <c r="C99" s="413"/>
      <c r="D99" s="413"/>
      <c r="E99" s="413"/>
      <c r="F99" s="413"/>
      <c r="G99" s="413"/>
      <c r="H99" s="413"/>
      <c r="I99" s="413"/>
      <c r="J99" s="413"/>
      <c r="K99" s="413"/>
      <c r="L99" s="414">
        <f>SUM(L80:M98)</f>
        <v>344530</v>
      </c>
      <c r="M99" s="415"/>
      <c r="N99"/>
      <c r="U99" s="85"/>
    </row>
    <row r="100" spans="2:21" ht="9.75" customHeight="1" x14ac:dyDescent="0.2">
      <c r="B100" s="279"/>
      <c r="C100" s="280"/>
      <c r="D100" s="280"/>
      <c r="E100" s="280"/>
      <c r="F100" s="280"/>
      <c r="G100" s="280"/>
      <c r="H100" s="280"/>
      <c r="I100" s="280"/>
      <c r="J100" s="280"/>
      <c r="K100" s="280"/>
      <c r="L100" s="251"/>
      <c r="M100" s="252"/>
      <c r="N100"/>
    </row>
    <row r="101" spans="2:21" ht="21.75" customHeight="1" x14ac:dyDescent="0.2">
      <c r="B101" s="369" t="s">
        <v>242</v>
      </c>
      <c r="C101" s="370"/>
      <c r="D101" s="370"/>
      <c r="E101" s="370"/>
      <c r="F101" s="370"/>
      <c r="G101" s="370"/>
      <c r="H101" s="370"/>
      <c r="I101" s="370"/>
      <c r="J101" s="370"/>
      <c r="K101" s="370"/>
      <c r="L101" s="370"/>
      <c r="M101" s="371"/>
      <c r="N101"/>
    </row>
    <row r="102" spans="2:21" ht="30" customHeight="1" x14ac:dyDescent="0.2">
      <c r="B102" s="403" t="s">
        <v>1</v>
      </c>
      <c r="C102" s="404"/>
      <c r="D102" s="14" t="s">
        <v>2</v>
      </c>
      <c r="E102" s="403" t="s">
        <v>3</v>
      </c>
      <c r="F102" s="405"/>
      <c r="G102" s="404"/>
      <c r="H102" s="95" t="s">
        <v>4</v>
      </c>
      <c r="I102" s="406" t="s">
        <v>230</v>
      </c>
      <c r="J102" s="407"/>
      <c r="K102" s="408"/>
      <c r="L102" s="258" t="s">
        <v>231</v>
      </c>
      <c r="M102" s="409"/>
      <c r="N102"/>
    </row>
    <row r="103" spans="2:21" ht="180" x14ac:dyDescent="0.2">
      <c r="B103" s="336"/>
      <c r="C103" s="337"/>
      <c r="D103" s="96" t="s">
        <v>160</v>
      </c>
      <c r="E103" s="416"/>
      <c r="F103" s="417"/>
      <c r="G103" s="417"/>
      <c r="H103" s="417"/>
      <c r="I103" s="417"/>
      <c r="J103" s="417"/>
      <c r="K103" s="417"/>
      <c r="L103" s="417"/>
      <c r="M103" s="418"/>
      <c r="N103"/>
    </row>
    <row r="104" spans="2:21" ht="99" x14ac:dyDescent="0.2">
      <c r="B104" s="336"/>
      <c r="C104" s="337"/>
      <c r="D104" s="97" t="s">
        <v>161</v>
      </c>
      <c r="E104" s="149"/>
      <c r="F104" s="150"/>
      <c r="G104" s="150"/>
      <c r="H104" s="150"/>
      <c r="I104" s="150"/>
      <c r="J104" s="150"/>
      <c r="K104" s="150"/>
      <c r="L104" s="150"/>
      <c r="M104" s="151"/>
      <c r="N104"/>
    </row>
    <row r="105" spans="2:21" ht="67.5" x14ac:dyDescent="0.2">
      <c r="B105" s="390" t="s">
        <v>53</v>
      </c>
      <c r="C105" s="391"/>
      <c r="D105" s="26" t="s">
        <v>185</v>
      </c>
      <c r="E105" s="336" t="s">
        <v>91</v>
      </c>
      <c r="F105" s="386"/>
      <c r="G105" s="337"/>
      <c r="H105" s="98">
        <v>19</v>
      </c>
      <c r="I105" s="387">
        <v>1200</v>
      </c>
      <c r="J105" s="388"/>
      <c r="K105" s="389"/>
      <c r="L105" s="339">
        <f>I105*H105</f>
        <v>22800</v>
      </c>
      <c r="M105" s="341"/>
      <c r="N105"/>
    </row>
    <row r="106" spans="2:21" ht="56.25" x14ac:dyDescent="0.2">
      <c r="B106" s="390" t="s">
        <v>75</v>
      </c>
      <c r="C106" s="391"/>
      <c r="D106" s="26" t="s">
        <v>162</v>
      </c>
      <c r="E106" s="336" t="s">
        <v>10</v>
      </c>
      <c r="F106" s="386"/>
      <c r="G106" s="337"/>
      <c r="H106" s="99">
        <v>744</v>
      </c>
      <c r="I106" s="387">
        <v>0</v>
      </c>
      <c r="J106" s="388"/>
      <c r="K106" s="389"/>
      <c r="L106" s="339">
        <f>I106*H106</f>
        <v>0</v>
      </c>
      <c r="M106" s="341"/>
      <c r="N106"/>
    </row>
    <row r="107" spans="2:21" ht="292.5" x14ac:dyDescent="0.2">
      <c r="B107" s="396" t="s">
        <v>163</v>
      </c>
      <c r="C107" s="397"/>
      <c r="D107" s="91" t="s">
        <v>164</v>
      </c>
      <c r="E107" s="336"/>
      <c r="F107" s="386"/>
      <c r="G107" s="386"/>
      <c r="H107" s="386"/>
      <c r="I107" s="386"/>
      <c r="J107" s="386"/>
      <c r="K107" s="386"/>
      <c r="L107" s="386"/>
      <c r="M107" s="337"/>
      <c r="N107"/>
    </row>
    <row r="108" spans="2:21" ht="22.5" x14ac:dyDescent="0.2">
      <c r="B108" s="400"/>
      <c r="C108" s="401"/>
      <c r="D108" s="26" t="s">
        <v>165</v>
      </c>
      <c r="E108" s="336" t="s">
        <v>10</v>
      </c>
      <c r="F108" s="386"/>
      <c r="G108" s="337"/>
      <c r="H108" s="99">
        <v>744</v>
      </c>
      <c r="I108" s="387">
        <v>0</v>
      </c>
      <c r="J108" s="388"/>
      <c r="K108" s="389"/>
      <c r="L108" s="339">
        <f>I108*H108</f>
        <v>0</v>
      </c>
      <c r="M108" s="341"/>
      <c r="N108"/>
    </row>
    <row r="109" spans="2:21" ht="22.5" x14ac:dyDescent="0.2">
      <c r="B109" s="396" t="s">
        <v>166</v>
      </c>
      <c r="C109" s="397"/>
      <c r="D109" s="73" t="s">
        <v>167</v>
      </c>
      <c r="E109" s="336"/>
      <c r="F109" s="386"/>
      <c r="G109" s="386"/>
      <c r="H109" s="386"/>
      <c r="I109" s="386"/>
      <c r="J109" s="386"/>
      <c r="K109" s="386"/>
      <c r="L109" s="386"/>
      <c r="M109" s="337"/>
      <c r="N109"/>
    </row>
    <row r="110" spans="2:21" x14ac:dyDescent="0.2">
      <c r="B110" s="400"/>
      <c r="C110" s="401"/>
      <c r="D110" s="73" t="s">
        <v>168</v>
      </c>
      <c r="E110" s="336" t="s">
        <v>10</v>
      </c>
      <c r="F110" s="386"/>
      <c r="G110" s="337"/>
      <c r="H110" s="99">
        <v>744</v>
      </c>
      <c r="I110" s="387">
        <v>0</v>
      </c>
      <c r="J110" s="388"/>
      <c r="K110" s="389"/>
      <c r="L110" s="339">
        <f>I110*H110</f>
        <v>0</v>
      </c>
      <c r="M110" s="341"/>
      <c r="N110"/>
    </row>
    <row r="111" spans="2:21" ht="33.75" x14ac:dyDescent="0.2">
      <c r="B111" s="396" t="s">
        <v>169</v>
      </c>
      <c r="C111" s="397"/>
      <c r="D111" s="73" t="s">
        <v>170</v>
      </c>
      <c r="E111" s="336"/>
      <c r="F111" s="386"/>
      <c r="G111" s="386"/>
      <c r="H111" s="386"/>
      <c r="I111" s="386"/>
      <c r="J111" s="386"/>
      <c r="K111" s="386"/>
      <c r="L111" s="386"/>
      <c r="M111" s="337"/>
      <c r="N111"/>
    </row>
    <row r="112" spans="2:21" x14ac:dyDescent="0.2">
      <c r="B112" s="400"/>
      <c r="C112" s="401"/>
      <c r="D112" s="73" t="s">
        <v>171</v>
      </c>
      <c r="E112" s="336" t="s">
        <v>10</v>
      </c>
      <c r="F112" s="386"/>
      <c r="G112" s="337"/>
      <c r="H112" s="99">
        <v>744</v>
      </c>
      <c r="I112" s="387">
        <v>0</v>
      </c>
      <c r="J112" s="388"/>
      <c r="K112" s="389"/>
      <c r="L112" s="339">
        <f>I112*H112</f>
        <v>0</v>
      </c>
      <c r="M112" s="341"/>
      <c r="N112"/>
    </row>
    <row r="113" spans="2:14" ht="78.75" x14ac:dyDescent="0.2">
      <c r="B113" s="390" t="s">
        <v>172</v>
      </c>
      <c r="C113" s="391"/>
      <c r="D113" s="50" t="s">
        <v>173</v>
      </c>
      <c r="E113" s="243" t="s">
        <v>10</v>
      </c>
      <c r="F113" s="244"/>
      <c r="G113" s="245"/>
      <c r="H113" s="100">
        <v>744</v>
      </c>
      <c r="I113" s="246">
        <v>0</v>
      </c>
      <c r="J113" s="247"/>
      <c r="K113" s="248"/>
      <c r="L113" s="394">
        <f t="shared" ref="L113:L120" si="7">I113*H113</f>
        <v>0</v>
      </c>
      <c r="M113" s="395"/>
      <c r="N113"/>
    </row>
    <row r="114" spans="2:14" x14ac:dyDescent="0.2">
      <c r="B114" s="396" t="s">
        <v>174</v>
      </c>
      <c r="C114" s="397"/>
      <c r="D114" s="101" t="s">
        <v>175</v>
      </c>
      <c r="E114" s="336"/>
      <c r="F114" s="386"/>
      <c r="G114" s="386"/>
      <c r="H114" s="386"/>
      <c r="I114" s="386"/>
      <c r="J114" s="386"/>
      <c r="K114" s="386"/>
      <c r="L114" s="386"/>
      <c r="M114" s="337"/>
      <c r="N114"/>
    </row>
    <row r="115" spans="2:14" ht="22.5" x14ac:dyDescent="0.2">
      <c r="B115" s="398"/>
      <c r="C115" s="399"/>
      <c r="D115" s="50" t="s">
        <v>176</v>
      </c>
      <c r="E115" s="358" t="s">
        <v>38</v>
      </c>
      <c r="F115" s="358"/>
      <c r="G115" s="358"/>
      <c r="H115" s="99">
        <v>116</v>
      </c>
      <c r="I115" s="402">
        <v>0</v>
      </c>
      <c r="J115" s="402"/>
      <c r="K115" s="402"/>
      <c r="L115" s="339">
        <f t="shared" si="7"/>
        <v>0</v>
      </c>
      <c r="M115" s="341"/>
      <c r="N115"/>
    </row>
    <row r="116" spans="2:14" ht="22.5" x14ac:dyDescent="0.2">
      <c r="B116" s="400"/>
      <c r="C116" s="401"/>
      <c r="D116" s="68" t="s">
        <v>177</v>
      </c>
      <c r="E116" s="336" t="s">
        <v>38</v>
      </c>
      <c r="F116" s="386"/>
      <c r="G116" s="337"/>
      <c r="H116" s="99">
        <v>116</v>
      </c>
      <c r="I116" s="387">
        <v>0</v>
      </c>
      <c r="J116" s="388"/>
      <c r="K116" s="389"/>
      <c r="L116" s="339">
        <f t="shared" si="7"/>
        <v>0</v>
      </c>
      <c r="M116" s="341"/>
      <c r="N116"/>
    </row>
    <row r="117" spans="2:14" ht="112.5" x14ac:dyDescent="0.2">
      <c r="B117" s="390" t="s">
        <v>178</v>
      </c>
      <c r="C117" s="391"/>
      <c r="D117" s="50" t="s">
        <v>179</v>
      </c>
      <c r="E117" s="392" t="s">
        <v>38</v>
      </c>
      <c r="F117" s="392"/>
      <c r="G117" s="392"/>
      <c r="H117" s="104">
        <v>58</v>
      </c>
      <c r="I117" s="393">
        <v>0</v>
      </c>
      <c r="J117" s="393"/>
      <c r="K117" s="393"/>
      <c r="L117" s="394">
        <f t="shared" si="7"/>
        <v>0</v>
      </c>
      <c r="M117" s="395"/>
      <c r="N117"/>
    </row>
    <row r="118" spans="2:14" x14ac:dyDescent="0.2">
      <c r="B118" s="396" t="s">
        <v>180</v>
      </c>
      <c r="C118" s="397"/>
      <c r="D118" s="68" t="s">
        <v>181</v>
      </c>
      <c r="E118" s="336"/>
      <c r="F118" s="386"/>
      <c r="G118" s="386"/>
      <c r="H118" s="386"/>
      <c r="I118" s="386"/>
      <c r="J118" s="386"/>
      <c r="K118" s="386"/>
      <c r="L118" s="386"/>
      <c r="M118" s="337"/>
      <c r="N118"/>
    </row>
    <row r="119" spans="2:14" ht="22.5" x14ac:dyDescent="0.2">
      <c r="B119" s="398"/>
      <c r="C119" s="399"/>
      <c r="D119" s="50" t="s">
        <v>182</v>
      </c>
      <c r="E119" s="358" t="s">
        <v>7</v>
      </c>
      <c r="F119" s="358"/>
      <c r="G119" s="358"/>
      <c r="H119" s="99">
        <v>6000</v>
      </c>
      <c r="I119" s="402">
        <v>0</v>
      </c>
      <c r="J119" s="402"/>
      <c r="K119" s="402"/>
      <c r="L119" s="339">
        <f t="shared" si="7"/>
        <v>0</v>
      </c>
      <c r="M119" s="341"/>
      <c r="N119"/>
    </row>
    <row r="120" spans="2:14" ht="22.5" x14ac:dyDescent="0.2">
      <c r="B120" s="400"/>
      <c r="C120" s="401"/>
      <c r="D120" s="68" t="s">
        <v>183</v>
      </c>
      <c r="E120" s="336" t="s">
        <v>7</v>
      </c>
      <c r="F120" s="386"/>
      <c r="G120" s="337"/>
      <c r="H120" s="99">
        <v>6000</v>
      </c>
      <c r="I120" s="387">
        <v>0</v>
      </c>
      <c r="J120" s="388"/>
      <c r="K120" s="389"/>
      <c r="L120" s="339">
        <f t="shared" si="7"/>
        <v>0</v>
      </c>
      <c r="M120" s="341"/>
      <c r="N120"/>
    </row>
    <row r="121" spans="2:14" ht="9.75" customHeight="1" x14ac:dyDescent="0.2">
      <c r="B121" s="372" t="s">
        <v>184</v>
      </c>
      <c r="C121" s="373"/>
      <c r="D121" s="373"/>
      <c r="E121" s="373"/>
      <c r="F121" s="373"/>
      <c r="G121" s="373"/>
      <c r="H121" s="373"/>
      <c r="I121" s="373"/>
      <c r="J121" s="373"/>
      <c r="K121" s="373"/>
      <c r="L121" s="374">
        <f>SUM(L105:M120)</f>
        <v>22800</v>
      </c>
      <c r="M121" s="375"/>
      <c r="N121"/>
    </row>
    <row r="122" spans="2:14" ht="9.75" customHeight="1" x14ac:dyDescent="0.2">
      <c r="B122" s="279"/>
      <c r="C122" s="280"/>
      <c r="D122" s="280"/>
      <c r="E122" s="280"/>
      <c r="F122" s="280"/>
      <c r="G122" s="280"/>
      <c r="H122" s="280"/>
      <c r="I122" s="280"/>
      <c r="J122" s="280"/>
      <c r="K122" s="280"/>
      <c r="L122" s="251"/>
      <c r="M122" s="252"/>
      <c r="N122"/>
    </row>
    <row r="123" spans="2:14" ht="18.75" customHeight="1" x14ac:dyDescent="0.2">
      <c r="B123" s="369" t="s">
        <v>186</v>
      </c>
      <c r="C123" s="370"/>
      <c r="D123" s="370"/>
      <c r="E123" s="370"/>
      <c r="F123" s="370"/>
      <c r="G123" s="370"/>
      <c r="H123" s="370"/>
      <c r="I123" s="370"/>
      <c r="J123" s="370"/>
      <c r="K123" s="370"/>
      <c r="L123" s="370"/>
      <c r="M123" s="371"/>
      <c r="N123"/>
    </row>
    <row r="124" spans="2:14" ht="27" customHeight="1" x14ac:dyDescent="0.2">
      <c r="B124" s="376" t="s">
        <v>1</v>
      </c>
      <c r="C124" s="377"/>
      <c r="D124" s="13" t="s">
        <v>2</v>
      </c>
      <c r="E124" s="378" t="s">
        <v>3</v>
      </c>
      <c r="F124" s="379"/>
      <c r="G124" s="380"/>
      <c r="H124" s="60" t="s">
        <v>4</v>
      </c>
      <c r="I124" s="381" t="s">
        <v>230</v>
      </c>
      <c r="J124" s="382"/>
      <c r="K124" s="383"/>
      <c r="L124" s="381" t="s">
        <v>231</v>
      </c>
      <c r="M124" s="384"/>
      <c r="N124"/>
    </row>
    <row r="125" spans="2:14" ht="317.25" customHeight="1" x14ac:dyDescent="0.2">
      <c r="B125" s="106"/>
      <c r="C125" s="107"/>
      <c r="D125" s="40" t="s">
        <v>112</v>
      </c>
      <c r="E125" s="385"/>
      <c r="F125" s="265"/>
      <c r="G125" s="265"/>
      <c r="H125" s="265"/>
      <c r="I125" s="265"/>
      <c r="J125" s="265"/>
      <c r="K125" s="265"/>
      <c r="L125" s="265"/>
      <c r="M125" s="266"/>
      <c r="N125"/>
    </row>
    <row r="126" spans="2:14" ht="229.5" customHeight="1" x14ac:dyDescent="0.2">
      <c r="B126" s="108"/>
      <c r="C126" s="109"/>
      <c r="D126" s="40" t="s">
        <v>55</v>
      </c>
      <c r="E126" s="308"/>
      <c r="F126" s="271"/>
      <c r="G126" s="271"/>
      <c r="H126" s="271"/>
      <c r="I126" s="271"/>
      <c r="J126" s="271"/>
      <c r="K126" s="271"/>
      <c r="L126" s="271"/>
      <c r="M126" s="272"/>
      <c r="N126"/>
    </row>
    <row r="127" spans="2:14" ht="26.25" customHeight="1" x14ac:dyDescent="0.2">
      <c r="B127" s="226" t="s">
        <v>34</v>
      </c>
      <c r="C127" s="227"/>
      <c r="D127" s="53" t="s">
        <v>92</v>
      </c>
      <c r="E127" s="243" t="s">
        <v>7</v>
      </c>
      <c r="F127" s="244"/>
      <c r="G127" s="245"/>
      <c r="H127" s="104">
        <v>34</v>
      </c>
      <c r="I127" s="246"/>
      <c r="J127" s="247"/>
      <c r="K127" s="248"/>
      <c r="L127" s="249">
        <f>I127*H127</f>
        <v>0</v>
      </c>
      <c r="M127" s="250"/>
      <c r="N127"/>
    </row>
    <row r="128" spans="2:14" ht="72" customHeight="1" x14ac:dyDescent="0.2">
      <c r="B128" s="228" t="s">
        <v>50</v>
      </c>
      <c r="C128" s="229"/>
      <c r="D128" s="71" t="s">
        <v>96</v>
      </c>
      <c r="E128" s="234"/>
      <c r="F128" s="235"/>
      <c r="G128" s="235"/>
      <c r="H128" s="235"/>
      <c r="I128" s="235"/>
      <c r="J128" s="235"/>
      <c r="K128" s="235"/>
      <c r="L128" s="235"/>
      <c r="M128" s="236"/>
      <c r="N128"/>
    </row>
    <row r="129" spans="2:14" ht="15.75" customHeight="1" x14ac:dyDescent="0.2">
      <c r="B129" s="230"/>
      <c r="C129" s="231"/>
      <c r="D129" s="81" t="s">
        <v>97</v>
      </c>
      <c r="E129" s="237" t="s">
        <v>9</v>
      </c>
      <c r="F129" s="238"/>
      <c r="G129" s="239"/>
      <c r="H129" s="72">
        <v>112</v>
      </c>
      <c r="I129" s="240">
        <v>80</v>
      </c>
      <c r="J129" s="241"/>
      <c r="K129" s="242"/>
      <c r="L129" s="240">
        <f t="shared" ref="L129:L134" si="8">I129*H129</f>
        <v>8960</v>
      </c>
      <c r="M129" s="242"/>
      <c r="N129"/>
    </row>
    <row r="130" spans="2:14" ht="15.75" customHeight="1" x14ac:dyDescent="0.2">
      <c r="B130" s="230"/>
      <c r="C130" s="231"/>
      <c r="D130" s="81" t="s">
        <v>103</v>
      </c>
      <c r="E130" s="237" t="s">
        <v>9</v>
      </c>
      <c r="F130" s="238"/>
      <c r="G130" s="239"/>
      <c r="H130" s="72">
        <v>144</v>
      </c>
      <c r="I130" s="240">
        <v>85</v>
      </c>
      <c r="J130" s="241"/>
      <c r="K130" s="242"/>
      <c r="L130" s="240">
        <f t="shared" si="8"/>
        <v>12240</v>
      </c>
      <c r="M130" s="242"/>
      <c r="N130"/>
    </row>
    <row r="131" spans="2:14" ht="15.75" customHeight="1" x14ac:dyDescent="0.2">
      <c r="B131" s="230"/>
      <c r="C131" s="231"/>
      <c r="D131" s="81" t="s">
        <v>157</v>
      </c>
      <c r="E131" s="237" t="s">
        <v>9</v>
      </c>
      <c r="F131" s="238"/>
      <c r="G131" s="239"/>
      <c r="H131" s="72">
        <v>44</v>
      </c>
      <c r="I131" s="240">
        <v>80</v>
      </c>
      <c r="J131" s="241"/>
      <c r="K131" s="242"/>
      <c r="L131" s="240">
        <f t="shared" si="8"/>
        <v>3520</v>
      </c>
      <c r="M131" s="242"/>
      <c r="N131"/>
    </row>
    <row r="132" spans="2:14" ht="15.75" customHeight="1" x14ac:dyDescent="0.2">
      <c r="B132" s="230"/>
      <c r="C132" s="231"/>
      <c r="D132" s="81" t="s">
        <v>158</v>
      </c>
      <c r="E132" s="237" t="s">
        <v>9</v>
      </c>
      <c r="F132" s="238"/>
      <c r="G132" s="239"/>
      <c r="H132" s="72">
        <v>32</v>
      </c>
      <c r="I132" s="240">
        <v>80</v>
      </c>
      <c r="J132" s="241"/>
      <c r="K132" s="242"/>
      <c r="L132" s="240">
        <f t="shared" si="8"/>
        <v>2560</v>
      </c>
      <c r="M132" s="242"/>
      <c r="N132"/>
    </row>
    <row r="133" spans="2:14" ht="15.75" customHeight="1" x14ac:dyDescent="0.2">
      <c r="B133" s="230"/>
      <c r="C133" s="231"/>
      <c r="D133" s="81" t="s">
        <v>159</v>
      </c>
      <c r="E133" s="237" t="s">
        <v>9</v>
      </c>
      <c r="F133" s="238"/>
      <c r="G133" s="239"/>
      <c r="H133" s="72">
        <v>132</v>
      </c>
      <c r="I133" s="240">
        <v>85</v>
      </c>
      <c r="J133" s="241"/>
      <c r="K133" s="242"/>
      <c r="L133" s="240">
        <f t="shared" si="8"/>
        <v>11220</v>
      </c>
      <c r="M133" s="242"/>
      <c r="N133"/>
    </row>
    <row r="134" spans="2:14" ht="15.75" customHeight="1" x14ac:dyDescent="0.2">
      <c r="B134" s="232"/>
      <c r="C134" s="233"/>
      <c r="D134" s="81" t="s">
        <v>144</v>
      </c>
      <c r="E134" s="237" t="s">
        <v>9</v>
      </c>
      <c r="F134" s="238"/>
      <c r="G134" s="239"/>
      <c r="H134" s="72">
        <v>20</v>
      </c>
      <c r="I134" s="240">
        <v>85</v>
      </c>
      <c r="J134" s="241"/>
      <c r="K134" s="242"/>
      <c r="L134" s="240">
        <f t="shared" si="8"/>
        <v>1700</v>
      </c>
      <c r="M134" s="242"/>
      <c r="N134"/>
    </row>
    <row r="135" spans="2:14" ht="23.1" customHeight="1" x14ac:dyDescent="0.2">
      <c r="B135" s="367" t="s">
        <v>187</v>
      </c>
      <c r="C135" s="368"/>
      <c r="D135" s="368"/>
      <c r="E135" s="368"/>
      <c r="F135" s="368"/>
      <c r="G135" s="368"/>
      <c r="H135" s="127"/>
      <c r="I135" s="368"/>
      <c r="J135" s="368"/>
      <c r="K135" s="368"/>
      <c r="L135" s="128">
        <f>SUM(L127:M134)</f>
        <v>40200</v>
      </c>
      <c r="M135" s="129"/>
      <c r="N135"/>
    </row>
    <row r="136" spans="2:14" ht="23.1" customHeight="1" x14ac:dyDescent="0.2">
      <c r="B136" s="369" t="s">
        <v>243</v>
      </c>
      <c r="C136" s="370"/>
      <c r="D136" s="370"/>
      <c r="E136" s="370"/>
      <c r="F136" s="370"/>
      <c r="G136" s="370"/>
      <c r="H136" s="370"/>
      <c r="I136" s="370"/>
      <c r="J136" s="370"/>
      <c r="K136" s="370"/>
      <c r="L136" s="370"/>
      <c r="M136" s="371"/>
      <c r="N136"/>
    </row>
    <row r="137" spans="2:14" ht="26.25" customHeight="1" x14ac:dyDescent="0.2">
      <c r="B137" s="254" t="s">
        <v>1</v>
      </c>
      <c r="C137" s="255"/>
      <c r="D137" s="6" t="s">
        <v>2</v>
      </c>
      <c r="E137" s="256" t="s">
        <v>3</v>
      </c>
      <c r="F137" s="257"/>
      <c r="G137" s="255"/>
      <c r="H137" s="41" t="s">
        <v>58</v>
      </c>
      <c r="I137" s="258" t="s">
        <v>230</v>
      </c>
      <c r="J137" s="365"/>
      <c r="K137" s="366"/>
      <c r="L137" s="258" t="s">
        <v>231</v>
      </c>
      <c r="M137" s="261"/>
      <c r="N137"/>
    </row>
    <row r="138" spans="2:14" ht="216.75" customHeight="1" x14ac:dyDescent="0.2">
      <c r="B138" s="357"/>
      <c r="C138" s="358"/>
      <c r="D138" s="47" t="s">
        <v>142</v>
      </c>
      <c r="E138" s="359"/>
      <c r="F138" s="360"/>
      <c r="G138" s="360"/>
      <c r="H138" s="360"/>
      <c r="I138" s="360"/>
      <c r="J138" s="360"/>
      <c r="K138" s="360"/>
      <c r="L138" s="360"/>
      <c r="M138" s="361"/>
      <c r="N138"/>
    </row>
    <row r="139" spans="2:14" ht="193.5" customHeight="1" x14ac:dyDescent="0.2">
      <c r="B139" s="336"/>
      <c r="C139" s="337"/>
      <c r="D139" s="48" t="s">
        <v>155</v>
      </c>
      <c r="E139" s="362"/>
      <c r="F139" s="363"/>
      <c r="G139" s="363"/>
      <c r="H139" s="363"/>
      <c r="I139" s="363"/>
      <c r="J139" s="363"/>
      <c r="K139" s="363"/>
      <c r="L139" s="363"/>
      <c r="M139" s="364"/>
      <c r="N139"/>
    </row>
    <row r="140" spans="2:14" ht="23.1" customHeight="1" x14ac:dyDescent="0.2">
      <c r="B140" s="355" t="s">
        <v>45</v>
      </c>
      <c r="C140" s="356"/>
      <c r="D140" s="73" t="s">
        <v>207</v>
      </c>
      <c r="E140" s="338" t="s">
        <v>7</v>
      </c>
      <c r="F140" s="338"/>
      <c r="G140" s="338"/>
      <c r="H140" s="113">
        <v>2</v>
      </c>
      <c r="I140" s="340"/>
      <c r="J140" s="340"/>
      <c r="K140" s="341"/>
      <c r="L140" s="339">
        <f>I140*H140</f>
        <v>0</v>
      </c>
      <c r="M140" s="341"/>
      <c r="N140"/>
    </row>
    <row r="141" spans="2:14" ht="23.1" customHeight="1" x14ac:dyDescent="0.2">
      <c r="B141" s="355" t="s">
        <v>98</v>
      </c>
      <c r="C141" s="356"/>
      <c r="D141" s="73" t="s">
        <v>208</v>
      </c>
      <c r="E141" s="237" t="s">
        <v>7</v>
      </c>
      <c r="F141" s="238"/>
      <c r="G141" s="238"/>
      <c r="H141" s="93">
        <v>12</v>
      </c>
      <c r="I141" s="340"/>
      <c r="J141" s="340"/>
      <c r="K141" s="341"/>
      <c r="L141" s="339">
        <f>I141*H141</f>
        <v>0</v>
      </c>
      <c r="M141" s="341"/>
      <c r="N141"/>
    </row>
    <row r="142" spans="2:14" ht="23.1" customHeight="1" x14ac:dyDescent="0.2">
      <c r="B142" s="353" t="s">
        <v>99</v>
      </c>
      <c r="C142" s="353"/>
      <c r="D142" s="73" t="s">
        <v>209</v>
      </c>
      <c r="E142" s="338" t="s">
        <v>7</v>
      </c>
      <c r="F142" s="338"/>
      <c r="G142" s="338"/>
      <c r="H142" s="93">
        <v>14</v>
      </c>
      <c r="I142" s="340"/>
      <c r="J142" s="340"/>
      <c r="K142" s="340"/>
      <c r="L142" s="354">
        <f>I142*H142</f>
        <v>0</v>
      </c>
      <c r="M142" s="354"/>
      <c r="N142"/>
    </row>
    <row r="143" spans="2:14" ht="23.1" customHeight="1" x14ac:dyDescent="0.2">
      <c r="B143" s="349" t="s">
        <v>100</v>
      </c>
      <c r="C143" s="350"/>
      <c r="D143" s="73" t="s">
        <v>210</v>
      </c>
      <c r="E143" s="338" t="s">
        <v>7</v>
      </c>
      <c r="F143" s="338"/>
      <c r="G143" s="338"/>
      <c r="H143" s="93">
        <v>5</v>
      </c>
      <c r="I143" s="340"/>
      <c r="J143" s="340"/>
      <c r="K143" s="341"/>
      <c r="L143" s="339">
        <f>I143*H143</f>
        <v>0</v>
      </c>
      <c r="M143" s="341"/>
      <c r="N143"/>
    </row>
    <row r="144" spans="2:14" ht="23.1" customHeight="1" x14ac:dyDescent="0.2">
      <c r="B144" s="349" t="s">
        <v>101</v>
      </c>
      <c r="C144" s="350"/>
      <c r="D144" s="73" t="s">
        <v>211</v>
      </c>
      <c r="E144" s="351" t="s">
        <v>7</v>
      </c>
      <c r="F144" s="301"/>
      <c r="G144" s="301"/>
      <c r="H144" s="93">
        <v>6</v>
      </c>
      <c r="I144" s="340"/>
      <c r="J144" s="340"/>
      <c r="K144" s="341"/>
      <c r="L144" s="339">
        <f>I144*H144</f>
        <v>0</v>
      </c>
      <c r="M144" s="341"/>
      <c r="N144"/>
    </row>
    <row r="145" spans="2:14" ht="23.1" customHeight="1" x14ac:dyDescent="0.2">
      <c r="B145" s="349" t="s">
        <v>217</v>
      </c>
      <c r="C145" s="350"/>
      <c r="D145" s="92" t="s">
        <v>213</v>
      </c>
      <c r="E145" s="351" t="s">
        <v>7</v>
      </c>
      <c r="F145" s="301"/>
      <c r="G145" s="301"/>
      <c r="H145" s="113">
        <v>3</v>
      </c>
      <c r="I145" s="340"/>
      <c r="J145" s="340"/>
      <c r="K145" s="341"/>
      <c r="L145" s="339">
        <f t="shared" ref="L145:L148" si="9">I145*H145</f>
        <v>0</v>
      </c>
      <c r="M145" s="341"/>
      <c r="N145"/>
    </row>
    <row r="146" spans="2:14" ht="23.1" customHeight="1" x14ac:dyDescent="0.2">
      <c r="B146" s="349" t="s">
        <v>218</v>
      </c>
      <c r="C146" s="350"/>
      <c r="D146" s="92" t="s">
        <v>214</v>
      </c>
      <c r="E146" s="351" t="s">
        <v>7</v>
      </c>
      <c r="F146" s="301"/>
      <c r="G146" s="301"/>
      <c r="H146" s="93">
        <v>7</v>
      </c>
      <c r="I146" s="340"/>
      <c r="J146" s="340"/>
      <c r="K146" s="341"/>
      <c r="L146" s="339">
        <f t="shared" si="9"/>
        <v>0</v>
      </c>
      <c r="M146" s="341"/>
      <c r="N146"/>
    </row>
    <row r="147" spans="2:14" ht="23.1" customHeight="1" x14ac:dyDescent="0.2">
      <c r="B147" s="349" t="s">
        <v>219</v>
      </c>
      <c r="C147" s="350"/>
      <c r="D147" s="92" t="s">
        <v>215</v>
      </c>
      <c r="E147" s="351" t="s">
        <v>7</v>
      </c>
      <c r="F147" s="301"/>
      <c r="G147" s="301"/>
      <c r="H147" s="93">
        <v>3</v>
      </c>
      <c r="I147" s="340"/>
      <c r="J147" s="340"/>
      <c r="K147" s="341"/>
      <c r="L147" s="339">
        <f t="shared" si="9"/>
        <v>0</v>
      </c>
      <c r="M147" s="341"/>
      <c r="N147"/>
    </row>
    <row r="148" spans="2:14" ht="23.1" customHeight="1" x14ac:dyDescent="0.2">
      <c r="B148" s="349" t="s">
        <v>220</v>
      </c>
      <c r="C148" s="350"/>
      <c r="D148" s="92" t="s">
        <v>221</v>
      </c>
      <c r="E148" s="351" t="s">
        <v>7</v>
      </c>
      <c r="F148" s="301"/>
      <c r="G148" s="301"/>
      <c r="H148" s="93">
        <v>6</v>
      </c>
      <c r="I148" s="340"/>
      <c r="J148" s="340"/>
      <c r="K148" s="341"/>
      <c r="L148" s="339">
        <f t="shared" si="9"/>
        <v>0</v>
      </c>
      <c r="M148" s="341"/>
      <c r="N148"/>
    </row>
    <row r="149" spans="2:14" ht="23.1" customHeight="1" x14ac:dyDescent="0.2">
      <c r="B149" s="322" t="s">
        <v>188</v>
      </c>
      <c r="C149" s="323"/>
      <c r="D149" s="323"/>
      <c r="E149" s="323"/>
      <c r="F149" s="323"/>
      <c r="G149" s="323"/>
      <c r="H149" s="323"/>
      <c r="I149" s="323"/>
      <c r="J149" s="323"/>
      <c r="K149" s="323"/>
      <c r="L149" s="324">
        <f>SUM(L140:M148)</f>
        <v>0</v>
      </c>
      <c r="M149" s="325"/>
      <c r="N149"/>
    </row>
    <row r="150" spans="2:14" ht="23.1" customHeight="1" x14ac:dyDescent="0.2">
      <c r="B150" s="352" t="s">
        <v>244</v>
      </c>
      <c r="C150" s="352"/>
      <c r="D150" s="352"/>
      <c r="E150" s="352"/>
      <c r="F150" s="352"/>
      <c r="G150" s="352"/>
      <c r="H150" s="352"/>
      <c r="I150" s="352"/>
      <c r="J150" s="352"/>
      <c r="K150" s="352"/>
      <c r="L150" s="352"/>
      <c r="M150" s="352"/>
      <c r="N150"/>
    </row>
    <row r="151" spans="2:14" ht="26.25" customHeight="1" x14ac:dyDescent="0.2">
      <c r="B151" s="342" t="s">
        <v>1</v>
      </c>
      <c r="C151" s="343"/>
      <c r="D151" s="15" t="s">
        <v>2</v>
      </c>
      <c r="E151" s="342" t="s">
        <v>3</v>
      </c>
      <c r="F151" s="344"/>
      <c r="G151" s="343"/>
      <c r="H151" s="43" t="s">
        <v>58</v>
      </c>
      <c r="I151" s="345" t="s">
        <v>230</v>
      </c>
      <c r="J151" s="346"/>
      <c r="K151" s="347"/>
      <c r="L151" s="345" t="s">
        <v>231</v>
      </c>
      <c r="M151" s="348"/>
      <c r="N151"/>
    </row>
    <row r="152" spans="2:14" ht="239.25" customHeight="1" x14ac:dyDescent="0.2">
      <c r="B152" s="326"/>
      <c r="C152" s="327"/>
      <c r="D152" s="42" t="s">
        <v>143</v>
      </c>
      <c r="E152" s="330"/>
      <c r="F152" s="331"/>
      <c r="G152" s="331"/>
      <c r="H152" s="331"/>
      <c r="I152" s="331"/>
      <c r="J152" s="331"/>
      <c r="K152" s="331"/>
      <c r="L152" s="331"/>
      <c r="M152" s="332"/>
      <c r="N152"/>
    </row>
    <row r="153" spans="2:14" ht="167.25" customHeight="1" x14ac:dyDescent="0.2">
      <c r="B153" s="326"/>
      <c r="C153" s="327"/>
      <c r="D153" s="44" t="s">
        <v>111</v>
      </c>
      <c r="E153" s="333"/>
      <c r="F153" s="334"/>
      <c r="G153" s="334"/>
      <c r="H153" s="334"/>
      <c r="I153" s="334"/>
      <c r="J153" s="334"/>
      <c r="K153" s="334"/>
      <c r="L153" s="334"/>
      <c r="M153" s="335"/>
      <c r="N153"/>
    </row>
    <row r="154" spans="2:14" ht="23.1" customHeight="1" x14ac:dyDescent="0.2">
      <c r="B154" s="336" t="s">
        <v>77</v>
      </c>
      <c r="C154" s="337"/>
      <c r="D154" s="74" t="s">
        <v>212</v>
      </c>
      <c r="E154" s="338" t="s">
        <v>7</v>
      </c>
      <c r="F154" s="338"/>
      <c r="G154" s="338"/>
      <c r="H154" s="64">
        <v>3</v>
      </c>
      <c r="I154" s="339"/>
      <c r="J154" s="340"/>
      <c r="K154" s="341"/>
      <c r="L154" s="339">
        <f t="shared" ref="L154" si="10">I154*H154</f>
        <v>0</v>
      </c>
      <c r="M154" s="341"/>
      <c r="N154"/>
    </row>
    <row r="155" spans="2:14" ht="23.1" customHeight="1" x14ac:dyDescent="0.2">
      <c r="B155" s="322" t="s">
        <v>189</v>
      </c>
      <c r="C155" s="323"/>
      <c r="D155" s="323"/>
      <c r="E155" s="323"/>
      <c r="F155" s="323"/>
      <c r="G155" s="323"/>
      <c r="H155" s="323"/>
      <c r="I155" s="323"/>
      <c r="J155" s="323"/>
      <c r="K155" s="323"/>
      <c r="L155" s="328">
        <f>SUM(L154:M154)</f>
        <v>0</v>
      </c>
      <c r="M155" s="329"/>
      <c r="N155"/>
    </row>
    <row r="156" spans="2:14" ht="18.75" customHeight="1" x14ac:dyDescent="0.2">
      <c r="B156" s="135" t="s">
        <v>190</v>
      </c>
      <c r="C156" s="135"/>
      <c r="D156" s="135"/>
      <c r="E156" s="135"/>
      <c r="F156" s="135"/>
      <c r="G156" s="135"/>
      <c r="H156" s="135"/>
      <c r="I156" s="135"/>
      <c r="J156" s="135"/>
      <c r="K156" s="135"/>
      <c r="L156" s="135"/>
      <c r="M156" s="135"/>
      <c r="N156"/>
    </row>
    <row r="157" spans="2:14" ht="25.5" customHeight="1" x14ac:dyDescent="0.2">
      <c r="B157" s="215" t="s">
        <v>1</v>
      </c>
      <c r="C157" s="217"/>
      <c r="D157" s="3" t="s">
        <v>2</v>
      </c>
      <c r="E157" s="215" t="s">
        <v>3</v>
      </c>
      <c r="F157" s="216"/>
      <c r="G157" s="217"/>
      <c r="H157" s="21" t="s">
        <v>4</v>
      </c>
      <c r="I157" s="218" t="s">
        <v>230</v>
      </c>
      <c r="J157" s="219"/>
      <c r="K157" s="220"/>
      <c r="L157" s="218" t="s">
        <v>231</v>
      </c>
      <c r="M157" s="221"/>
      <c r="N157"/>
    </row>
    <row r="158" spans="2:14" ht="120.75" customHeight="1" x14ac:dyDescent="0.2">
      <c r="B158" s="222" t="s">
        <v>191</v>
      </c>
      <c r="C158" s="223"/>
      <c r="D158" s="56" t="s">
        <v>247</v>
      </c>
      <c r="E158" s="186" t="s">
        <v>38</v>
      </c>
      <c r="F158" s="187"/>
      <c r="G158" s="188"/>
      <c r="H158" s="110">
        <v>130</v>
      </c>
      <c r="I158" s="189">
        <v>150</v>
      </c>
      <c r="J158" s="190"/>
      <c r="K158" s="191"/>
      <c r="L158" s="213">
        <f>I158*H158</f>
        <v>19500</v>
      </c>
      <c r="M158" s="214"/>
      <c r="N158"/>
    </row>
    <row r="159" spans="2:14" ht="101.25" customHeight="1" x14ac:dyDescent="0.2">
      <c r="B159" s="224" t="s">
        <v>192</v>
      </c>
      <c r="C159" s="225"/>
      <c r="D159" s="56" t="s">
        <v>248</v>
      </c>
      <c r="E159" s="186" t="s">
        <v>38</v>
      </c>
      <c r="F159" s="187"/>
      <c r="G159" s="188"/>
      <c r="H159" s="110">
        <v>130</v>
      </c>
      <c r="I159" s="189">
        <v>140</v>
      </c>
      <c r="J159" s="190"/>
      <c r="K159" s="191"/>
      <c r="L159" s="213">
        <f>I159*H159</f>
        <v>18200</v>
      </c>
      <c r="M159" s="214"/>
      <c r="N159"/>
    </row>
    <row r="160" spans="2:14" ht="101.25" customHeight="1" x14ac:dyDescent="0.2">
      <c r="B160" s="184" t="s">
        <v>193</v>
      </c>
      <c r="C160" s="185"/>
      <c r="D160" s="56" t="s">
        <v>249</v>
      </c>
      <c r="E160" s="186" t="s">
        <v>38</v>
      </c>
      <c r="F160" s="187"/>
      <c r="G160" s="188"/>
      <c r="H160" s="110">
        <v>31</v>
      </c>
      <c r="I160" s="189">
        <v>140</v>
      </c>
      <c r="J160" s="190"/>
      <c r="K160" s="191"/>
      <c r="L160" s="213">
        <f>I160*H160</f>
        <v>4340</v>
      </c>
      <c r="M160" s="214"/>
      <c r="N160"/>
    </row>
    <row r="161" spans="2:14" ht="62.25" customHeight="1" x14ac:dyDescent="0.2">
      <c r="B161" s="192" t="s">
        <v>194</v>
      </c>
      <c r="C161" s="193"/>
      <c r="D161" s="94" t="s">
        <v>246</v>
      </c>
      <c r="E161" s="194" t="s">
        <v>38</v>
      </c>
      <c r="F161" s="195"/>
      <c r="G161" s="196"/>
      <c r="H161" s="114">
        <v>75</v>
      </c>
      <c r="I161" s="197">
        <v>50</v>
      </c>
      <c r="J161" s="198"/>
      <c r="K161" s="199"/>
      <c r="L161" s="304">
        <f>I161*H161</f>
        <v>3750</v>
      </c>
      <c r="M161" s="248"/>
      <c r="N161"/>
    </row>
    <row r="162" spans="2:14" ht="38.1" customHeight="1" x14ac:dyDescent="0.2">
      <c r="B162" s="200" t="s">
        <v>195</v>
      </c>
      <c r="C162" s="201"/>
      <c r="D162" s="54" t="s">
        <v>40</v>
      </c>
      <c r="E162" s="204"/>
      <c r="F162" s="205"/>
      <c r="G162" s="205"/>
      <c r="H162" s="205"/>
      <c r="I162" s="205"/>
      <c r="J162" s="205"/>
      <c r="K162" s="205"/>
      <c r="L162" s="205"/>
      <c r="M162" s="206"/>
      <c r="N162"/>
    </row>
    <row r="163" spans="2:14" ht="15.75" customHeight="1" x14ac:dyDescent="0.2">
      <c r="B163" s="202"/>
      <c r="C163" s="203"/>
      <c r="D163" s="34"/>
      <c r="E163" s="207" t="s">
        <v>65</v>
      </c>
      <c r="F163" s="208"/>
      <c r="G163" s="209"/>
      <c r="H163" s="27">
        <v>1</v>
      </c>
      <c r="I163" s="210">
        <v>3500</v>
      </c>
      <c r="J163" s="211"/>
      <c r="K163" s="212"/>
      <c r="L163" s="210">
        <f>I163*H163</f>
        <v>3500</v>
      </c>
      <c r="M163" s="212"/>
      <c r="N163"/>
    </row>
    <row r="164" spans="2:14" ht="20.25" customHeight="1" x14ac:dyDescent="0.2">
      <c r="B164" s="126" t="s">
        <v>196</v>
      </c>
      <c r="C164" s="127"/>
      <c r="D164" s="127"/>
      <c r="E164" s="127"/>
      <c r="F164" s="127"/>
      <c r="G164" s="127"/>
      <c r="H164" s="127"/>
      <c r="I164" s="127"/>
      <c r="J164" s="127"/>
      <c r="K164" s="127"/>
      <c r="L164" s="128">
        <f>SUM(L158:M163)</f>
        <v>49290</v>
      </c>
      <c r="M164" s="129"/>
      <c r="N164"/>
    </row>
    <row r="165" spans="2:14" ht="20.25" customHeight="1" x14ac:dyDescent="0.2">
      <c r="B165" s="305" t="s">
        <v>225</v>
      </c>
      <c r="C165" s="305"/>
      <c r="D165" s="305"/>
      <c r="E165" s="305"/>
      <c r="F165" s="305"/>
      <c r="G165" s="305"/>
      <c r="H165" s="305"/>
      <c r="I165" s="305"/>
      <c r="J165" s="305"/>
      <c r="K165" s="305"/>
      <c r="L165" s="305"/>
      <c r="M165" s="305"/>
      <c r="N165"/>
    </row>
    <row r="166" spans="2:14" ht="20.25" customHeight="1" x14ac:dyDescent="0.2">
      <c r="B166" s="215" t="s">
        <v>1</v>
      </c>
      <c r="C166" s="217"/>
      <c r="D166" s="3" t="s">
        <v>2</v>
      </c>
      <c r="E166" s="215" t="s">
        <v>3</v>
      </c>
      <c r="F166" s="216"/>
      <c r="G166" s="217"/>
      <c r="H166" s="21" t="s">
        <v>4</v>
      </c>
      <c r="I166" s="218" t="s">
        <v>230</v>
      </c>
      <c r="J166" s="219"/>
      <c r="K166" s="220"/>
      <c r="L166" s="218" t="s">
        <v>231</v>
      </c>
      <c r="M166" s="221"/>
      <c r="N166"/>
    </row>
    <row r="167" spans="2:14" ht="45" x14ac:dyDescent="0.2">
      <c r="B167" s="306" t="s">
        <v>226</v>
      </c>
      <c r="C167" s="307"/>
      <c r="D167" s="116" t="s">
        <v>222</v>
      </c>
      <c r="E167" s="308" t="s">
        <v>7</v>
      </c>
      <c r="F167" s="271"/>
      <c r="G167" s="272"/>
      <c r="H167" s="117">
        <v>22</v>
      </c>
      <c r="I167" s="309">
        <v>200</v>
      </c>
      <c r="J167" s="310"/>
      <c r="K167" s="311"/>
      <c r="L167" s="155">
        <f>I167*H167</f>
        <v>4400</v>
      </c>
      <c r="M167" s="156"/>
      <c r="N167"/>
    </row>
    <row r="168" spans="2:14" ht="125.25" customHeight="1" x14ac:dyDescent="0.2">
      <c r="B168" s="147" t="s">
        <v>227</v>
      </c>
      <c r="C168" s="312"/>
      <c r="D168" s="116" t="s">
        <v>245</v>
      </c>
      <c r="E168" s="308" t="s">
        <v>7</v>
      </c>
      <c r="F168" s="271"/>
      <c r="G168" s="272"/>
      <c r="H168" s="117">
        <v>22</v>
      </c>
      <c r="I168" s="313">
        <v>1000</v>
      </c>
      <c r="J168" s="314"/>
      <c r="K168" s="315"/>
      <c r="L168" s="155">
        <f>I168*H168</f>
        <v>22000</v>
      </c>
      <c r="M168" s="156"/>
      <c r="N168"/>
    </row>
    <row r="169" spans="2:14" x14ac:dyDescent="0.2">
      <c r="B169" s="293" t="s">
        <v>228</v>
      </c>
      <c r="C169" s="294"/>
      <c r="D169" s="70" t="s">
        <v>223</v>
      </c>
      <c r="E169" s="316" t="s">
        <v>7</v>
      </c>
      <c r="F169" s="317"/>
      <c r="G169" s="318"/>
      <c r="H169" s="24">
        <v>22</v>
      </c>
      <c r="I169" s="319">
        <v>150</v>
      </c>
      <c r="J169" s="320"/>
      <c r="K169" s="321"/>
      <c r="L169" s="319">
        <f>I169*H169</f>
        <v>3300</v>
      </c>
      <c r="M169" s="321"/>
      <c r="N169"/>
    </row>
    <row r="170" spans="2:14" ht="20.25" customHeight="1" x14ac:dyDescent="0.2">
      <c r="B170" s="322" t="s">
        <v>229</v>
      </c>
      <c r="C170" s="323"/>
      <c r="D170" s="323"/>
      <c r="E170" s="323"/>
      <c r="F170" s="323"/>
      <c r="G170" s="323"/>
      <c r="H170" s="323"/>
      <c r="I170" s="323"/>
      <c r="J170" s="323"/>
      <c r="K170" s="323"/>
      <c r="L170" s="324">
        <f>SUM(L167:M169)</f>
        <v>29700</v>
      </c>
      <c r="M170" s="325"/>
      <c r="N170"/>
    </row>
    <row r="171" spans="2:14" ht="20.25" customHeight="1" x14ac:dyDescent="0.2">
      <c r="B171" s="119"/>
      <c r="C171" s="119"/>
      <c r="D171" s="119"/>
      <c r="E171" s="119"/>
      <c r="F171" s="119"/>
      <c r="G171" s="119"/>
      <c r="H171" s="119"/>
      <c r="I171" s="119"/>
      <c r="J171" s="119"/>
      <c r="K171" s="119"/>
      <c r="L171" s="120"/>
      <c r="M171" s="120"/>
      <c r="N171"/>
    </row>
    <row r="172" spans="2:14" s="121" customFormat="1" ht="18.75" customHeight="1" x14ac:dyDescent="0.2">
      <c r="B172" s="139" t="s">
        <v>234</v>
      </c>
      <c r="C172" s="139"/>
      <c r="D172" s="139"/>
      <c r="E172" s="139"/>
      <c r="F172" s="139"/>
      <c r="G172" s="139"/>
      <c r="H172" s="139"/>
      <c r="I172" s="139"/>
      <c r="J172" s="139"/>
      <c r="K172" s="139"/>
      <c r="L172" s="139"/>
      <c r="M172" s="139"/>
    </row>
    <row r="173" spans="2:14" s="121" customFormat="1" ht="25.5" customHeight="1" x14ac:dyDescent="0.2">
      <c r="B173" s="140" t="s">
        <v>1</v>
      </c>
      <c r="C173" s="141"/>
      <c r="D173" s="122" t="s">
        <v>2</v>
      </c>
      <c r="E173" s="140" t="s">
        <v>3</v>
      </c>
      <c r="F173" s="142"/>
      <c r="G173" s="141"/>
      <c r="H173" s="123" t="s">
        <v>4</v>
      </c>
      <c r="I173" s="143" t="s">
        <v>230</v>
      </c>
      <c r="J173" s="144"/>
      <c r="K173" s="145"/>
      <c r="L173" s="143" t="s">
        <v>231</v>
      </c>
      <c r="M173" s="146"/>
    </row>
    <row r="174" spans="2:14" s="121" customFormat="1" ht="33.75" x14ac:dyDescent="0.2">
      <c r="B174" s="147" t="s">
        <v>235</v>
      </c>
      <c r="C174" s="148"/>
      <c r="D174" s="56" t="s">
        <v>236</v>
      </c>
      <c r="E174" s="149" t="s">
        <v>7</v>
      </c>
      <c r="F174" s="150"/>
      <c r="G174" s="151"/>
      <c r="H174" s="124">
        <v>2</v>
      </c>
      <c r="I174" s="152">
        <v>200</v>
      </c>
      <c r="J174" s="153"/>
      <c r="K174" s="154"/>
      <c r="L174" s="155">
        <f>I174*H174</f>
        <v>400</v>
      </c>
      <c r="M174" s="156"/>
    </row>
    <row r="175" spans="2:14" s="121" customFormat="1" ht="20.25" customHeight="1" x14ac:dyDescent="0.2">
      <c r="B175" s="126" t="s">
        <v>237</v>
      </c>
      <c r="C175" s="127"/>
      <c r="D175" s="127"/>
      <c r="E175" s="127"/>
      <c r="F175" s="127"/>
      <c r="G175" s="127"/>
      <c r="H175" s="127"/>
      <c r="I175" s="127"/>
      <c r="J175" s="127"/>
      <c r="K175" s="127"/>
      <c r="L175" s="128">
        <f>SUM(L174)</f>
        <v>400</v>
      </c>
      <c r="M175" s="129"/>
    </row>
    <row r="176" spans="2:14" ht="20.25" customHeight="1" x14ac:dyDescent="0.2">
      <c r="B176" s="119"/>
      <c r="C176" s="119"/>
      <c r="D176" s="119"/>
      <c r="E176" s="119"/>
      <c r="F176" s="119"/>
      <c r="G176" s="119"/>
      <c r="H176" s="119"/>
      <c r="I176" s="119"/>
      <c r="J176" s="119"/>
      <c r="K176" s="119"/>
      <c r="L176" s="120"/>
      <c r="M176" s="120"/>
      <c r="N176"/>
    </row>
    <row r="177" spans="2:14" ht="16.5" customHeight="1" x14ac:dyDescent="0.2">
      <c r="B177" s="135" t="s">
        <v>11</v>
      </c>
      <c r="C177" s="135"/>
      <c r="D177" s="135"/>
      <c r="E177" s="135"/>
      <c r="F177" s="135"/>
      <c r="G177" s="135"/>
      <c r="H177" s="135"/>
      <c r="I177" s="135"/>
      <c r="J177" s="135"/>
      <c r="K177" s="135"/>
      <c r="L177" s="135"/>
      <c r="M177" s="135"/>
      <c r="N177"/>
    </row>
    <row r="178" spans="2:14" ht="14.25" customHeight="1" x14ac:dyDescent="0.2">
      <c r="B178" s="2" t="s">
        <v>12</v>
      </c>
      <c r="C178" s="136" t="s">
        <v>35</v>
      </c>
      <c r="D178" s="136"/>
      <c r="E178" s="136"/>
      <c r="F178" s="136"/>
      <c r="G178" s="136"/>
      <c r="H178" s="136"/>
      <c r="I178" s="136"/>
      <c r="J178" s="136"/>
      <c r="K178" s="136"/>
      <c r="L178" s="136"/>
      <c r="M178" s="137"/>
      <c r="N178"/>
    </row>
    <row r="179" spans="2:14" ht="14.25" customHeight="1" x14ac:dyDescent="0.2">
      <c r="B179" s="45">
        <v>1</v>
      </c>
      <c r="C179" s="130" t="s">
        <v>13</v>
      </c>
      <c r="D179" s="130"/>
      <c r="E179" s="130"/>
      <c r="F179" s="131" t="s">
        <v>233</v>
      </c>
      <c r="G179" s="131"/>
      <c r="H179" s="131"/>
      <c r="I179" s="131"/>
      <c r="J179" s="131"/>
      <c r="K179" s="132"/>
      <c r="L179" s="133">
        <f>L15</f>
        <v>73775</v>
      </c>
      <c r="M179" s="134"/>
      <c r="N179"/>
    </row>
    <row r="180" spans="2:14" ht="14.25" customHeight="1" x14ac:dyDescent="0.2">
      <c r="B180" s="45">
        <v>2</v>
      </c>
      <c r="C180" s="130" t="s">
        <v>14</v>
      </c>
      <c r="D180" s="130"/>
      <c r="E180" s="130"/>
      <c r="F180" s="131" t="s">
        <v>233</v>
      </c>
      <c r="G180" s="131"/>
      <c r="H180" s="131"/>
      <c r="I180" s="131"/>
      <c r="J180" s="131"/>
      <c r="K180" s="132"/>
      <c r="L180" s="133">
        <f>L56</f>
        <v>143636</v>
      </c>
      <c r="M180" s="134"/>
      <c r="N180"/>
    </row>
    <row r="181" spans="2:14" ht="14.25" customHeight="1" x14ac:dyDescent="0.2">
      <c r="B181" s="45">
        <v>3</v>
      </c>
      <c r="C181" s="130" t="s">
        <v>93</v>
      </c>
      <c r="D181" s="138"/>
      <c r="E181" s="138"/>
      <c r="F181" s="131" t="s">
        <v>233</v>
      </c>
      <c r="G181" s="131"/>
      <c r="H181" s="131"/>
      <c r="I181" s="131"/>
      <c r="J181" s="131"/>
      <c r="K181" s="132"/>
      <c r="L181" s="133">
        <f>L74</f>
        <v>113231</v>
      </c>
      <c r="M181" s="134"/>
      <c r="N181"/>
    </row>
    <row r="182" spans="2:14" ht="14.25" customHeight="1" x14ac:dyDescent="0.2">
      <c r="B182" s="45">
        <v>4</v>
      </c>
      <c r="C182" s="130" t="s">
        <v>15</v>
      </c>
      <c r="D182" s="130"/>
      <c r="E182" s="130"/>
      <c r="F182" s="131" t="s">
        <v>233</v>
      </c>
      <c r="G182" s="131"/>
      <c r="H182" s="131"/>
      <c r="I182" s="131"/>
      <c r="J182" s="131"/>
      <c r="K182" s="132"/>
      <c r="L182" s="133">
        <f>L99</f>
        <v>344530</v>
      </c>
      <c r="M182" s="134"/>
      <c r="N182"/>
    </row>
    <row r="183" spans="2:14" ht="14.25" customHeight="1" x14ac:dyDescent="0.2">
      <c r="B183" s="45">
        <v>5</v>
      </c>
      <c r="C183" s="130" t="s">
        <v>197</v>
      </c>
      <c r="D183" s="130"/>
      <c r="E183" s="130"/>
      <c r="F183" s="131" t="s">
        <v>233</v>
      </c>
      <c r="G183" s="131"/>
      <c r="H183" s="131"/>
      <c r="I183" s="131"/>
      <c r="J183" s="131"/>
      <c r="K183" s="132"/>
      <c r="L183" s="133">
        <f>L121</f>
        <v>22800</v>
      </c>
      <c r="M183" s="134"/>
      <c r="N183"/>
    </row>
    <row r="184" spans="2:14" ht="14.25" customHeight="1" x14ac:dyDescent="0.2">
      <c r="B184" s="45">
        <v>6</v>
      </c>
      <c r="C184" s="130" t="s">
        <v>16</v>
      </c>
      <c r="D184" s="130"/>
      <c r="E184" s="130"/>
      <c r="F184" s="131" t="s">
        <v>233</v>
      </c>
      <c r="G184" s="131"/>
      <c r="H184" s="131"/>
      <c r="I184" s="131"/>
      <c r="J184" s="131"/>
      <c r="K184" s="132"/>
      <c r="L184" s="133">
        <f>L135</f>
        <v>40200</v>
      </c>
      <c r="M184" s="134"/>
      <c r="N184"/>
    </row>
    <row r="185" spans="2:14" ht="14.25" customHeight="1" x14ac:dyDescent="0.2">
      <c r="B185" s="45">
        <v>7</v>
      </c>
      <c r="C185" s="130" t="s">
        <v>59</v>
      </c>
      <c r="D185" s="130"/>
      <c r="E185" s="130"/>
      <c r="F185" s="131" t="s">
        <v>233</v>
      </c>
      <c r="G185" s="131"/>
      <c r="H185" s="131"/>
      <c r="I185" s="131"/>
      <c r="J185" s="131"/>
      <c r="K185" s="132"/>
      <c r="L185" s="133">
        <f>L149</f>
        <v>0</v>
      </c>
      <c r="M185" s="134"/>
      <c r="N185"/>
    </row>
    <row r="186" spans="2:14" ht="14.25" customHeight="1" x14ac:dyDescent="0.2">
      <c r="B186" s="45">
        <v>8</v>
      </c>
      <c r="C186" s="130" t="s">
        <v>60</v>
      </c>
      <c r="D186" s="130"/>
      <c r="E186" s="130"/>
      <c r="F186" s="131" t="s">
        <v>233</v>
      </c>
      <c r="G186" s="131"/>
      <c r="H186" s="131"/>
      <c r="I186" s="131"/>
      <c r="J186" s="131"/>
      <c r="K186" s="132"/>
      <c r="L186" s="133">
        <f>L155</f>
        <v>0</v>
      </c>
      <c r="M186" s="134"/>
      <c r="N186"/>
    </row>
    <row r="187" spans="2:14" ht="14.25" customHeight="1" x14ac:dyDescent="0.2">
      <c r="B187" s="45">
        <v>9</v>
      </c>
      <c r="C187" s="130" t="s">
        <v>17</v>
      </c>
      <c r="D187" s="130"/>
      <c r="E187" s="130"/>
      <c r="F187" s="131" t="s">
        <v>233</v>
      </c>
      <c r="G187" s="131"/>
      <c r="H187" s="131"/>
      <c r="I187" s="131"/>
      <c r="J187" s="131"/>
      <c r="K187" s="132"/>
      <c r="L187" s="133">
        <f>L164</f>
        <v>49290</v>
      </c>
      <c r="M187" s="134"/>
      <c r="N187"/>
    </row>
    <row r="188" spans="2:14" ht="14.25" customHeight="1" x14ac:dyDescent="0.2">
      <c r="B188" s="118">
        <v>10</v>
      </c>
      <c r="C188" s="130" t="s">
        <v>224</v>
      </c>
      <c r="D188" s="130"/>
      <c r="E188" s="130"/>
      <c r="F188" s="131" t="s">
        <v>233</v>
      </c>
      <c r="G188" s="131"/>
      <c r="H188" s="131"/>
      <c r="I188" s="131"/>
      <c r="J188" s="131"/>
      <c r="K188" s="132"/>
      <c r="L188" s="133">
        <f>L170</f>
        <v>29700</v>
      </c>
      <c r="M188" s="134"/>
      <c r="N188"/>
    </row>
    <row r="189" spans="2:14" ht="14.25" customHeight="1" x14ac:dyDescent="0.2">
      <c r="B189" s="118">
        <v>11</v>
      </c>
      <c r="C189" s="130" t="s">
        <v>238</v>
      </c>
      <c r="D189" s="130"/>
      <c r="E189" s="130"/>
      <c r="F189" s="131" t="s">
        <v>233</v>
      </c>
      <c r="G189" s="131"/>
      <c r="H189" s="131"/>
      <c r="I189" s="131"/>
      <c r="J189" s="131"/>
      <c r="K189" s="132"/>
      <c r="L189" s="133">
        <f>L175</f>
        <v>400</v>
      </c>
      <c r="M189" s="134"/>
      <c r="N189"/>
    </row>
    <row r="190" spans="2:14" ht="14.25" customHeight="1" x14ac:dyDescent="0.2">
      <c r="B190" s="166" t="s">
        <v>18</v>
      </c>
      <c r="C190" s="167"/>
      <c r="D190" s="167"/>
      <c r="E190" s="167"/>
      <c r="F190" s="157" t="s">
        <v>233</v>
      </c>
      <c r="G190" s="157"/>
      <c r="H190" s="157"/>
      <c r="I190" s="157"/>
      <c r="J190" s="157"/>
      <c r="K190" s="158"/>
      <c r="L190" s="164">
        <f>SUM(L179:M189)</f>
        <v>817562</v>
      </c>
      <c r="M190" s="165"/>
      <c r="N190"/>
    </row>
    <row r="191" spans="2:14" ht="14.25" customHeight="1" x14ac:dyDescent="0.2">
      <c r="B191" s="159" t="s">
        <v>48</v>
      </c>
      <c r="C191" s="160"/>
      <c r="D191" s="160"/>
      <c r="E191" s="160"/>
      <c r="F191" s="161" t="s">
        <v>233</v>
      </c>
      <c r="G191" s="161"/>
      <c r="H191" s="161"/>
      <c r="I191" s="161"/>
      <c r="J191" s="161"/>
      <c r="K191" s="162"/>
      <c r="L191" s="163">
        <f>0.25*L190</f>
        <v>204390.5</v>
      </c>
      <c r="M191" s="163"/>
      <c r="N191"/>
    </row>
    <row r="192" spans="2:14" x14ac:dyDescent="0.2">
      <c r="B192" s="281" t="s">
        <v>49</v>
      </c>
      <c r="C192" s="282"/>
      <c r="D192" s="282"/>
      <c r="E192" s="282"/>
      <c r="F192" s="283" t="s">
        <v>233</v>
      </c>
      <c r="G192" s="283"/>
      <c r="H192" s="283"/>
      <c r="I192" s="283"/>
      <c r="J192" s="283"/>
      <c r="K192" s="284"/>
      <c r="L192" s="285">
        <f>L191+L190</f>
        <v>1021952.5</v>
      </c>
      <c r="M192" s="285"/>
      <c r="N192"/>
    </row>
    <row r="193" spans="2:16" x14ac:dyDescent="0.2">
      <c r="B193" s="28"/>
      <c r="C193" s="28"/>
      <c r="D193" s="36"/>
      <c r="N193"/>
    </row>
    <row r="194" spans="2:16" x14ac:dyDescent="0.2">
      <c r="B194" s="28"/>
      <c r="C194" s="28"/>
      <c r="D194" s="28"/>
      <c r="N194"/>
    </row>
    <row r="195" spans="2:16" ht="15" x14ac:dyDescent="0.2">
      <c r="B195" s="286" t="s">
        <v>78</v>
      </c>
      <c r="C195" s="287"/>
      <c r="D195" s="287"/>
      <c r="E195" s="287"/>
      <c r="F195" s="287"/>
      <c r="G195" s="287"/>
      <c r="H195" s="287"/>
      <c r="I195" s="287"/>
      <c r="J195" s="287"/>
      <c r="K195" s="287"/>
      <c r="L195" s="287"/>
      <c r="M195" s="288"/>
      <c r="N195"/>
    </row>
    <row r="196" spans="2:16" ht="30" customHeight="1" x14ac:dyDescent="0.2">
      <c r="B196" s="254" t="s">
        <v>1</v>
      </c>
      <c r="C196" s="255"/>
      <c r="D196" s="6" t="s">
        <v>2</v>
      </c>
      <c r="E196" s="256" t="s">
        <v>3</v>
      </c>
      <c r="F196" s="257"/>
      <c r="G196" s="255"/>
      <c r="H196" s="19" t="s">
        <v>4</v>
      </c>
      <c r="I196" s="258" t="s">
        <v>230</v>
      </c>
      <c r="J196" s="291"/>
      <c r="K196" s="292"/>
      <c r="L196" s="258" t="s">
        <v>231</v>
      </c>
      <c r="M196" s="261"/>
      <c r="N196"/>
    </row>
    <row r="197" spans="2:16" ht="61.5" customHeight="1" x14ac:dyDescent="0.2">
      <c r="B197" s="293" t="s">
        <v>79</v>
      </c>
      <c r="C197" s="294"/>
      <c r="D197" s="54" t="s">
        <v>80</v>
      </c>
      <c r="E197" s="297"/>
      <c r="F197" s="298"/>
      <c r="G197" s="299"/>
      <c r="H197" s="65"/>
      <c r="I197" s="152"/>
      <c r="J197" s="153"/>
      <c r="K197" s="154"/>
      <c r="L197" s="152"/>
      <c r="M197" s="154"/>
      <c r="N197"/>
    </row>
    <row r="198" spans="2:16" x14ac:dyDescent="0.2">
      <c r="B198" s="295"/>
      <c r="C198" s="296"/>
      <c r="D198" s="34"/>
      <c r="E198" s="300" t="s">
        <v>65</v>
      </c>
      <c r="F198" s="301"/>
      <c r="G198" s="302"/>
      <c r="H198" s="25">
        <v>1</v>
      </c>
      <c r="I198" s="289"/>
      <c r="J198" s="303"/>
      <c r="K198" s="290"/>
      <c r="L198" s="289">
        <f>I198*H198</f>
        <v>0</v>
      </c>
      <c r="M198" s="290"/>
      <c r="N198"/>
      <c r="P198" s="125"/>
    </row>
    <row r="199" spans="2:16" x14ac:dyDescent="0.2">
      <c r="B199" s="126" t="s">
        <v>81</v>
      </c>
      <c r="C199" s="127"/>
      <c r="D199" s="127"/>
      <c r="E199" s="127"/>
      <c r="F199" s="127"/>
      <c r="G199" s="127"/>
      <c r="H199" s="127"/>
      <c r="I199" s="127"/>
      <c r="J199" s="127"/>
      <c r="K199" s="127"/>
      <c r="L199" s="128">
        <f>SUM(L198)</f>
        <v>0</v>
      </c>
      <c r="M199" s="129"/>
      <c r="N199"/>
    </row>
    <row r="202" spans="2:16" ht="15.75" x14ac:dyDescent="0.2">
      <c r="B202" s="174" t="s">
        <v>11</v>
      </c>
      <c r="C202" s="174"/>
      <c r="D202" s="174"/>
      <c r="E202" s="174"/>
      <c r="F202" s="174"/>
      <c r="G202" s="174"/>
      <c r="H202" s="174"/>
      <c r="I202" s="174"/>
      <c r="J202" s="174"/>
      <c r="K202" s="174"/>
      <c r="L202" s="174"/>
      <c r="M202" s="174"/>
      <c r="N202"/>
    </row>
    <row r="203" spans="2:16" x14ac:dyDescent="0.2">
      <c r="B203" s="112" t="s">
        <v>82</v>
      </c>
      <c r="C203" s="178" t="s">
        <v>83</v>
      </c>
      <c r="D203" s="178"/>
      <c r="E203" s="178"/>
      <c r="F203" s="179" t="s">
        <v>233</v>
      </c>
      <c r="G203" s="179"/>
      <c r="H203" s="179"/>
      <c r="I203" s="179"/>
      <c r="J203" s="179"/>
      <c r="K203" s="179"/>
      <c r="L203" s="180">
        <f>L199</f>
        <v>0</v>
      </c>
      <c r="M203" s="181"/>
      <c r="N203"/>
    </row>
    <row r="204" spans="2:16" x14ac:dyDescent="0.2">
      <c r="B204" s="182" t="s">
        <v>18</v>
      </c>
      <c r="C204" s="182"/>
      <c r="D204" s="182"/>
      <c r="E204" s="182"/>
      <c r="F204" s="172" t="s">
        <v>233</v>
      </c>
      <c r="G204" s="172"/>
      <c r="H204" s="172"/>
      <c r="I204" s="172"/>
      <c r="J204" s="172"/>
      <c r="K204" s="172"/>
      <c r="L204" s="183">
        <f>L203</f>
        <v>0</v>
      </c>
      <c r="M204" s="183"/>
      <c r="N204"/>
    </row>
    <row r="205" spans="2:16" x14ac:dyDescent="0.2">
      <c r="B205" s="168" t="s">
        <v>48</v>
      </c>
      <c r="C205" s="168"/>
      <c r="D205" s="168"/>
      <c r="E205" s="168"/>
      <c r="F205" s="169" t="s">
        <v>233</v>
      </c>
      <c r="G205" s="169"/>
      <c r="H205" s="169"/>
      <c r="I205" s="169"/>
      <c r="J205" s="169"/>
      <c r="K205" s="169"/>
      <c r="L205" s="170">
        <f>0.25*L204</f>
        <v>0</v>
      </c>
      <c r="M205" s="170"/>
      <c r="N205"/>
    </row>
    <row r="206" spans="2:16" x14ac:dyDescent="0.2">
      <c r="B206" s="171" t="s">
        <v>49</v>
      </c>
      <c r="C206" s="171"/>
      <c r="D206" s="171"/>
      <c r="E206" s="171"/>
      <c r="F206" s="172" t="s">
        <v>233</v>
      </c>
      <c r="G206" s="172"/>
      <c r="H206" s="172"/>
      <c r="I206" s="172"/>
      <c r="J206" s="172"/>
      <c r="K206" s="172"/>
      <c r="L206" s="173">
        <f>L205+L204</f>
        <v>0</v>
      </c>
      <c r="M206" s="173"/>
      <c r="N206"/>
    </row>
    <row r="209" spans="2:14" ht="15.75" x14ac:dyDescent="0.2">
      <c r="B209" s="174" t="s">
        <v>84</v>
      </c>
      <c r="C209" s="174"/>
      <c r="D209" s="174"/>
      <c r="E209" s="174"/>
      <c r="F209" s="174"/>
      <c r="G209" s="174"/>
      <c r="H209" s="174"/>
      <c r="I209" s="174"/>
      <c r="J209" s="174"/>
      <c r="K209" s="174"/>
      <c r="L209" s="174"/>
      <c r="M209" s="174"/>
      <c r="N209"/>
    </row>
    <row r="210" spans="2:14" x14ac:dyDescent="0.2">
      <c r="B210" s="66" t="s">
        <v>12</v>
      </c>
      <c r="C210" s="175" t="s">
        <v>85</v>
      </c>
      <c r="D210" s="175"/>
      <c r="E210" s="175"/>
      <c r="F210" s="176" t="s">
        <v>233</v>
      </c>
      <c r="G210" s="176"/>
      <c r="H210" s="176"/>
      <c r="I210" s="176"/>
      <c r="J210" s="176"/>
      <c r="K210" s="176"/>
      <c r="L210" s="177">
        <f>L190</f>
        <v>817562</v>
      </c>
      <c r="M210" s="176"/>
      <c r="N210"/>
    </row>
    <row r="211" spans="2:14" x14ac:dyDescent="0.2">
      <c r="B211" s="112" t="s">
        <v>82</v>
      </c>
      <c r="C211" s="178" t="s">
        <v>83</v>
      </c>
      <c r="D211" s="178"/>
      <c r="E211" s="178"/>
      <c r="F211" s="179" t="s">
        <v>233</v>
      </c>
      <c r="G211" s="179"/>
      <c r="H211" s="179"/>
      <c r="I211" s="179"/>
      <c r="J211" s="179"/>
      <c r="K211" s="179"/>
      <c r="L211" s="180">
        <f>L199</f>
        <v>0</v>
      </c>
      <c r="M211" s="181"/>
      <c r="N211"/>
    </row>
    <row r="212" spans="2:14" x14ac:dyDescent="0.2">
      <c r="B212" s="182" t="s">
        <v>18</v>
      </c>
      <c r="C212" s="182"/>
      <c r="D212" s="182"/>
      <c r="E212" s="182"/>
      <c r="F212" s="172" t="s">
        <v>233</v>
      </c>
      <c r="G212" s="172"/>
      <c r="H212" s="172"/>
      <c r="I212" s="172"/>
      <c r="J212" s="172"/>
      <c r="K212" s="172"/>
      <c r="L212" s="183">
        <f>L211+L210</f>
        <v>817562</v>
      </c>
      <c r="M212" s="183"/>
      <c r="N212"/>
    </row>
    <row r="213" spans="2:14" x14ac:dyDescent="0.2">
      <c r="B213" s="168" t="s">
        <v>48</v>
      </c>
      <c r="C213" s="168"/>
      <c r="D213" s="168"/>
      <c r="E213" s="168"/>
      <c r="F213" s="169" t="s">
        <v>233</v>
      </c>
      <c r="G213" s="169"/>
      <c r="H213" s="169"/>
      <c r="I213" s="169"/>
      <c r="J213" s="169"/>
      <c r="K213" s="169"/>
      <c r="L213" s="170">
        <f>0.25*L212</f>
        <v>204390.5</v>
      </c>
      <c r="M213" s="170"/>
      <c r="N213"/>
    </row>
    <row r="214" spans="2:14" x14ac:dyDescent="0.2">
      <c r="B214" s="171" t="s">
        <v>49</v>
      </c>
      <c r="C214" s="171"/>
      <c r="D214" s="171"/>
      <c r="E214" s="171"/>
      <c r="F214" s="172" t="s">
        <v>233</v>
      </c>
      <c r="G214" s="172"/>
      <c r="H214" s="172"/>
      <c r="I214" s="172"/>
      <c r="J214" s="172"/>
      <c r="K214" s="172"/>
      <c r="L214" s="173">
        <f>L213+L212</f>
        <v>1021952.5</v>
      </c>
      <c r="M214" s="173"/>
      <c r="N214"/>
    </row>
  </sheetData>
  <mergeCells count="577">
    <mergeCell ref="B2:M2"/>
    <mergeCell ref="B3:M3"/>
    <mergeCell ref="B4:M4"/>
    <mergeCell ref="B5:M5"/>
    <mergeCell ref="B6:C6"/>
    <mergeCell ref="E6:G6"/>
    <mergeCell ref="I6:K6"/>
    <mergeCell ref="L6:M6"/>
    <mergeCell ref="B11:C11"/>
    <mergeCell ref="E11:G11"/>
    <mergeCell ref="I11:K11"/>
    <mergeCell ref="L11:M11"/>
    <mergeCell ref="B12:C12"/>
    <mergeCell ref="E12:G12"/>
    <mergeCell ref="I12:K12"/>
    <mergeCell ref="L12:M12"/>
    <mergeCell ref="E7:M7"/>
    <mergeCell ref="B8:C10"/>
    <mergeCell ref="E8:M8"/>
    <mergeCell ref="E9:G9"/>
    <mergeCell ref="I9:K9"/>
    <mergeCell ref="L9:M9"/>
    <mergeCell ref="E10:G10"/>
    <mergeCell ref="I10:K10"/>
    <mergeCell ref="L10:M10"/>
    <mergeCell ref="B15:K15"/>
    <mergeCell ref="L15:M15"/>
    <mergeCell ref="B17:C17"/>
    <mergeCell ref="E17:G17"/>
    <mergeCell ref="I17:K17"/>
    <mergeCell ref="L17:M17"/>
    <mergeCell ref="B13:C13"/>
    <mergeCell ref="E13:G13"/>
    <mergeCell ref="I13:K13"/>
    <mergeCell ref="L13:M13"/>
    <mergeCell ref="B14:C14"/>
    <mergeCell ref="E14:G14"/>
    <mergeCell ref="I14:K14"/>
    <mergeCell ref="L14:M14"/>
    <mergeCell ref="L22:M22"/>
    <mergeCell ref="E23:G23"/>
    <mergeCell ref="I23:K23"/>
    <mergeCell ref="L23:M23"/>
    <mergeCell ref="E24:G24"/>
    <mergeCell ref="I24:K24"/>
    <mergeCell ref="L24:M24"/>
    <mergeCell ref="B18:C18"/>
    <mergeCell ref="E18:M19"/>
    <mergeCell ref="B19:C19"/>
    <mergeCell ref="B20:C29"/>
    <mergeCell ref="E20:M20"/>
    <mergeCell ref="E21:G21"/>
    <mergeCell ref="I21:K21"/>
    <mergeCell ref="L21:M21"/>
    <mergeCell ref="E22:G22"/>
    <mergeCell ref="I22:K22"/>
    <mergeCell ref="E27:G27"/>
    <mergeCell ref="I27:K27"/>
    <mergeCell ref="L27:M27"/>
    <mergeCell ref="E28:G28"/>
    <mergeCell ref="I28:K28"/>
    <mergeCell ref="L28:M28"/>
    <mergeCell ref="E25:G25"/>
    <mergeCell ref="I25:K25"/>
    <mergeCell ref="L25:M25"/>
    <mergeCell ref="E26:G26"/>
    <mergeCell ref="I26:K26"/>
    <mergeCell ref="L26:M26"/>
    <mergeCell ref="E29:G29"/>
    <mergeCell ref="I29:K29"/>
    <mergeCell ref="L29:M29"/>
    <mergeCell ref="B30:C32"/>
    <mergeCell ref="E30:M30"/>
    <mergeCell ref="E31:G31"/>
    <mergeCell ref="I31:K31"/>
    <mergeCell ref="L31:M31"/>
    <mergeCell ref="E32:G32"/>
    <mergeCell ref="I32:K32"/>
    <mergeCell ref="L32:M32"/>
    <mergeCell ref="B33:C33"/>
    <mergeCell ref="E33:G33"/>
    <mergeCell ref="I33:K33"/>
    <mergeCell ref="L33:M33"/>
    <mergeCell ref="B34:C35"/>
    <mergeCell ref="E34:M34"/>
    <mergeCell ref="E35:G35"/>
    <mergeCell ref="I35:K35"/>
    <mergeCell ref="L35:M35"/>
    <mergeCell ref="B38:C38"/>
    <mergeCell ref="E38:G38"/>
    <mergeCell ref="I38:K38"/>
    <mergeCell ref="L38:M38"/>
    <mergeCell ref="B39:C39"/>
    <mergeCell ref="E39:G39"/>
    <mergeCell ref="I39:K39"/>
    <mergeCell ref="L39:M39"/>
    <mergeCell ref="B36:C36"/>
    <mergeCell ref="E36:G36"/>
    <mergeCell ref="I36:K36"/>
    <mergeCell ref="L36:M36"/>
    <mergeCell ref="B37:C37"/>
    <mergeCell ref="E37:G37"/>
    <mergeCell ref="I37:K37"/>
    <mergeCell ref="L37:M37"/>
    <mergeCell ref="B40:C40"/>
    <mergeCell ref="E40:G40"/>
    <mergeCell ref="I40:K40"/>
    <mergeCell ref="L40:M40"/>
    <mergeCell ref="B41:C42"/>
    <mergeCell ref="E41:M41"/>
    <mergeCell ref="E42:G42"/>
    <mergeCell ref="I42:K42"/>
    <mergeCell ref="L42:M42"/>
    <mergeCell ref="E46:G46"/>
    <mergeCell ref="I46:K46"/>
    <mergeCell ref="L46:M46"/>
    <mergeCell ref="E47:G47"/>
    <mergeCell ref="I47:K47"/>
    <mergeCell ref="L47:M47"/>
    <mergeCell ref="E48:G48"/>
    <mergeCell ref="I48:K48"/>
    <mergeCell ref="B43:C43"/>
    <mergeCell ref="E43:G43"/>
    <mergeCell ref="I43:K43"/>
    <mergeCell ref="L43:M43"/>
    <mergeCell ref="B44:C44"/>
    <mergeCell ref="E44:G44"/>
    <mergeCell ref="I44:K44"/>
    <mergeCell ref="L44:M44"/>
    <mergeCell ref="E54:G54"/>
    <mergeCell ref="I54:K54"/>
    <mergeCell ref="L54:M54"/>
    <mergeCell ref="E51:G51"/>
    <mergeCell ref="I51:K51"/>
    <mergeCell ref="L51:M51"/>
    <mergeCell ref="L52:M52"/>
    <mergeCell ref="B45:C55"/>
    <mergeCell ref="E52:G52"/>
    <mergeCell ref="I52:K52"/>
    <mergeCell ref="E53:G53"/>
    <mergeCell ref="I53:K53"/>
    <mergeCell ref="L53:M53"/>
    <mergeCell ref="E55:G55"/>
    <mergeCell ref="I55:K55"/>
    <mergeCell ref="L55:M55"/>
    <mergeCell ref="L48:M48"/>
    <mergeCell ref="E49:G49"/>
    <mergeCell ref="I49:K49"/>
    <mergeCell ref="L49:M49"/>
    <mergeCell ref="E50:G50"/>
    <mergeCell ref="I50:K50"/>
    <mergeCell ref="L50:M50"/>
    <mergeCell ref="E45:M45"/>
    <mergeCell ref="E64:G64"/>
    <mergeCell ref="I64:K64"/>
    <mergeCell ref="L64:M64"/>
    <mergeCell ref="E65:G65"/>
    <mergeCell ref="I65:K65"/>
    <mergeCell ref="L65:M65"/>
    <mergeCell ref="B64:C64"/>
    <mergeCell ref="B65:C65"/>
    <mergeCell ref="B66:C66"/>
    <mergeCell ref="E66:G66"/>
    <mergeCell ref="I66:K66"/>
    <mergeCell ref="L66:M66"/>
    <mergeCell ref="I72:K72"/>
    <mergeCell ref="L72:M72"/>
    <mergeCell ref="E69:G69"/>
    <mergeCell ref="I69:K69"/>
    <mergeCell ref="L69:M69"/>
    <mergeCell ref="B67:C69"/>
    <mergeCell ref="E67:M67"/>
    <mergeCell ref="B70:C72"/>
    <mergeCell ref="E70:M70"/>
    <mergeCell ref="E71:G71"/>
    <mergeCell ref="I71:K71"/>
    <mergeCell ref="L71:M71"/>
    <mergeCell ref="E72:G72"/>
    <mergeCell ref="E68:G68"/>
    <mergeCell ref="I68:K68"/>
    <mergeCell ref="L68:M68"/>
    <mergeCell ref="B77:C78"/>
    <mergeCell ref="E76:F76"/>
    <mergeCell ref="G76:H76"/>
    <mergeCell ref="I76:K76"/>
    <mergeCell ref="L76:M76"/>
    <mergeCell ref="B73:C73"/>
    <mergeCell ref="E73:G73"/>
    <mergeCell ref="I73:K73"/>
    <mergeCell ref="L73:M73"/>
    <mergeCell ref="B74:K74"/>
    <mergeCell ref="L74:M74"/>
    <mergeCell ref="B75:M75"/>
    <mergeCell ref="B76:C76"/>
    <mergeCell ref="E77:M78"/>
    <mergeCell ref="B81:C82"/>
    <mergeCell ref="E81:M81"/>
    <mergeCell ref="E82:F82"/>
    <mergeCell ref="G82:H82"/>
    <mergeCell ref="I82:K82"/>
    <mergeCell ref="L82:M82"/>
    <mergeCell ref="E80:F80"/>
    <mergeCell ref="G80:H80"/>
    <mergeCell ref="I80:K80"/>
    <mergeCell ref="L80:M80"/>
    <mergeCell ref="B79:C80"/>
    <mergeCell ref="E79:M79"/>
    <mergeCell ref="B83:C83"/>
    <mergeCell ref="E83:F83"/>
    <mergeCell ref="G83:H83"/>
    <mergeCell ref="I83:K83"/>
    <mergeCell ref="L83:M83"/>
    <mergeCell ref="B84:C84"/>
    <mergeCell ref="E84:F84"/>
    <mergeCell ref="G84:H84"/>
    <mergeCell ref="I84:K84"/>
    <mergeCell ref="L84:M84"/>
    <mergeCell ref="B85:C86"/>
    <mergeCell ref="E85:M85"/>
    <mergeCell ref="E86:F86"/>
    <mergeCell ref="G86:H86"/>
    <mergeCell ref="I86:K86"/>
    <mergeCell ref="L86:M86"/>
    <mergeCell ref="B87:C87"/>
    <mergeCell ref="B88:C89"/>
    <mergeCell ref="E88:M88"/>
    <mergeCell ref="E90:M90"/>
    <mergeCell ref="E91:F91"/>
    <mergeCell ref="G91:H91"/>
    <mergeCell ref="I91:K91"/>
    <mergeCell ref="E87:F87"/>
    <mergeCell ref="G87:H87"/>
    <mergeCell ref="I87:K87"/>
    <mergeCell ref="L87:M87"/>
    <mergeCell ref="E89:F89"/>
    <mergeCell ref="G89:H89"/>
    <mergeCell ref="I89:K89"/>
    <mergeCell ref="L89:M89"/>
    <mergeCell ref="B96:C97"/>
    <mergeCell ref="E96:M96"/>
    <mergeCell ref="E97:F97"/>
    <mergeCell ref="G97:H97"/>
    <mergeCell ref="I97:K97"/>
    <mergeCell ref="L97:M97"/>
    <mergeCell ref="E98:F98"/>
    <mergeCell ref="G98:H98"/>
    <mergeCell ref="L91:M91"/>
    <mergeCell ref="E93:F93"/>
    <mergeCell ref="G93:H93"/>
    <mergeCell ref="I93:K93"/>
    <mergeCell ref="L93:M93"/>
    <mergeCell ref="B90:C93"/>
    <mergeCell ref="E92:F92"/>
    <mergeCell ref="G92:H92"/>
    <mergeCell ref="I92:K92"/>
    <mergeCell ref="L92:M92"/>
    <mergeCell ref="B94:C95"/>
    <mergeCell ref="E94:M94"/>
    <mergeCell ref="E95:F95"/>
    <mergeCell ref="G95:H95"/>
    <mergeCell ref="I95:K95"/>
    <mergeCell ref="L95:M95"/>
    <mergeCell ref="E106:G106"/>
    <mergeCell ref="I106:K106"/>
    <mergeCell ref="L106:M106"/>
    <mergeCell ref="B106:C106"/>
    <mergeCell ref="B102:C102"/>
    <mergeCell ref="E102:G102"/>
    <mergeCell ref="I102:K102"/>
    <mergeCell ref="L102:M102"/>
    <mergeCell ref="B98:C98"/>
    <mergeCell ref="I98:K98"/>
    <mergeCell ref="L98:M98"/>
    <mergeCell ref="B99:K100"/>
    <mergeCell ref="L99:M100"/>
    <mergeCell ref="B101:M101"/>
    <mergeCell ref="B103:C103"/>
    <mergeCell ref="E103:M104"/>
    <mergeCell ref="B104:C104"/>
    <mergeCell ref="B105:C105"/>
    <mergeCell ref="E105:G105"/>
    <mergeCell ref="I105:K105"/>
    <mergeCell ref="L105:M105"/>
    <mergeCell ref="E112:G112"/>
    <mergeCell ref="I112:K112"/>
    <mergeCell ref="L112:M112"/>
    <mergeCell ref="B107:C108"/>
    <mergeCell ref="E107:M107"/>
    <mergeCell ref="E108:G108"/>
    <mergeCell ref="I108:K108"/>
    <mergeCell ref="L108:M108"/>
    <mergeCell ref="B109:C110"/>
    <mergeCell ref="E109:M109"/>
    <mergeCell ref="E110:G110"/>
    <mergeCell ref="I110:K110"/>
    <mergeCell ref="L110:M110"/>
    <mergeCell ref="B111:C112"/>
    <mergeCell ref="E111:M111"/>
    <mergeCell ref="B113:C113"/>
    <mergeCell ref="E113:G113"/>
    <mergeCell ref="I113:K113"/>
    <mergeCell ref="L113:M113"/>
    <mergeCell ref="B114:C116"/>
    <mergeCell ref="E114:M114"/>
    <mergeCell ref="E115:G115"/>
    <mergeCell ref="I115:K115"/>
    <mergeCell ref="L115:M115"/>
    <mergeCell ref="E116:G116"/>
    <mergeCell ref="I116:K116"/>
    <mergeCell ref="L116:M116"/>
    <mergeCell ref="B117:C117"/>
    <mergeCell ref="E117:G117"/>
    <mergeCell ref="I117:K117"/>
    <mergeCell ref="L117:M117"/>
    <mergeCell ref="B118:C120"/>
    <mergeCell ref="E118:M118"/>
    <mergeCell ref="E119:G119"/>
    <mergeCell ref="I119:K119"/>
    <mergeCell ref="L119:M119"/>
    <mergeCell ref="B121:K122"/>
    <mergeCell ref="L121:M122"/>
    <mergeCell ref="B123:M123"/>
    <mergeCell ref="B124:C124"/>
    <mergeCell ref="E124:G124"/>
    <mergeCell ref="I124:K124"/>
    <mergeCell ref="L124:M124"/>
    <mergeCell ref="E125:M126"/>
    <mergeCell ref="E120:G120"/>
    <mergeCell ref="I120:K120"/>
    <mergeCell ref="L120:M120"/>
    <mergeCell ref="B137:C137"/>
    <mergeCell ref="E137:G137"/>
    <mergeCell ref="I137:K137"/>
    <mergeCell ref="L137:M137"/>
    <mergeCell ref="E133:G133"/>
    <mergeCell ref="I133:K133"/>
    <mergeCell ref="L133:M133"/>
    <mergeCell ref="B135:K135"/>
    <mergeCell ref="L135:M135"/>
    <mergeCell ref="B136:M136"/>
    <mergeCell ref="B140:C140"/>
    <mergeCell ref="E140:G140"/>
    <mergeCell ref="I140:K140"/>
    <mergeCell ref="L140:M140"/>
    <mergeCell ref="L141:M141"/>
    <mergeCell ref="B138:C138"/>
    <mergeCell ref="B139:C139"/>
    <mergeCell ref="E138:M139"/>
    <mergeCell ref="B141:C141"/>
    <mergeCell ref="E141:G141"/>
    <mergeCell ref="I141:K141"/>
    <mergeCell ref="B143:C143"/>
    <mergeCell ref="E143:G143"/>
    <mergeCell ref="I143:K143"/>
    <mergeCell ref="L143:M143"/>
    <mergeCell ref="B144:C144"/>
    <mergeCell ref="B145:C145"/>
    <mergeCell ref="B142:C142"/>
    <mergeCell ref="E142:G142"/>
    <mergeCell ref="I142:K142"/>
    <mergeCell ref="L142:M142"/>
    <mergeCell ref="E144:G144"/>
    <mergeCell ref="I144:K144"/>
    <mergeCell ref="L144:M144"/>
    <mergeCell ref="E145:G145"/>
    <mergeCell ref="I145:K145"/>
    <mergeCell ref="L145:M145"/>
    <mergeCell ref="B151:C151"/>
    <mergeCell ref="E151:G151"/>
    <mergeCell ref="I151:K151"/>
    <mergeCell ref="L151:M151"/>
    <mergeCell ref="B152:C152"/>
    <mergeCell ref="L149:M149"/>
    <mergeCell ref="B146:C146"/>
    <mergeCell ref="E146:G146"/>
    <mergeCell ref="I146:K146"/>
    <mergeCell ref="L146:M146"/>
    <mergeCell ref="L147:M147"/>
    <mergeCell ref="B147:C147"/>
    <mergeCell ref="E147:G147"/>
    <mergeCell ref="I147:K147"/>
    <mergeCell ref="B148:C148"/>
    <mergeCell ref="E148:G148"/>
    <mergeCell ref="I148:K148"/>
    <mergeCell ref="L148:M148"/>
    <mergeCell ref="B149:K149"/>
    <mergeCell ref="B150:M150"/>
    <mergeCell ref="B153:C153"/>
    <mergeCell ref="L155:M155"/>
    <mergeCell ref="E152:M153"/>
    <mergeCell ref="B154:C154"/>
    <mergeCell ref="E154:G154"/>
    <mergeCell ref="I154:K154"/>
    <mergeCell ref="L154:M154"/>
    <mergeCell ref="B155:K155"/>
    <mergeCell ref="B156:M156"/>
    <mergeCell ref="B168:C168"/>
    <mergeCell ref="E168:G168"/>
    <mergeCell ref="I168:K168"/>
    <mergeCell ref="L168:M168"/>
    <mergeCell ref="B169:C169"/>
    <mergeCell ref="E169:G169"/>
    <mergeCell ref="I169:K169"/>
    <mergeCell ref="L169:M169"/>
    <mergeCell ref="B170:K170"/>
    <mergeCell ref="L170:M170"/>
    <mergeCell ref="L164:M164"/>
    <mergeCell ref="L161:M161"/>
    <mergeCell ref="B164:K164"/>
    <mergeCell ref="B165:M165"/>
    <mergeCell ref="B166:C166"/>
    <mergeCell ref="E166:G166"/>
    <mergeCell ref="I166:K166"/>
    <mergeCell ref="L166:M166"/>
    <mergeCell ref="B167:C167"/>
    <mergeCell ref="E167:G167"/>
    <mergeCell ref="I167:K167"/>
    <mergeCell ref="L167:M167"/>
    <mergeCell ref="B192:E192"/>
    <mergeCell ref="F192:K192"/>
    <mergeCell ref="L192:M192"/>
    <mergeCell ref="B195:M195"/>
    <mergeCell ref="L198:M198"/>
    <mergeCell ref="L196:M196"/>
    <mergeCell ref="L197:M197"/>
    <mergeCell ref="B196:C196"/>
    <mergeCell ref="E196:G196"/>
    <mergeCell ref="I196:K196"/>
    <mergeCell ref="B197:C198"/>
    <mergeCell ref="E197:G197"/>
    <mergeCell ref="I197:K197"/>
    <mergeCell ref="E198:G198"/>
    <mergeCell ref="I198:K198"/>
    <mergeCell ref="F206:K206"/>
    <mergeCell ref="L206:M206"/>
    <mergeCell ref="C203:E203"/>
    <mergeCell ref="F203:K203"/>
    <mergeCell ref="L203:M203"/>
    <mergeCell ref="B204:E204"/>
    <mergeCell ref="F204:K204"/>
    <mergeCell ref="L204:M204"/>
    <mergeCell ref="B199:K199"/>
    <mergeCell ref="L199:M199"/>
    <mergeCell ref="B202:M202"/>
    <mergeCell ref="L56:M56"/>
    <mergeCell ref="B57:M57"/>
    <mergeCell ref="B58:C58"/>
    <mergeCell ref="E58:G58"/>
    <mergeCell ref="I58:K58"/>
    <mergeCell ref="L58:M58"/>
    <mergeCell ref="B59:C59"/>
    <mergeCell ref="E59:M61"/>
    <mergeCell ref="B62:C63"/>
    <mergeCell ref="E62:M62"/>
    <mergeCell ref="E63:G63"/>
    <mergeCell ref="I63:K63"/>
    <mergeCell ref="L63:M63"/>
    <mergeCell ref="B61:C61"/>
    <mergeCell ref="B60:C60"/>
    <mergeCell ref="B56:K56"/>
    <mergeCell ref="B127:C127"/>
    <mergeCell ref="B128:C134"/>
    <mergeCell ref="E128:M128"/>
    <mergeCell ref="E131:G131"/>
    <mergeCell ref="I131:K131"/>
    <mergeCell ref="E132:G132"/>
    <mergeCell ref="I132:K132"/>
    <mergeCell ref="L132:M132"/>
    <mergeCell ref="E134:G134"/>
    <mergeCell ref="I134:K134"/>
    <mergeCell ref="L134:M134"/>
    <mergeCell ref="L131:M131"/>
    <mergeCell ref="E129:G129"/>
    <mergeCell ref="I129:K129"/>
    <mergeCell ref="L129:M129"/>
    <mergeCell ref="E127:G127"/>
    <mergeCell ref="I127:K127"/>
    <mergeCell ref="L127:M127"/>
    <mergeCell ref="E130:G130"/>
    <mergeCell ref="I130:K130"/>
    <mergeCell ref="L130:M130"/>
    <mergeCell ref="E157:G157"/>
    <mergeCell ref="I157:K157"/>
    <mergeCell ref="L157:M157"/>
    <mergeCell ref="B158:C158"/>
    <mergeCell ref="E158:G158"/>
    <mergeCell ref="I158:K158"/>
    <mergeCell ref="L158:M158"/>
    <mergeCell ref="B159:C159"/>
    <mergeCell ref="E159:G159"/>
    <mergeCell ref="I159:K159"/>
    <mergeCell ref="L159:M159"/>
    <mergeCell ref="B157:C157"/>
    <mergeCell ref="B160:C160"/>
    <mergeCell ref="E160:G160"/>
    <mergeCell ref="I160:K160"/>
    <mergeCell ref="B161:C161"/>
    <mergeCell ref="E161:G161"/>
    <mergeCell ref="I161:K161"/>
    <mergeCell ref="B162:C163"/>
    <mergeCell ref="E162:M162"/>
    <mergeCell ref="E163:G163"/>
    <mergeCell ref="I163:K163"/>
    <mergeCell ref="L160:M160"/>
    <mergeCell ref="L163:M163"/>
    <mergeCell ref="F182:K182"/>
    <mergeCell ref="L182:M182"/>
    <mergeCell ref="L186:M186"/>
    <mergeCell ref="C184:E184"/>
    <mergeCell ref="B213:E213"/>
    <mergeCell ref="F213:K213"/>
    <mergeCell ref="L213:M213"/>
    <mergeCell ref="B214:E214"/>
    <mergeCell ref="F214:K214"/>
    <mergeCell ref="L214:M214"/>
    <mergeCell ref="B209:M209"/>
    <mergeCell ref="C210:E210"/>
    <mergeCell ref="F210:K210"/>
    <mergeCell ref="L210:M210"/>
    <mergeCell ref="C211:E211"/>
    <mergeCell ref="F211:K211"/>
    <mergeCell ref="L211:M211"/>
    <mergeCell ref="B212:E212"/>
    <mergeCell ref="F212:K212"/>
    <mergeCell ref="L212:M212"/>
    <mergeCell ref="B205:E205"/>
    <mergeCell ref="F205:K205"/>
    <mergeCell ref="L205:M205"/>
    <mergeCell ref="B206:E206"/>
    <mergeCell ref="C183:E183"/>
    <mergeCell ref="F183:K183"/>
    <mergeCell ref="L183:M183"/>
    <mergeCell ref="F188:K188"/>
    <mergeCell ref="L188:M188"/>
    <mergeCell ref="C188:E188"/>
    <mergeCell ref="F190:K190"/>
    <mergeCell ref="B191:E191"/>
    <mergeCell ref="F191:K191"/>
    <mergeCell ref="L191:M191"/>
    <mergeCell ref="L187:M187"/>
    <mergeCell ref="L190:M190"/>
    <mergeCell ref="C187:E187"/>
    <mergeCell ref="F187:K187"/>
    <mergeCell ref="B190:E190"/>
    <mergeCell ref="B172:M172"/>
    <mergeCell ref="B173:C173"/>
    <mergeCell ref="E173:G173"/>
    <mergeCell ref="I173:K173"/>
    <mergeCell ref="L173:M173"/>
    <mergeCell ref="B174:C174"/>
    <mergeCell ref="E174:G174"/>
    <mergeCell ref="I174:K174"/>
    <mergeCell ref="L174:M174"/>
    <mergeCell ref="B175:K175"/>
    <mergeCell ref="L175:M175"/>
    <mergeCell ref="C189:E189"/>
    <mergeCell ref="F189:K189"/>
    <mergeCell ref="L189:M189"/>
    <mergeCell ref="F184:K184"/>
    <mergeCell ref="L184:M184"/>
    <mergeCell ref="C185:E185"/>
    <mergeCell ref="F185:K185"/>
    <mergeCell ref="L185:M185"/>
    <mergeCell ref="C186:E186"/>
    <mergeCell ref="F186:K186"/>
    <mergeCell ref="C179:E179"/>
    <mergeCell ref="F179:K179"/>
    <mergeCell ref="L179:M179"/>
    <mergeCell ref="B177:M177"/>
    <mergeCell ref="C178:M178"/>
    <mergeCell ref="F180:K180"/>
    <mergeCell ref="L180:M180"/>
    <mergeCell ref="F181:K181"/>
    <mergeCell ref="L181:M181"/>
    <mergeCell ref="C180:E180"/>
    <mergeCell ref="C181:E181"/>
    <mergeCell ref="C182:E182"/>
  </mergeCells>
  <pageMargins left="0.7" right="0.7" top="0.75" bottom="0.75" header="0.3" footer="0.3"/>
  <ignoredErrors>
    <ignoredError sqref="L65:L66 L68:L69 L71:L72 L86:L87 L89 L91:L93 L95" unlockedFormula="1"/>
    <ignoredError sqref="L213" formula="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GRAĐEVINSKI RADOVI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Online2PDF.com</dc:creator>
  <cp:lastModifiedBy>Ivan Cakaric</cp:lastModifiedBy>
  <cp:lastPrinted>2021-05-21T11:43:40Z</cp:lastPrinted>
  <dcterms:created xsi:type="dcterms:W3CDTF">2015-12-24T07:27:42Z</dcterms:created>
  <dcterms:modified xsi:type="dcterms:W3CDTF">2025-09-11T14:24:28Z</dcterms:modified>
</cp:coreProperties>
</file>