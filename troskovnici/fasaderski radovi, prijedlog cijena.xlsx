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Z:\Tehnicki Črček\Pošta\4301 BRANITELJSKI CENTAR U SLUNJU\03 UGOVARANJE\01.3. KOOPERANTI\- fasaderski radovi\"/>
    </mc:Choice>
  </mc:AlternateContent>
  <xr:revisionPtr revIDLastSave="0" documentId="13_ncr:1_{777E2EA0-64E4-4A8E-82A5-0FE45242A977}" xr6:coauthVersionLast="47" xr6:coauthVersionMax="47" xr10:uidLastSave="{00000000-0000-0000-0000-000000000000}"/>
  <bookViews>
    <workbookView xWindow="-108" yWindow="-108" windowWidth="23256" windowHeight="12456" activeTab="2" xr2:uid="{0E2474BE-241B-4A3B-9E2E-7B608A7F5ECB}"/>
  </bookViews>
  <sheets>
    <sheet name="Naslovnica" sheetId="1" r:id="rId1"/>
    <sheet name="Opci uvjeti" sheetId="2" r:id="rId2"/>
    <sheet name="1.Građevinsko-obrt radovi" sheetId="3" r:id="rId3"/>
  </sheets>
  <definedNames>
    <definedName name="_xlnm._FilterDatabase" localSheetId="2" hidden="1">'1.Građevinsko-obrt radovi'!#REF!</definedName>
    <definedName name="_xlnm.Print_Titles" localSheetId="2">'1.Građevinsko-obrt radovi'!$1:$4</definedName>
    <definedName name="_xlnm.Print_Area" localSheetId="0">Naslovnica!$A$1:$K$59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8" i="3" l="1"/>
  <c r="F273" i="3"/>
  <c r="F268" i="3"/>
  <c r="F267" i="3"/>
  <c r="F243" i="3"/>
  <c r="F237" i="3"/>
  <c r="F214" i="3"/>
  <c r="F213" i="3"/>
  <c r="F212" i="3"/>
  <c r="F211" i="3"/>
  <c r="F196" i="3"/>
  <c r="F195" i="3"/>
  <c r="F194" i="3"/>
  <c r="F169" i="3"/>
  <c r="F168" i="3"/>
  <c r="F167" i="3"/>
  <c r="F160" i="3"/>
  <c r="F159" i="3"/>
  <c r="F134" i="3"/>
  <c r="F133" i="3"/>
  <c r="F109" i="3"/>
  <c r="F83" i="3"/>
  <c r="F82" i="3"/>
  <c r="F81" i="3"/>
  <c r="F80" i="3"/>
  <c r="F280" i="3" l="1"/>
  <c r="F289" i="3" s="1"/>
  <c r="F293" i="3" s="1"/>
</calcChain>
</file>

<file path=xl/sharedStrings.xml><?xml version="1.0" encoding="utf-8"?>
<sst xmlns="http://schemas.openxmlformats.org/spreadsheetml/2006/main" count="346" uniqueCount="209">
  <si>
    <t>INVESTITOR:</t>
  </si>
  <si>
    <t>MINISTARSTVO HRVATSKIH BRANITELJA</t>
  </si>
  <si>
    <t>Trg Nevenke Topalušić 1</t>
  </si>
  <si>
    <t>10000 Zagreb</t>
  </si>
  <si>
    <t>OIB: 95131524528</t>
  </si>
  <si>
    <t>GRAĐEVINA:</t>
  </si>
  <si>
    <t xml:space="preserve">REKONSTRUKCIJA ŠKOLSKE ZGRADE U DONJEM LAĐEVCU </t>
  </si>
  <si>
    <t xml:space="preserve">NA k.č. 431/2 k.o. Donji Lađevac, U SVRHU PRENAMJENE </t>
  </si>
  <si>
    <t>U BRANITELJSKI CENTAR U SLUNJU</t>
  </si>
  <si>
    <t>LOKACIJA:</t>
  </si>
  <si>
    <t>Donji Lađevac</t>
  </si>
  <si>
    <t>k.č. 431/2 k.o. Donji Lađevac</t>
  </si>
  <si>
    <t xml:space="preserve">T.D.:                  </t>
  </si>
  <si>
    <t xml:space="preserve"> 01/2025</t>
  </si>
  <si>
    <t>Z.O.P.:</t>
  </si>
  <si>
    <t>MAPA T</t>
  </si>
  <si>
    <t>TROŠKOVNIK ZA IZVOĐENJE RADOVA</t>
  </si>
  <si>
    <t xml:space="preserve">  </t>
  </si>
  <si>
    <t>1. FAZA</t>
  </si>
  <si>
    <t>Glavni projektant:</t>
  </si>
  <si>
    <r>
      <rPr>
        <b/>
        <sz val="10"/>
        <rFont val="Arial"/>
        <family val="2"/>
      </rPr>
      <t>Dina Rajković</t>
    </r>
    <r>
      <rPr>
        <sz val="10"/>
        <rFont val="Arial"/>
        <family val="2"/>
      </rPr>
      <t>, dipl.ing.arh.</t>
    </r>
  </si>
  <si>
    <t>Troškovnik građevinskih i građevinsko-obrtničkih radova:</t>
  </si>
  <si>
    <t>Izradio:</t>
  </si>
  <si>
    <t>Zdravko Stepić, ing.arh.</t>
  </si>
  <si>
    <t>Troškovnik prometnica, parkirališta i pješačkih površina:</t>
  </si>
  <si>
    <t>Ivana Cestar Breški, mag.ing.aedif.</t>
  </si>
  <si>
    <t>Troškovnik vodovoda i kanalizacije:</t>
  </si>
  <si>
    <t>Vlado Herout, mag. ing. aedif.</t>
  </si>
  <si>
    <t>Troškovnik strojarskih instalacija</t>
  </si>
  <si>
    <t>Izradilo:</t>
  </si>
  <si>
    <t>Luka Čižmek mag.ing.mech.</t>
  </si>
  <si>
    <t>Troškovnik vertikalnog transporta:</t>
  </si>
  <si>
    <t>Rok Pietri mag.ing.arch.nav.</t>
  </si>
  <si>
    <t>Troškovnik fotonaponske elekt., elektroinstal. i vatrodojave:</t>
  </si>
  <si>
    <t xml:space="preserve"> Ivan Sović,ing el.</t>
  </si>
  <si>
    <t>Direktor:</t>
  </si>
  <si>
    <t>lipanj, 2025.</t>
  </si>
  <si>
    <t>OPĆI UVJETI</t>
  </si>
  <si>
    <t>Napomena - opći uvjeti vrijede za sve grupe radova</t>
  </si>
  <si>
    <t>U skladu sa odredbama čl. 209. i čl. 210. ZJN 2016 daju se sljedeće napomene koje se odnose na sve stavke ovog Troškovnika:</t>
  </si>
  <si>
    <t xml:space="preserve">U troškovničkim stavkama gdje su zbog potrebe dovoljne preciznosti i razumljivosti traženoga navedeni materijali, proizvodi i/ili oprema (roba), Ponuditelji slobodno mogu ponuditi jednakovrijedne materijale, proizvode i/ili opremu (robu), a koji moraju zadovoljiti minimalnim traženim karakteristikama koji su navedeni u stavci troškovnika pod „kriteriji jednakovrijednosti“. Ukoliko Ponuditelj ne navede jednakovrijedno rješenje smatra se da je prihvatio navedeno. </t>
  </si>
  <si>
    <t xml:space="preserve">Uz navedene norme kojima se dokazuju tražene tehničke specifikacije, značajke i/ili svrha, Ponuditelji slobodno mogu ponuditi jednakovrijedan način zadovoljavanja zahtjeva koji su definirani tehničkim specifikacijama. </t>
  </si>
  <si>
    <t xml:space="preserve">Ukoliko Ponuditelji nudi jednakovrijedna rješenja mora ih čitljivo upisati u za to predviđen prostor pored navoda "jednakovrijedno". </t>
  </si>
  <si>
    <t xml:space="preserve">Kriteriji za ocjenu jednakovrijednosti predmetne nabave su tehničke i vizualne karakteristike definirane u pojedinim troškovničkim stavkama. </t>
  </si>
  <si>
    <t>Ukoliko tijekom izvođenja radova Ponuditelj, odnosno Izvođač koji je ponudio jednakovrijedno rješenje (navedeno u prethodnim točkama), ne bude u mogućnosti ga realizirati iz bilo kojeg razloga, tada će predložiti i dati na odobrenje odgovornim osobama drugi materijal, proizvod, opremu (robu) i/ili normu koja je isto tako jednakovrijedna ili izvesti rješenje navedeno u stavci bez prava na izmjenu jedinične cijene ili roka.</t>
  </si>
  <si>
    <t xml:space="preserve">Nacrti, tehnički opisi i troškovnik čine cjelinu projekta prema kojima se izvode radovi. Sve odredbe koji su navedene u njima smatraju se sastavnim dijelom opisa svake pojedine stavke troškovnika. U slučaju neusklađenosti, radovi se izvode prema projektnom rješenju koje je definirano glavnim projektom ukoliko odgovorni projektant ne naloži drugačije. </t>
  </si>
  <si>
    <t xml:space="preserve">Specifikacije (tekstualni dio) i grafički prikazi predstavljaju cjelinu i što je makar jednom od njih naznačeno obveza je za ponuditelja. </t>
  </si>
  <si>
    <t xml:space="preserve">Ponuditelj je dužan proučiti sve navedene dijelove projekta, a u slučaju nejasnoća tražiti objašnjenje od projektanta, odnosno iznijeti svoje primjedbe i otkloniti ih prije davanja ponude. </t>
  </si>
  <si>
    <t>Ponuditelj podnošenjem ponude potvrđuje da je tehničku dokumentaciju proučio i razumio, da je izvršio provjeru usklađenosti i količina, da u njoj nema nedostataka, te da je prihvaća kao osnov za izgradnju.</t>
  </si>
  <si>
    <t>Nepoznavanje bilo kojeg od dijelova projekta kojeg je ponuditelj imao na uvid tijekom davanja ponude neće se prihvatiti kao razlog za naknadno povišenje jediničnih cijena ili greške u izvedbi ili produljenja roka.</t>
  </si>
  <si>
    <t xml:space="preserve">U slučaju da ponuditelj predlaže iz svojih razloga ili iz razloga ekonomičnosti druga projektantska jednakovrijedna rješenja dužan je izraditi dokumentaciju (tekstualnu i grafičku) i dati je na odobrenje projektantu, nadzoru i investitoru. </t>
  </si>
  <si>
    <t>Ukoliko se stavkom troškovnika navodi materijal ili dr. koji nije obuhvaćen propisima, onda se ima u svemu izvesti prema uputama proizvođača, te priložiti potrebne garancije i ateste od za to ovlaštenih ustanova.</t>
  </si>
  <si>
    <t>Jediničnom cijenom moraju biti obuhvaćeni svi potrebni materijali i radovi (osnovni i pomoćni) kao i sve nabave/dobave i transporti na gradilištu, odvozi na deponij te ishođenje sve potrebne dokumentacije, ukoliko opisom troškovničke stavke nije drugačije definirano.</t>
  </si>
  <si>
    <t xml:space="preserve">Svi troškovi proizišli iz formiranja gradilišta kao i troškovi osiguranja istog su obaveza izvođača. </t>
  </si>
  <si>
    <t>U troškove gradnje ulaze i svi eventualni zastoji zbog niskih temperatura (zaštita ab konstrukcija) ili visokih temperatura (dodatna vlaženja i sl.), te rješavanje problema kod iskopa i betoniranja zbog eventualne pojave podzemnih voda (ispumpavanje), ukoliko se radi o podzemnoj vodi.</t>
  </si>
  <si>
    <t xml:space="preserve">Izvoditelj je dužan pribaviti sve potrebne potvrde, ateste i sl., a tijekom gradnje i za tehnički pregled dužan je izvršiti sva potrebna ispitivanja kvalitete izvršenih radova o svojem trošku što je propisano važećom zakonskom i tehničkom regulativom. </t>
  </si>
  <si>
    <t>T.D.: 01/2025</t>
  </si>
  <si>
    <t>lipanj,  2025.</t>
  </si>
  <si>
    <t>TROŠKOVNIK GRAĐEVINSKO-OBRTNIČKIH RADOVA</t>
  </si>
  <si>
    <t>R.BR.</t>
  </si>
  <si>
    <t>OPIS STAVKE</t>
  </si>
  <si>
    <t>JED. MJERE</t>
  </si>
  <si>
    <t>KOLIČINA</t>
  </si>
  <si>
    <t>JED. CIJENA</t>
  </si>
  <si>
    <t>UKUPNO (EUR)</t>
  </si>
  <si>
    <t>NAPOMENA</t>
  </si>
  <si>
    <t xml:space="preserve">Sastavni dio ovog troškovnika su i "Opći uvjeti izvođenja radova za  građevinsko-obrtničke radove". Izvoditelj je dužan pridržavati se svih odredbi iz priloženih i navedenih uvjeta, te se smatra da su svi radovi, način izvođenja i postupanja Izvoditelja navedeni u uvjetima, sadržani u cijeni ponuđenih stavaka. </t>
  </si>
  <si>
    <t>NAPOMENE / OPĆI UVJETI</t>
  </si>
  <si>
    <t>13.</t>
  </si>
  <si>
    <t xml:space="preserve">FASADERSKI RADOVI                                         </t>
  </si>
  <si>
    <t>Izvoditelj radova dužan je pridržavati se općih propisa i važećih standarda za ovu vrstu radova, opisa troškovnika i pravilima struke</t>
  </si>
  <si>
    <t>Fasaderski radovi podrazumijevaju izradu plemenitih žbuka, plastičnih žbuka i radove sa specijalnim tvornički pripremljenim mortovima za žbukanje fasada. Osnovni materijali i mortovi koji se dobivaju njihovim mješanjem moraju odgovarati propisanim normama i standardima. Radovi se moraju izvoditi u skladu sa standardom HRN U.F2.010, ili jednakovrijednom. Pri upotrebi tvornički pripremljenih mortova pri radu se mora poštovati naputak proizvođača.</t>
  </si>
  <si>
    <t>Kontaktni sustav fasade pogodan je za podloge od opeke, betona, plinobetonskih blokova, gotovih betonskih elemenata itd. Može se također primjeniti na starim neizoliranim pročeljima zadovoljavajuće čvrstoće. Uključuje fasadne ploče od kamene vune izabrane debljine prema opisima u stavkama, ljepilo, mrežicu, završno dekorativni sloj uz pripadajući predpremaz, te sav potreban pribor: letvica za podnožje u debljini ploče, zaštitni kutnici za uglove i prozore. U stručnu organizaciju gradilišta ubraja se i propisno skladištenje svih kompnenti koji čine sustav za toplinsku izolaciju. 
Niti u ljepilo, niti u završne slojeve nije dozovljeno primješavanje bilo kakvih dodataka (npr. sredstvo protiv smrzavanja).</t>
  </si>
  <si>
    <t>Toplinske izolacije sustava prema</t>
  </si>
  <si>
    <t xml:space="preserve"> - HRN EN 13499: Toplinsko-izolacijski proizvodi za primjenu u zgradarstvu - Povezani sustavi za
  vanjsku toplinsku izolaciju (ETICS) na osnovi ekspandiranog polistirena - Specifikacija  ili jednakovrijedno.
 - HRN EN 13500: Toplinsko-izolacijski proizvodi za primjenu u zgradarstvu - Povezani sustavi za
    vanjsku toplinsku izolaciju (ETICS) na osnovi mineralne vune - Specifikacija  ili jednakovrijedno.
 - HRN EN 13162: Toplinsko-izolacijski proizvodi za zgrade -- Tvornički izrađeni proizvodi od
   mineralne vune (MW) - Specifikacija  ili jednakovrijedno.
</t>
  </si>
  <si>
    <t xml:space="preserve"> - HRN EN 13163: Toplinsko-izolacijski proizvodi za zgrade -- Tvornički izrađeni proizvodi od
   ekspandiranog polistirena (EPS) - Specifikacija ili jednakovrijedno.
</t>
  </si>
  <si>
    <t xml:space="preserve"> - HRN EN 13164: Toplinsko-izolacijski proizvodi za zgrade -- Tvornički izrađeni proizvodi o
   ekstrudirane polistirenske pjene (XPS) - Specifikacija  ili jednakovrijedno.</t>
  </si>
  <si>
    <t xml:space="preserve"> - HRN EN 13172: Toplinsko-izolacijski proizvodi - Vrednovanje sukladnosti ili jednakovrijedno __________________</t>
  </si>
  <si>
    <t xml:space="preserve"> - HRN EN 998-1: Specifikacija morta za ziđe -- 1. dio: Vanjska i unutarnja žbuka ili jednakovrijedno.
</t>
  </si>
  <si>
    <t xml:space="preserve"> - HRN EN 15824: Specifikacije za vanjske i unutrašnje žbuke na osnovi organskih veziva ili jednakovrijedno.
 - HRN EN 13501-1: Razredba građevnih proizvoda i građevnih elemenata prema ponašanju 
   u požaru - 1.dio: Razredba prema rezultatima ispitivanja reakcije na požar ili jednakovrijedno.
 - HRN EN 13495: Toplinsko-izolacijski proizvodi za primjenu u zgradarstvu -- Određivanje
  otpornosti na  obrađene površine ili jednakovrijedno.</t>
  </si>
  <si>
    <t>Odvođenje oborinske vode uskladiti s radovima na fasadi. Moraju biti izvedeni svi unutarnji radovi žbukanja, postavljanje cementne glazure itd. moraju biti izvedeni, a ugrađeni materijali osušeni prema naputku proizvođača. Svi staklarski radovi moraju bti završeni. Prozorske klupčice moraju biti postavljene tako da budu najmanje 3 cm udaljene od novopostavljene fasade. Sve vanjske instalacije, ugradbene priključnice, itd. moraju biti postavljene. 
Vremenske prilike imaju snažan utjecaj na kvalitetu izvedenih radova! Temepratura zraka, podloge i materijala ne smije biti ispod +5°C, a kod rada sa silikatnim žbukama ispod + 8°C. Ova temperatura vrijedi kako za radove ugradnje, tako i za vrijeme protvrdnjavanja materijala. Radovi se ne smiju izvoditi pod direktnim sunčevim zračenjem, vjetrom ili oborinama. Pri izvedbi sustava na skelu pročelja treba postaviti odgovarajuću zaštitu: jutu i sl.</t>
  </si>
  <si>
    <t>Podloga mora biti čvrsta (nosiva), čista i suha (bez obzira da li je stara ili nova).  Podloga mora biti ravna, okomito i vodoravno, provjeriti libelom (neravnine do 1 cm mogu se izravnati ljepilom, a veće od toga podložnom žbukom). Spojnice moraju biti zapunjene. S betonskih površina mora biti uklonjeno sredstvo za odvajanje oplata, te sve masnoće ako ih ima.</t>
  </si>
  <si>
    <t>Rabiciranje žbuke izvodi se pomoću tekstilno staklene mrežice otporne na alkalije. Kod obrade fasade žbuka mora biti kvalitetna, tvorničke izvedbe u izabranoj boji i kvaliteti. Kod izrade fasadnih žbuka raditi prema uputstvu proizvođača.</t>
  </si>
  <si>
    <t xml:space="preserve">Žbukanja moraju biti izvedena stručno i naročito precizno, ivice ožbukanih elemenata moraju bez odstupanja pratiti  zadanu formu (horizontala, vertikala, kosina, krivulja). Izložene ivice ojačavaju se  tipskim aluminijskim perforiranim "L" profilom.                                 </t>
  </si>
  <si>
    <t xml:space="preserve">Obloge zidova s toplinskim izolacijama </t>
  </si>
  <si>
    <t xml:space="preserve"> - mineralna vuna (MW) HRN EN 14303:2016, ili jednakovrijedno.
   - ekspandirani polistiren (EPS) HRN EN 14309:2016, ili jednakovrijedno.
 - ekstrudirani polistiren (XPS) HRN EN 14307:2016, ili jednakovrijedno.</t>
  </si>
  <si>
    <t>Sokl građevine se izvodi od ploča XPS-a  visine  do 50,0 cm od okolne površine uređenog terena. XPS se pričvršćuje na zid s pričvrsnicama s plastičnim ili čeličnim klinom ovisno o završnom sloju. 
Toplinska se izolacija obodnih građevinskih dijelova zgrade ispod razine zemlje, nastavlja do razine zemlje rubnog osnovnog profila (izrađen od perforiranog nekorodirajućeg Al lima, debljine 1mm). Na XPS se nanosi građevinsko ljepilo u dva sloja s alkalno postojanom staklenom mrežicom ili žičanom mrežicom veličine očica 5x5mm koja treba biti izvedena u dva sloja.</t>
  </si>
  <si>
    <t xml:space="preserve">Prije početka izvedbe izvoditelj je dužan dostaviti projektantu na pregled i izbor uzorke materijala i tek po izboru i odobrenju projektanta može otpočeti s radovima. Ukoliko se ugrade materijali koje projektant nije odobrio ili u neodgovarajućoj kvaliteti radovi će se morati ponoviti u traženoj kvaliteti i izboru uz prethodno uklanjanje neispravnih radova. </t>
  </si>
  <si>
    <t xml:space="preserve">Sve radove u izvedbe horizontalnih i vertikalnih oblaganja i detalja s njima povezanim koji se izvode po odabranom specifičnom proizvođaču, treba obvezno izvesti prema preporuci i tehnološkim rješenjima istog. 
</t>
  </si>
  <si>
    <t>Zbog specifičnosti gore navedenih radova, izvoditelj je dužan prije davanja ponude obvezno se upoznati s načinom i detaljima izvođenja opisanih materijala ovim troškovnikom, te s tehnologijom i specifičnostima izvođenja radova odabranog proizvođača.</t>
  </si>
  <si>
    <t>Prilikom izvođenja radova mora se izvoditelj striktno pridržavati usvojenih i od strane projektanta prihvaćenih materijala i ovjerenih detalja.</t>
  </si>
  <si>
    <t>Bez obzira na vrstu obloga, izvoditelj je obvezan dobaviti: uputu za postavljanje; uvjete pripreme i stanja podloge; uputu za uporabu i rad; način održavanja obloge u uporabi.</t>
  </si>
  <si>
    <t>Svi materijali koji se ugrađuju moraju obvezno biti ispitani i certifikati priloženi. Ukoliko ne postoje domaće norme, treba priložiti rezultate ispitivanja koji zadovoljavaju odredbe normi DIN ili EN.</t>
  </si>
  <si>
    <t>Izvoditelj radova obvezan je prije početka ugradbe uručiti potrebne certifikate u svezi gore navedene HRN-e odgovarajućoj nadležnoj službi. Zabranjena je ugradba prije predočenja važećih certifikata.</t>
  </si>
  <si>
    <t>Cijenom pojedine stavke treba obuhvatiti sve što je potrebnu za izvedbu funkcionalne i kvalitetne zidne i stropne obloge, uključivo sve posebice nespecificirane elemente, materijale i detalje koji su tehnologijom i detaljima proizvođača nužni za punu funkcionalnost i traženu kvalitetu, iako to stavkom troškovnika nije posebno navedeno.</t>
  </si>
  <si>
    <t>Cijenom izvedbe radova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sva osiguranja radova i materijala;  kao i sve ostalo posebno specificirano u opisu stavke troškovnika; sve potrebne zaštitne konstrukcije, kao i sve drugo predviđeno mjerama zaštite na radu i pravilima struke.</t>
  </si>
  <si>
    <r>
      <t>Obračun prema normama za fasaderske radove; "</t>
    </r>
    <r>
      <rPr>
        <i/>
        <sz val="10"/>
        <rFont val="Arial"/>
        <family val="2"/>
      </rPr>
      <t>Otvori veličine do 3 m2 ne odbijaju se i njihove uložine se ne obračunavaju. Kod otvora veličine 3,0 do 5,0 m2 odbija se površina preko 3,0 m2 a uložine se ne obračunavaju posebno. Kod otvora veličine preko 5,0 m2 odbija se površina preko 3,0 m2, a uloćine se obračunavaju posebno."</t>
    </r>
  </si>
  <si>
    <t>Potrebno je koristiti proizvode iz istog "sustava" proizvođača, zbog međusobne kompatibilnosti elemenata. U svemu prema uputama proizvođača i pravilima struke.</t>
  </si>
  <si>
    <t>U jedniničnoj cijeni obračunati su svi početni, završni, uglovni profili za obradu čela zdova i špaleta, okapnice i dilatacijski profili, kao i spojna i vezna sredstva.</t>
  </si>
  <si>
    <t>13.1.</t>
  </si>
  <si>
    <r>
      <t xml:space="preserve">Dobava i izrada  kontaktne obloge fasade na </t>
    </r>
    <r>
      <rPr>
        <b/>
        <sz val="10"/>
        <rFont val="Arial"/>
        <family val="2"/>
        <charset val="238"/>
      </rPr>
      <t>podnožju -  fasadnih zidova</t>
    </r>
    <r>
      <rPr>
        <sz val="10"/>
        <rFont val="Arial"/>
        <family val="2"/>
        <charset val="238"/>
      </rPr>
      <t xml:space="preserve"> građevine iznad kote budućeg uređenog terena</t>
    </r>
  </si>
  <si>
    <t>Podnožje sokl zgrade izvodi se u istoj ravnini kao i ostatak pročelja iznad.</t>
  </si>
  <si>
    <t>Na suhu i očišćenu podlogu izvoditi u slojevima kako slijedi:</t>
  </si>
  <si>
    <r>
      <t xml:space="preserve"> - polimercementno ljepilo, armirano 
 debljine 0,5cm, </t>
    </r>
    <r>
      <rPr>
        <sz val="10"/>
        <rFont val="Calibri"/>
        <family val="2"/>
        <charset val="238"/>
      </rPr>
      <t>λ=0,7 W/mK</t>
    </r>
  </si>
  <si>
    <t xml:space="preserve"> - klasa zapaljivosti A1</t>
  </si>
  <si>
    <r>
      <t xml:space="preserve"> - </t>
    </r>
    <r>
      <rPr>
        <sz val="10"/>
        <rFont val="Arial"/>
        <family val="2"/>
      </rPr>
      <t xml:space="preserve">ploče  ekstrudiranog polistirena </t>
    </r>
    <r>
      <rPr>
        <b/>
        <sz val="10"/>
        <rFont val="Arial"/>
        <family val="2"/>
      </rPr>
      <t>XPS različitih debljina.</t>
    </r>
  </si>
  <si>
    <r>
      <t>gustoće 30kg/m</t>
    </r>
    <r>
      <rPr>
        <vertAlign val="superscript"/>
        <sz val="10"/>
        <rFont val="Arial"/>
        <family val="2"/>
        <charset val="238"/>
      </rPr>
      <t>3</t>
    </r>
    <r>
      <rPr>
        <sz val="10"/>
        <rFont val="Arial"/>
        <family val="2"/>
        <charset val="238"/>
      </rPr>
      <t>, odležane ploče, 
hrapave površine, rubovi ploča su profilirani zbog polaganja i spoja ploča međusobno, ljepljene na izvedenu hidroizolaciju i učvršćene iznad izolacije tipskim pričvrsnicama</t>
    </r>
  </si>
  <si>
    <t>Ekstrudirani polistiren XPS,   λ=0,034 W/mK prema  HRN EN 13164 ili jednakovrijedno.</t>
  </si>
  <si>
    <t xml:space="preserve"> - klasa zapaljivosti E</t>
  </si>
  <si>
    <r>
      <t xml:space="preserve"> - polimercementni morta 1100kg/m</t>
    </r>
    <r>
      <rPr>
        <vertAlign val="superscript"/>
        <sz val="10"/>
        <rFont val="Arial"/>
        <family val="2"/>
        <charset val="238"/>
      </rPr>
      <t xml:space="preserve">3  </t>
    </r>
    <r>
      <rPr>
        <sz val="10"/>
        <rFont val="Arial"/>
        <family val="2"/>
        <charset val="238"/>
      </rPr>
      <t xml:space="preserve">debljine 0,5cm,  λ=0,7 W/mK, armiran  staklenom mrežicom  s postavom u sredini sloja debljine 0,5 cm. </t>
    </r>
  </si>
  <si>
    <t xml:space="preserve"> - završni sloj je silikonska žbuka debljine 0,20 cm 
   pigmentirana, kvalitete, teksture, boje i tona po 
  odabiru Projektanta iz kataloga odabranog proizvođača.</t>
  </si>
  <si>
    <t>U cijeni stavke obuhvaćena je obrada, svi početni, završni, uglovni, okapnice i dilatacijski profili, kao i spojna i vezna sredstva.</t>
  </si>
  <si>
    <r>
      <t xml:space="preserve">Sve komponente sustava moraju se ugraditi od </t>
    </r>
    <r>
      <rPr>
        <u/>
        <sz val="10"/>
        <rFont val="Arial"/>
        <family val="2"/>
        <charset val="238"/>
      </rPr>
      <t>istog</t>
    </r>
    <r>
      <rPr>
        <sz val="10"/>
        <rFont val="Arial"/>
        <family val="2"/>
        <charset val="238"/>
      </rPr>
      <t xml:space="preserve"> proizvođača,  uključivo impregnacija prije završnog sloja.</t>
    </r>
  </si>
  <si>
    <t>Sve kompletno izvesti do pune gotovosti, sve prema sustavu Etics HRN EN 13500 ili jednakovrijedno.</t>
  </si>
  <si>
    <t>s ugradbom prema nacrtu i uputama proizvođača odabranih materijala.</t>
  </si>
  <si>
    <t>Sve prema preporuci odabranog proizvođača.</t>
  </si>
  <si>
    <t>Sve što nije obuhvaćeno ovim opisom, 
izvesti prema uputama proizvođača komponenti certificiranog sustava, sukladno nacionalnim normama, te smjernicama za izradu ETICS sustava HUPFAS-a.</t>
  </si>
  <si>
    <r>
      <t xml:space="preserve">Izvodi se u visini </t>
    </r>
    <r>
      <rPr>
        <b/>
        <sz val="10"/>
        <rFont val="Arial"/>
        <family val="2"/>
      </rPr>
      <t>do 50 cm</t>
    </r>
    <r>
      <rPr>
        <sz val="10"/>
        <rFont val="Arial"/>
        <family val="2"/>
      </rPr>
      <t xml:space="preserve"> od uređenog terena, ili do poda balkona, terasa i ravnih krovova.</t>
    </r>
  </si>
  <si>
    <r>
      <t xml:space="preserve">Oznaka u projektu: </t>
    </r>
    <r>
      <rPr>
        <b/>
        <sz val="10"/>
        <rFont val="Arial"/>
        <family val="2"/>
      </rPr>
      <t>ZT3</t>
    </r>
  </si>
  <si>
    <t>Obračun po m²  kompletne izvedbe.</t>
  </si>
  <si>
    <r>
      <t xml:space="preserve"> - Podnožje fasadnih zidova - nivo prizemlja i suterena, na terasama, nadvišenjima pročelja iznad nadozida, pri podu terasa, loggia i sl.,  </t>
    </r>
    <r>
      <rPr>
        <b/>
        <sz val="10"/>
        <rFont val="Arial"/>
        <family val="2"/>
      </rPr>
      <t>XPS debljine 20 cm</t>
    </r>
  </si>
  <si>
    <r>
      <t>m</t>
    </r>
    <r>
      <rPr>
        <vertAlign val="superscript"/>
        <sz val="10"/>
        <rFont val="Arial"/>
        <family val="2"/>
      </rPr>
      <t>2</t>
    </r>
  </si>
  <si>
    <r>
      <t xml:space="preserve"> - Obloga istaka stupova radi dovođenja u istu ravninom s ostatkom pročelja,  </t>
    </r>
    <r>
      <rPr>
        <b/>
        <sz val="10"/>
        <rFont val="Arial"/>
        <family val="2"/>
      </rPr>
      <t xml:space="preserve">XPS debljne 10 cm </t>
    </r>
  </si>
  <si>
    <r>
      <t xml:space="preserve"> - Obloga istaka stupova radi dovođenja u istu ravninom s ostatkom pročelja,  </t>
    </r>
    <r>
      <rPr>
        <b/>
        <sz val="10"/>
        <rFont val="Arial"/>
        <family val="2"/>
      </rPr>
      <t xml:space="preserve">XPS debljne 8 cm </t>
    </r>
  </si>
  <si>
    <r>
      <t xml:space="preserve"> - Obloga čela  istaka kosih stupova dvorane, sa </t>
    </r>
    <r>
      <rPr>
        <b/>
        <u/>
        <sz val="10"/>
        <rFont val="Arial"/>
        <family val="2"/>
      </rPr>
      <t>skošenim</t>
    </r>
    <r>
      <rPr>
        <u/>
        <sz val="10"/>
        <rFont val="Arial"/>
        <family val="2"/>
      </rPr>
      <t xml:space="preserve"> </t>
    </r>
    <r>
      <rPr>
        <b/>
        <u/>
        <sz val="10"/>
        <rFont val="Arial"/>
        <family val="2"/>
      </rPr>
      <t>XPS-om</t>
    </r>
    <r>
      <rPr>
        <b/>
        <sz val="10"/>
        <rFont val="Arial"/>
        <family val="2"/>
      </rPr>
      <t>, ukupne debljine s ravnim XPS-om 12 do  16 cm  (skošeni XPS na površini kosih stupova 1 do 4 cm debljine.</t>
    </r>
  </si>
  <si>
    <t>13.2.</t>
  </si>
  <si>
    <r>
      <t>Dobava i izrada  ETICS fasade na opečne i arm-bet</t>
    </r>
    <r>
      <rPr>
        <b/>
        <sz val="10"/>
        <rFont val="Arial"/>
        <family val="2"/>
        <charset val="238"/>
      </rPr>
      <t>.</t>
    </r>
    <r>
      <rPr>
        <sz val="10"/>
        <rFont val="Arial"/>
        <family val="2"/>
        <charset val="238"/>
      </rPr>
      <t xml:space="preserve"> fasadnim </t>
    </r>
    <r>
      <rPr>
        <b/>
        <sz val="10"/>
        <rFont val="Arial"/>
        <family val="2"/>
        <charset val="238"/>
      </rPr>
      <t>zidovima i parapetima.</t>
    </r>
  </si>
  <si>
    <t>Na suhu i očišćenu podlogu, izvoditi u slojevima kako slijedi:</t>
  </si>
  <si>
    <r>
      <t xml:space="preserve"> - polimercementno ljepilo, armirano debljine 0,5cm, </t>
    </r>
    <r>
      <rPr>
        <sz val="10"/>
        <rFont val="Calibri"/>
        <family val="2"/>
        <charset val="238"/>
      </rPr>
      <t>λ=0,7 W/mK</t>
    </r>
  </si>
  <si>
    <r>
      <t xml:space="preserve"> - ploča</t>
    </r>
    <r>
      <rPr>
        <u/>
        <sz val="10"/>
        <rFont val="Arial"/>
        <family val="2"/>
      </rPr>
      <t xml:space="preserve"> kamene vune</t>
    </r>
    <r>
      <rPr>
        <sz val="10"/>
        <rFont val="Arial"/>
        <family val="2"/>
        <charset val="238"/>
      </rPr>
      <t>, fasadne ploče za kontaktne
  sustave 100kg/m</t>
    </r>
    <r>
      <rPr>
        <vertAlign val="superscript"/>
        <sz val="10"/>
        <rFont val="Arial"/>
        <family val="2"/>
        <charset val="238"/>
      </rPr>
      <t>3</t>
    </r>
    <r>
      <rPr>
        <sz val="10"/>
        <rFont val="Arial"/>
        <family val="2"/>
        <charset val="238"/>
      </rPr>
      <t>, prema HRN EN 13162 ili
  jednakovrijedno.</t>
    </r>
  </si>
  <si>
    <t>Fasadne ploče, vlakna okomita na površinu zida.
Proizvod se odlikuje visokom paropropusnošću, potpuno je negoriv, postojan je na vrlo visoke temperature, vodoodbojan, pravilno ugrađen otporan na starenje te je kemijski neutralan.</t>
  </si>
  <si>
    <t>Protupožarna izolacija potpuno negoriv materijal - razred reakcije na požar A1</t>
  </si>
  <si>
    <t>Toplinska izolacija niska vrijednost koeficijenta toplinske provodljivosti λ  = 0,035 W/mK</t>
  </si>
  <si>
    <t>ili jednakovrijedno.</t>
  </si>
  <si>
    <t xml:space="preserve">  - kamena vuna ukupne debljine 20,0 cm. </t>
  </si>
  <si>
    <t xml:space="preserve"> - klasa zapaljivosti A2-s1, do</t>
  </si>
  <si>
    <r>
      <t>Lijepljenje ploča 
nanošenjem polimernocementnog morta (mineralni, prirodno bijeli mort) za lijepljenje i armiranje, trakasto po rubovima i točkasto po sredini ploča (min 40% ravnomjerna pokrivenost ploče). 
Ploče se min.3-5 dana nakon lijepljenja dodatno mehanički pričvršćuju pričvrsnicama (udarna pričvrsnica s plastičnim dijelom za montažu, ojačana vlaknima, za mehaničko pričvršćenje toplinsko -izolacijskih ploča  min 8 kom/m</t>
    </r>
    <r>
      <rPr>
        <vertAlign val="superscript"/>
        <sz val="10"/>
        <rFont val="Arial"/>
        <family val="2"/>
        <charset val="238"/>
      </rPr>
      <t>2</t>
    </r>
    <r>
      <rPr>
        <sz val="10"/>
        <rFont val="Arial"/>
        <family val="2"/>
        <charset val="238"/>
      </rPr>
      <t xml:space="preserve">).
 Na kutovima objekta izolacijske ploče se preklapaju na izmjeničan vez, a potom se na te bridove, kao i bridove otvora, postavljaju PVC kutnici sa mrežicom, ili okapni profil na horizontalne bridove. Na kutovima otvora (prozora, stijena, vrata,..) obaviti dijagonalna armiranja trakama armaturne staklene mrežice min. dimenzije 20x40cm. </t>
    </r>
  </si>
  <si>
    <r>
      <t xml:space="preserve"> - polimercementni morta 1100kg/m</t>
    </r>
    <r>
      <rPr>
        <vertAlign val="superscript"/>
        <sz val="10"/>
        <rFont val="Arial"/>
        <family val="2"/>
        <charset val="238"/>
      </rPr>
      <t xml:space="preserve">3  
</t>
    </r>
    <r>
      <rPr>
        <sz val="10"/>
        <rFont val="Arial"/>
        <family val="2"/>
        <charset val="238"/>
      </rPr>
      <t xml:space="preserve">  debljine 0,5cm,  λ  = 0,7W/mK, armiran  staklenom mrežicom  s postavom u sredini sloja koji ne smije biti tanji od 0,5 cm.</t>
    </r>
  </si>
  <si>
    <t xml:space="preserve"> - završni sloj je silikonska žbuka debljine 0,20cm 
   pigmentirana, kvalitete, teksture, boje i tona po
  odabiru projektanta uz suglasnost Investitora.</t>
  </si>
  <si>
    <t>Sve što nije obuhvaćeno ovim opisom, izvesti prema uputama proizvođača komponenti certificiranog sustava, sukladno nacionalnim normama, te smjernicama za izradu ETICS sustava HUPFAS-a.</t>
  </si>
  <si>
    <t>U jediničnoj cijeni stavke, za otvore manje od 5,0 m2, uključena je izrada špaleta debljina 5,0 do 8,0 cm.</t>
  </si>
  <si>
    <r>
      <t xml:space="preserve">Sve komponente sustava moraju se ugraditi od </t>
    </r>
    <r>
      <rPr>
        <u/>
        <sz val="10"/>
        <rFont val="Arial"/>
        <family val="2"/>
      </rPr>
      <t>istog</t>
    </r>
    <r>
      <rPr>
        <sz val="10"/>
        <rFont val="Arial"/>
        <family val="2"/>
      </rPr>
      <t xml:space="preserve"> proizvođača,  uključivo impregnacija prije završnog sloja.</t>
    </r>
  </si>
  <si>
    <r>
      <rPr>
        <sz val="10"/>
        <rFont val="Arial"/>
        <family val="2"/>
      </rPr>
      <t xml:space="preserve">Oznaka u projektu </t>
    </r>
    <r>
      <rPr>
        <b/>
        <sz val="10"/>
        <rFont val="Arial"/>
        <family val="2"/>
      </rPr>
      <t xml:space="preserve"> VZ1</t>
    </r>
    <r>
      <rPr>
        <sz val="10"/>
        <rFont val="Arial"/>
        <family val="2"/>
      </rPr>
      <t>,</t>
    </r>
    <r>
      <rPr>
        <b/>
        <sz val="10"/>
        <rFont val="Arial"/>
        <family val="2"/>
      </rPr>
      <t>VZ2, VT2a, VZ3, VZ4, VZ5 i VZ7.</t>
    </r>
  </si>
  <si>
    <t>13.3.</t>
  </si>
  <si>
    <r>
      <t xml:space="preserve">Dobava i izrada  ETICS fasade - </t>
    </r>
    <r>
      <rPr>
        <b/>
        <sz val="10"/>
        <rFont val="Arial"/>
        <family val="2"/>
      </rPr>
      <t>fasadna</t>
    </r>
    <r>
      <rPr>
        <sz val="10"/>
        <rFont val="Arial"/>
        <family val="2"/>
        <charset val="238"/>
      </rPr>
      <t xml:space="preserve"> </t>
    </r>
    <r>
      <rPr>
        <b/>
        <sz val="10"/>
        <rFont val="Arial"/>
        <family val="2"/>
      </rPr>
      <t>obloga istaknutih armirano-betonskih stupova sportske dvorane.</t>
    </r>
  </si>
  <si>
    <t xml:space="preserve">  - kamena vuna a debljina 5,0 i 8,0 cm. </t>
  </si>
  <si>
    <r>
      <t xml:space="preserve"> - kamena vuna </t>
    </r>
    <r>
      <rPr>
        <b/>
        <sz val="10"/>
        <rFont val="Arial"/>
        <family val="2"/>
      </rPr>
      <t>debljine 8,0 cm</t>
    </r>
    <r>
      <rPr>
        <sz val="10"/>
        <rFont val="Arial"/>
        <family val="2"/>
      </rPr>
      <t xml:space="preserve"> - obloga bočnih strana stupova dvorane (zapadno pročelje)</t>
    </r>
  </si>
  <si>
    <r>
      <t xml:space="preserve"> - kamena vuna debljine </t>
    </r>
    <r>
      <rPr>
        <b/>
        <sz val="10"/>
        <rFont val="Arial"/>
        <family val="2"/>
      </rPr>
      <t xml:space="preserve">5,0 cm </t>
    </r>
    <r>
      <rPr>
        <sz val="10"/>
        <rFont val="Arial"/>
        <family val="2"/>
      </rPr>
      <t xml:space="preserve">- obloga čelnih  strana stupova dvorane, i bočnih strana stupova na istočnom pročelju </t>
    </r>
  </si>
  <si>
    <t>13.4.</t>
  </si>
  <si>
    <r>
      <t xml:space="preserve">Dobava i izrada  ETICS fasade </t>
    </r>
    <r>
      <rPr>
        <b/>
        <sz val="10"/>
        <rFont val="Arial"/>
        <family val="2"/>
      </rPr>
      <t>na istaknutim dijelovima i arm-bet. stupova na zidovima.</t>
    </r>
  </si>
  <si>
    <t xml:space="preserve">  - sloj kamene vune debljine 8,0 cm, i slojevi ukupne debljine 9,0 cm</t>
  </si>
  <si>
    <t xml:space="preserve">Izvodi se na istaknutim dijelovima A.B. stupova, na zapadnom i istočnom pročelju, kako bi se na cijelom potezu od osi 1 do osi 13 izvelo pročelje u jedinstvenoj ravnini, bez istaka. </t>
  </si>
  <si>
    <r>
      <t xml:space="preserve"> - kamena vuna </t>
    </r>
    <r>
      <rPr>
        <b/>
        <sz val="10"/>
        <rFont val="Arial"/>
        <family val="2"/>
      </rPr>
      <t>debljine 8,0 cm</t>
    </r>
  </si>
  <si>
    <r>
      <t xml:space="preserve"> - slojevi kamene vune ukupne </t>
    </r>
    <r>
      <rPr>
        <b/>
        <sz val="10"/>
        <rFont val="Arial"/>
        <family val="2"/>
      </rPr>
      <t>debljine 9,0 cm</t>
    </r>
  </si>
  <si>
    <t>13.5.</t>
  </si>
  <si>
    <r>
      <t>Dobava i postava</t>
    </r>
    <r>
      <rPr>
        <b/>
        <sz val="10"/>
        <rFont val="Arial"/>
        <family val="2"/>
      </rPr>
      <t xml:space="preserve"> dodatih slojeva kamene vune</t>
    </r>
    <r>
      <rPr>
        <sz val="10"/>
        <rFont val="Arial"/>
        <family val="2"/>
      </rPr>
      <t xml:space="preserve"> </t>
    </r>
    <r>
      <rPr>
        <u/>
        <sz val="10"/>
        <rFont val="Arial"/>
        <family val="2"/>
      </rPr>
      <t xml:space="preserve">na dijelu zapadnog pročelja sportske dvorane u nišama </t>
    </r>
    <r>
      <rPr>
        <b/>
        <u/>
        <sz val="10"/>
        <rFont val="Arial"/>
        <family val="2"/>
      </rPr>
      <t xml:space="preserve">radi izravnanja ravnine pročelja </t>
    </r>
    <r>
      <rPr>
        <u/>
        <sz val="10"/>
        <rFont val="Arial"/>
        <family val="2"/>
      </rPr>
      <t>preko kosih stupov</t>
    </r>
    <r>
      <rPr>
        <sz val="10"/>
        <rFont val="Arial"/>
        <family val="2"/>
      </rPr>
      <t>a (do donje ravnine prozora).</t>
    </r>
  </si>
  <si>
    <t>Kamena vuna istih svojstava i tehničkih karakteristika  kao i u prethodnoj stavci.</t>
  </si>
  <si>
    <r>
      <t xml:space="preserve"> - kamena vuna </t>
    </r>
    <r>
      <rPr>
        <b/>
        <sz val="10"/>
        <rFont val="Arial"/>
        <family val="2"/>
      </rPr>
      <t>debljine 5 cm - bez završnog sloja fasade</t>
    </r>
    <r>
      <rPr>
        <sz val="10"/>
        <rFont val="Arial"/>
        <family val="2"/>
      </rPr>
      <t xml:space="preserve"> - postava ispod završne kamene vune debljine 20 cm, na koju se stavlja fasadni završni  sloj.</t>
    </r>
  </si>
  <si>
    <r>
      <t xml:space="preserve"> - kamena vuna </t>
    </r>
    <r>
      <rPr>
        <b/>
        <sz val="10"/>
        <rFont val="Arial"/>
        <family val="2"/>
      </rPr>
      <t>debljine 4 cm - bez završnog sloja fasade</t>
    </r>
    <r>
      <rPr>
        <sz val="10"/>
        <rFont val="Arial"/>
        <family val="2"/>
      </rPr>
      <t xml:space="preserve"> - postava ispod završne kamene vune debljine 20 cm, na koju se stavlja fasadni završni  sloj.</t>
    </r>
  </si>
  <si>
    <r>
      <t xml:space="preserve"> - kamena vuna </t>
    </r>
    <r>
      <rPr>
        <b/>
        <sz val="10"/>
        <rFont val="Arial"/>
        <family val="2"/>
      </rPr>
      <t>debljine 3 cm - bez završnog sloja fasade</t>
    </r>
    <r>
      <rPr>
        <sz val="10"/>
        <rFont val="Arial"/>
        <family val="2"/>
      </rPr>
      <t xml:space="preserve"> - postava ispod završne kamene vune debljine 20 cm, na koju se stavlja fasadni završni  sloj.</t>
    </r>
  </si>
  <si>
    <t>13.6.</t>
  </si>
  <si>
    <r>
      <t xml:space="preserve">Dobava i postava ETICS fasade </t>
    </r>
    <r>
      <rPr>
        <b/>
        <sz val="10"/>
        <rFont val="Arial"/>
        <family val="2"/>
      </rPr>
      <t>na špaletama.</t>
    </r>
  </si>
  <si>
    <t xml:space="preserve">  -  kamena vuna debljina 3,0 i 8,0 cm</t>
  </si>
  <si>
    <t>Obračun se odnosi isključivo na prozorske otvore veličine preko 5,0 m2, sukladno  građevinskim normama za fasaderske radove.</t>
  </si>
  <si>
    <t>Obračun po m1  kompletne izvedbe.</t>
  </si>
  <si>
    <t xml:space="preserve"> - Špalete širine  20  do 23 cm, debljine 8 cm</t>
  </si>
  <si>
    <r>
      <t>m</t>
    </r>
    <r>
      <rPr>
        <vertAlign val="superscript"/>
        <sz val="10"/>
        <rFont val="Arial"/>
        <family val="2"/>
      </rPr>
      <t>1</t>
    </r>
  </si>
  <si>
    <t xml:space="preserve"> - Špalete širine 28 do 31  cm, debljine 3 cm</t>
  </si>
  <si>
    <t xml:space="preserve"> - Špalete širine 28 do 31  cm, debljine 8 cm</t>
  </si>
  <si>
    <t>13.7.</t>
  </si>
  <si>
    <r>
      <t xml:space="preserve">Dobava i ugradnja </t>
    </r>
    <r>
      <rPr>
        <b/>
        <sz val="10"/>
        <color theme="1"/>
        <rFont val="Arial"/>
        <family val="2"/>
      </rPr>
      <t>skošenih i ravnih XPS ploča s vertikalnom postavom s pričvrsnicama, u debljinama od 10 do 60 mm</t>
    </r>
    <r>
      <rPr>
        <sz val="10"/>
        <color theme="1"/>
        <rFont val="Arial"/>
        <family val="2"/>
      </rPr>
      <t xml:space="preserve">,(10 - 20 mm, 20 - 30 mm, 30 - 40 mm, 40 - 50 mm i 50 -60 mm),  koje se postavljaju vertikalno </t>
    </r>
    <r>
      <rPr>
        <b/>
        <sz val="10"/>
        <color theme="1"/>
        <rFont val="Arial"/>
        <family val="2"/>
      </rPr>
      <t xml:space="preserve">na čela kosih stupova sportske dvorane </t>
    </r>
    <r>
      <rPr>
        <sz val="10"/>
        <color theme="1"/>
        <rFont val="Arial"/>
        <family val="2"/>
      </rPr>
      <t>radi izravnanja ravnine pročelja (na zapadnom pročelju).</t>
    </r>
  </si>
  <si>
    <t>Izvoditi u kombinaciji s podlaganjem ravnih i skođenih XPS ploča.</t>
  </si>
  <si>
    <t>Toplinska provodljivost 0,035 W/mK.</t>
  </si>
  <si>
    <r>
      <t>gustoće 30kg/m</t>
    </r>
    <r>
      <rPr>
        <vertAlign val="superscript"/>
        <sz val="10"/>
        <rFont val="Arial"/>
        <family val="2"/>
        <charset val="238"/>
      </rPr>
      <t>3</t>
    </r>
    <r>
      <rPr>
        <sz val="10"/>
        <rFont val="Arial"/>
        <family val="2"/>
        <charset val="238"/>
      </rPr>
      <t>, odležane ploče,  ljepljene na očišćenu podlogu i učvršćene na A.B. stup tipskim pričvrsnicama</t>
    </r>
  </si>
  <si>
    <t>U jediničnoj cijeni uključen je sav potreban rad i materijal, kao i rezanje ploča radi pripasivanja do potpune gotovosti stavke.</t>
  </si>
  <si>
    <t>Na XPS ploče postavlja se sloj kamene vune debljine 5,0 cm, na koju se postavlja završni fasadni sloj, a koji je sadržan u zasebnoj stavci.</t>
  </si>
  <si>
    <r>
      <t>Obračun po m</t>
    </r>
    <r>
      <rPr>
        <vertAlign val="superscript"/>
        <sz val="10"/>
        <rFont val="Arial"/>
        <family val="2"/>
      </rPr>
      <t>2</t>
    </r>
    <r>
      <rPr>
        <sz val="10"/>
        <rFont val="Arial"/>
        <family val="2"/>
      </rPr>
      <t xml:space="preserve"> kompletne izvedbe.</t>
    </r>
  </si>
  <si>
    <t xml:space="preserve"> - XPS ploče (skošene) - (d = 10 do 60 mm)</t>
  </si>
  <si>
    <t xml:space="preserve"> - XPS ploče - ravne -  d= 10 mm</t>
  </si>
  <si>
    <t xml:space="preserve"> - XPS ploče - ravne -  d= 20 mm</t>
  </si>
  <si>
    <t xml:space="preserve"> - XPS ploče - ravne -  d= 50 mm</t>
  </si>
  <si>
    <t>13.8.</t>
  </si>
  <si>
    <r>
      <t xml:space="preserve">Dobava i izrada  ETICS fasade, </t>
    </r>
    <r>
      <rPr>
        <b/>
        <sz val="10"/>
        <rFont val="Arial"/>
        <family val="2"/>
      </rPr>
      <t>horizontalnog</t>
    </r>
    <r>
      <rPr>
        <b/>
        <u/>
        <sz val="10"/>
        <rFont val="Arial"/>
        <family val="2"/>
      </rPr>
      <t xml:space="preserve"> podgleda</t>
    </r>
    <r>
      <rPr>
        <sz val="10"/>
        <rFont val="Arial"/>
        <family val="2"/>
      </rPr>
      <t xml:space="preserve"> terase prizemlja, podgleda istaka loggia na 1. katu i podgleda stropa loggia, pločama kamene vune</t>
    </r>
    <r>
      <rPr>
        <b/>
        <sz val="10"/>
        <rFont val="Arial"/>
        <family val="2"/>
      </rPr>
      <t xml:space="preserve"> debljine 8,0 cm.</t>
    </r>
  </si>
  <si>
    <r>
      <t xml:space="preserve"> - ploča</t>
    </r>
    <r>
      <rPr>
        <u/>
        <sz val="10"/>
        <rFont val="Arial"/>
        <family val="2"/>
      </rPr>
      <t xml:space="preserve"> kamene vune</t>
    </r>
    <r>
      <rPr>
        <sz val="10"/>
        <rFont val="Arial"/>
        <family val="2"/>
      </rPr>
      <t>, fasadne ploče za kontaktne
  sustave 100kg/m</t>
    </r>
    <r>
      <rPr>
        <vertAlign val="superscript"/>
        <sz val="10"/>
        <rFont val="Arial"/>
        <family val="2"/>
      </rPr>
      <t>3</t>
    </r>
    <r>
      <rPr>
        <sz val="10"/>
        <rFont val="Arial"/>
        <family val="2"/>
      </rPr>
      <t>, prema HRN EN 13162 ili
  jednakovrijedno.</t>
    </r>
  </si>
  <si>
    <t xml:space="preserve">  - vuna ukupne debljine 8,0 cm. </t>
  </si>
  <si>
    <r>
      <t xml:space="preserve"> - polimercementni morta 1100kg/m</t>
    </r>
    <r>
      <rPr>
        <vertAlign val="superscript"/>
        <sz val="10"/>
        <rFont val="Arial"/>
        <family val="2"/>
      </rPr>
      <t xml:space="preserve">3  
</t>
    </r>
    <r>
      <rPr>
        <sz val="10"/>
        <rFont val="Arial"/>
        <family val="2"/>
      </rPr>
      <t xml:space="preserve">  debljine 0,5cm,  λ  = 0,7W/mK, armiran  staklenom mrežicom  s postavom u sredini sloja koji ne smije biti tanji od 0,5 cm.</t>
    </r>
  </si>
  <si>
    <t xml:space="preserve"> - završni sloj je silikonska žbuka debljine 0,20 cm 
   pigmentirana, kvalitete, teksture, boje i tona po
  odabiru projektanta uz suglasnost Investitora.</t>
  </si>
  <si>
    <t>U stavci je uključen sav potreban rad i materijal do pune gotovosti stavke.</t>
  </si>
  <si>
    <r>
      <t xml:space="preserve">Oznaka u projektu: </t>
    </r>
    <r>
      <rPr>
        <b/>
        <sz val="10"/>
        <rFont val="Arial"/>
        <family val="2"/>
      </rPr>
      <t>K2b, K4, M4</t>
    </r>
  </si>
  <si>
    <t>13.9.</t>
  </si>
  <si>
    <r>
      <t xml:space="preserve">Dobava i izrada  ETICS fasade, </t>
    </r>
    <r>
      <rPr>
        <b/>
        <sz val="10"/>
        <rFont val="Arial"/>
        <family val="2"/>
      </rPr>
      <t>horizontalnog</t>
    </r>
    <r>
      <rPr>
        <b/>
        <u/>
        <sz val="10"/>
        <rFont val="Arial"/>
        <family val="2"/>
      </rPr>
      <t xml:space="preserve"> podgleda</t>
    </r>
    <r>
      <rPr>
        <sz val="10"/>
        <rFont val="Arial"/>
        <family val="2"/>
      </rPr>
      <t xml:space="preserve"> glavnog ulaza prizemlja, a, pločama kamene vune</t>
    </r>
    <r>
      <rPr>
        <b/>
        <sz val="10"/>
        <rFont val="Arial"/>
        <family val="2"/>
      </rPr>
      <t xml:space="preserve"> debljine 20,0 cm.</t>
    </r>
  </si>
  <si>
    <t>Ostali opis i uvjeti izvođenja, isti kao i u prethodnoj stavci.</t>
  </si>
  <si>
    <r>
      <t xml:space="preserve">Oznaka u projektu: </t>
    </r>
    <r>
      <rPr>
        <b/>
        <sz val="10"/>
        <rFont val="Arial"/>
        <family val="2"/>
      </rPr>
      <t xml:space="preserve"> M2</t>
    </r>
  </si>
  <si>
    <t>13.10.</t>
  </si>
  <si>
    <r>
      <t xml:space="preserve">Dobava i izvedba </t>
    </r>
    <r>
      <rPr>
        <b/>
        <sz val="10"/>
        <rFont val="Arial"/>
        <family val="2"/>
      </rPr>
      <t xml:space="preserve">završne fasadne obrade čela loggia / balkona, i čela konzolnih, krovnih  istaka na dvorani, </t>
    </r>
    <r>
      <rPr>
        <sz val="10"/>
        <rFont val="Arial"/>
        <family val="2"/>
      </rPr>
      <t xml:space="preserve"> u sistemu ETICS fasadnog sustava na suhu i prethodno očišćenu, otprašenu  površinu zidova, izvoditi u slojevima kako slijedi:</t>
    </r>
  </si>
  <si>
    <t xml:space="preserve">  - kamena vuna  debljina 2,0 i 5,0 cm. </t>
  </si>
  <si>
    <r>
      <t xml:space="preserve"> - čela loggia /  balkona - </t>
    </r>
    <r>
      <rPr>
        <b/>
        <sz val="10"/>
        <rFont val="Arial"/>
        <family val="2"/>
      </rPr>
      <t>d =  2,0 cm</t>
    </r>
  </si>
  <si>
    <r>
      <t xml:space="preserve"> - čela konzolnih istaka konzola krova dvorane, </t>
    </r>
    <r>
      <rPr>
        <b/>
        <sz val="10"/>
        <rFont val="Arial"/>
        <family val="2"/>
      </rPr>
      <t>d = 5,0 cm</t>
    </r>
  </si>
  <si>
    <t>13.11.</t>
  </si>
  <si>
    <t>Dobava i ugradnja  vanjskog, fasadnog dilatacijskog PVC profila (u istoj ravnini),  za kontaktni fasadni sustav, s polukružnim, udubljenim, fleksibilnim profilom, koji omogućava horizontalna rastezanja do 10 mm.</t>
  </si>
  <si>
    <t>Boja prema odabiru Projektanta, iz raspoloživog kataloga odabranog proizvođača.</t>
  </si>
  <si>
    <r>
      <t>m</t>
    </r>
    <r>
      <rPr>
        <vertAlign val="superscript"/>
        <sz val="10"/>
        <rFont val="Arial"/>
        <family val="2"/>
        <charset val="238"/>
      </rPr>
      <t>1</t>
    </r>
  </si>
  <si>
    <t>13.12.</t>
  </si>
  <si>
    <t>Dobava i ugradnja  vanjskog, fasadnog dilatacijskog PVC profila za kontaktni fasadni sustav (kut 90 stupnjeva -unutarnji), s polukružnim, udubljenim, fleksibilnim profilom, koji omogućava horizontalna rastezanja do 10 mm.</t>
  </si>
  <si>
    <t xml:space="preserve">FASADERSKI RADOVI  UKUPNO:                                                    </t>
  </si>
  <si>
    <t>REKAPITULACIJA:</t>
  </si>
  <si>
    <t>EUR</t>
  </si>
  <si>
    <t>FASADERSKI RADOVI</t>
  </si>
  <si>
    <t>UKUPNO (bez PDV-a):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</si>
</sst>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41A]_-;\-* #,##0.00\ [$€-41A]_-;_-* &quot;-&quot;??\ [$€-41A]_-;_-@_-"/>
    <numFmt numFmtId="165" formatCode="#,##0.00\ &quot;€&quot;"/>
  </numFmts>
  <fonts count="74">
    <font>
      <sz val="11"/>
      <color theme="1"/>
      <name val="Calibri"/>
      <family val="2"/>
      <charset val="238"/>
      <scheme val="minor"/>
    </font>
    <font>
      <sz val="11"/>
      <color theme="1"/>
      <name val="Calibri"/>
      <family val="2"/>
      <charset val="238"/>
      <scheme val="minor"/>
    </font>
    <font>
      <sz val="11"/>
      <color rgb="FFFF0000"/>
      <name val="Calibri"/>
      <family val="2"/>
      <charset val="238"/>
      <scheme val="minor"/>
    </font>
    <font>
      <b/>
      <sz val="11"/>
      <name val="Arial"/>
      <family val="2"/>
    </font>
    <font>
      <sz val="10"/>
      <color theme="1"/>
      <name val="Arial"/>
      <family val="2"/>
    </font>
    <font>
      <b/>
      <sz val="13"/>
      <color theme="1"/>
      <name val="Arial"/>
      <family val="2"/>
    </font>
    <font>
      <b/>
      <sz val="11"/>
      <color theme="1"/>
      <name val="Arial"/>
      <family val="2"/>
    </font>
    <font>
      <sz val="10"/>
      <name val="Arial"/>
      <family val="2"/>
    </font>
    <font>
      <b/>
      <sz val="10"/>
      <color theme="1"/>
      <name val="Arial"/>
      <family val="2"/>
    </font>
    <font>
      <sz val="10"/>
      <color rgb="FFFF0000"/>
      <name val="Arial"/>
      <family val="2"/>
    </font>
    <font>
      <sz val="11"/>
      <color theme="1"/>
      <name val="Arial"/>
      <family val="2"/>
    </font>
    <font>
      <b/>
      <sz val="12"/>
      <name val="Arial Black"/>
      <family val="2"/>
    </font>
    <font>
      <sz val="11"/>
      <name val="Arial"/>
      <family val="2"/>
    </font>
    <font>
      <b/>
      <sz val="10"/>
      <name val="Arial"/>
      <family val="2"/>
    </font>
    <font>
      <b/>
      <sz val="10"/>
      <color rgb="FF0000FF"/>
      <name val="Arial"/>
      <family val="2"/>
    </font>
    <font>
      <sz val="11"/>
      <color rgb="FF0000FF"/>
      <name val="Arial"/>
      <family val="2"/>
    </font>
    <font>
      <b/>
      <sz val="18"/>
      <name val="Arial"/>
      <family val="2"/>
    </font>
    <font>
      <b/>
      <sz val="16"/>
      <name val="Arial"/>
      <family val="2"/>
    </font>
    <font>
      <b/>
      <sz val="14"/>
      <color rgb="FFFF0000"/>
      <name val="Arial"/>
      <family val="2"/>
    </font>
    <font>
      <b/>
      <sz val="12"/>
      <name val="Arial"/>
      <family val="2"/>
    </font>
    <font>
      <sz val="10"/>
      <name val="Arial"/>
      <family val="2"/>
      <charset val="238"/>
    </font>
    <font>
      <sz val="10"/>
      <color indexed="10"/>
      <name val="Arial"/>
      <family val="2"/>
    </font>
    <font>
      <sz val="11"/>
      <name val="Calibri"/>
      <family val="2"/>
      <charset val="238"/>
      <scheme val="minor"/>
    </font>
    <font>
      <sz val="11"/>
      <color rgb="FF0000FF"/>
      <name val="Calibri"/>
      <family val="2"/>
      <charset val="238"/>
      <scheme val="minor"/>
    </font>
    <font>
      <b/>
      <sz val="11"/>
      <name val="Arial"/>
      <family val="2"/>
      <charset val="238"/>
    </font>
    <font>
      <sz val="10"/>
      <color rgb="FF0033CC"/>
      <name val="Arial"/>
      <family val="2"/>
      <charset val="238"/>
    </font>
    <font>
      <b/>
      <i/>
      <sz val="11"/>
      <name val="Arial"/>
      <family val="2"/>
    </font>
    <font>
      <b/>
      <sz val="10"/>
      <name val="Arial"/>
      <family val="2"/>
      <charset val="238"/>
    </font>
    <font>
      <b/>
      <i/>
      <sz val="9"/>
      <name val="Arial"/>
      <family val="2"/>
    </font>
    <font>
      <sz val="9"/>
      <name val="Arial"/>
      <family val="2"/>
      <charset val="238"/>
    </font>
    <font>
      <sz val="10"/>
      <color rgb="FF0000FF"/>
      <name val="Arial"/>
      <family val="2"/>
      <charset val="238"/>
    </font>
    <font>
      <sz val="10"/>
      <color rgb="FF0000FF"/>
      <name val="Arial"/>
      <family val="2"/>
    </font>
    <font>
      <sz val="10"/>
      <color rgb="FF0000FF"/>
      <name val="Calibri"/>
      <family val="2"/>
      <charset val="238"/>
      <scheme val="minor"/>
    </font>
    <font>
      <sz val="9"/>
      <name val="Arial"/>
      <family val="2"/>
    </font>
    <font>
      <b/>
      <sz val="8"/>
      <color rgb="FF0000FF"/>
      <name val="Arial"/>
      <family val="2"/>
    </font>
    <font>
      <b/>
      <sz val="10"/>
      <color rgb="FF0000FF"/>
      <name val="Arial"/>
      <family val="2"/>
      <charset val="238"/>
    </font>
    <font>
      <sz val="10"/>
      <color rgb="FF0000FF"/>
      <name val="Times New Roman"/>
      <family val="1"/>
    </font>
    <font>
      <b/>
      <sz val="13"/>
      <name val="Arial"/>
      <family val="2"/>
    </font>
    <font>
      <sz val="10"/>
      <name val="Calibri"/>
      <family val="2"/>
      <charset val="238"/>
      <scheme val="minor"/>
    </font>
    <font>
      <b/>
      <sz val="8"/>
      <name val="Arial"/>
      <family val="2"/>
    </font>
    <font>
      <b/>
      <i/>
      <sz val="10"/>
      <color theme="1"/>
      <name val="Arial"/>
      <family val="2"/>
    </font>
    <font>
      <b/>
      <i/>
      <sz val="10"/>
      <color rgb="FF0000FF"/>
      <name val="Arial"/>
      <family val="2"/>
    </font>
    <font>
      <sz val="9"/>
      <color rgb="FF0000FF"/>
      <name val="Arial"/>
      <family val="2"/>
      <charset val="238"/>
    </font>
    <font>
      <sz val="10"/>
      <color theme="1"/>
      <name val="Arial"/>
      <family val="2"/>
      <charset val="238"/>
    </font>
    <font>
      <sz val="10"/>
      <name val="Helv"/>
    </font>
    <font>
      <i/>
      <sz val="10"/>
      <name val="Arial"/>
      <family val="2"/>
    </font>
    <font>
      <sz val="10"/>
      <color theme="1"/>
      <name val="Calibri"/>
      <family val="2"/>
      <charset val="238"/>
      <scheme val="minor"/>
    </font>
    <font>
      <b/>
      <sz val="12"/>
      <name val="Arial"/>
      <family val="2"/>
      <charset val="238"/>
    </font>
    <font>
      <sz val="9"/>
      <color rgb="FF0000FF"/>
      <name val="Arial"/>
      <family val="2"/>
    </font>
    <font>
      <sz val="10"/>
      <color rgb="FFFF0000"/>
      <name val="Arial"/>
      <family val="2"/>
      <charset val="238"/>
    </font>
    <font>
      <b/>
      <sz val="10"/>
      <color rgb="FFFF0000"/>
      <name val="Arial"/>
      <family val="2"/>
      <charset val="238"/>
    </font>
    <font>
      <i/>
      <sz val="10"/>
      <name val="Arial"/>
      <family val="2"/>
      <charset val="238"/>
    </font>
    <font>
      <sz val="10"/>
      <name val="Calibri"/>
      <family val="2"/>
      <charset val="238"/>
    </font>
    <font>
      <vertAlign val="superscript"/>
      <sz val="10"/>
      <name val="Arial"/>
      <family val="2"/>
      <charset val="238"/>
    </font>
    <font>
      <sz val="10"/>
      <color rgb="FFFF0000"/>
      <name val="Arial CE"/>
      <family val="2"/>
      <charset val="238"/>
    </font>
    <font>
      <b/>
      <sz val="10"/>
      <color rgb="FFFF0000"/>
      <name val="Arial Narrow"/>
      <family val="2"/>
      <charset val="238"/>
    </font>
    <font>
      <u/>
      <sz val="10"/>
      <name val="Arial"/>
      <family val="2"/>
      <charset val="238"/>
    </font>
    <font>
      <vertAlign val="superscript"/>
      <sz val="10"/>
      <name val="Arial"/>
      <family val="2"/>
    </font>
    <font>
      <b/>
      <u/>
      <sz val="10"/>
      <name val="Arial"/>
      <family val="2"/>
    </font>
    <font>
      <u/>
      <sz val="10"/>
      <name val="Arial"/>
      <family val="2"/>
    </font>
    <font>
      <b/>
      <sz val="10"/>
      <color rgb="FFFF0000"/>
      <name val="Arial"/>
      <family val="2"/>
    </font>
    <font>
      <b/>
      <i/>
      <sz val="10"/>
      <name val="Arial"/>
      <family val="2"/>
    </font>
    <font>
      <sz val="12"/>
      <name val="Arial"/>
      <family val="2"/>
      <charset val="238"/>
    </font>
    <font>
      <b/>
      <sz val="13"/>
      <name val="Arial"/>
      <family val="2"/>
      <charset val="238"/>
    </font>
    <font>
      <sz val="11"/>
      <name val="Calibri"/>
      <family val="2"/>
      <scheme val="minor"/>
    </font>
    <font>
      <b/>
      <sz val="11"/>
      <name val="Calibri"/>
      <family val="2"/>
      <scheme val="minor"/>
    </font>
    <font>
      <sz val="10"/>
      <name val="Calibri"/>
      <family val="2"/>
      <scheme val="minor"/>
    </font>
    <font>
      <sz val="11"/>
      <name val="Arial"/>
      <family val="2"/>
      <charset val="238"/>
    </font>
    <font>
      <b/>
      <sz val="11"/>
      <color theme="1"/>
      <name val="Arial"/>
      <family val="2"/>
      <charset val="238"/>
    </font>
    <font>
      <b/>
      <sz val="11"/>
      <color rgb="FF0000FF"/>
      <name val="Calibri"/>
      <family val="2"/>
      <scheme val="minor"/>
    </font>
    <font>
      <b/>
      <sz val="14"/>
      <name val="Arial"/>
      <family val="2"/>
    </font>
    <font>
      <b/>
      <sz val="11"/>
      <color rgb="FF0000FF"/>
      <name val="Arial"/>
      <family val="2"/>
      <charset val="238"/>
    </font>
    <font>
      <b/>
      <sz val="10"/>
      <name val="Calibri"/>
      <family val="2"/>
      <scheme val="minor"/>
    </font>
    <font>
      <sz val="10"/>
      <color rgb="FF00A400"/>
      <name val="Calibri"/>
      <family val="2"/>
      <charset val="238"/>
      <scheme val="minor"/>
    </font>
  </fonts>
  <fills count="2">
    <fill>
      <patternFill patternType="none"/>
    </fill>
    <fill>
      <patternFill patternType="gray125"/>
    </fill>
  </fills>
  <borders count="11">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bottom style="medium">
        <color indexed="8"/>
      </bottom>
      <diagonal/>
    </border>
  </borders>
  <cellStyleXfs count="13">
    <xf numFmtId="0" fontId="0" fillId="0" borderId="0"/>
    <xf numFmtId="0" fontId="20" fillId="0" borderId="0"/>
    <xf numFmtId="0" fontId="7" fillId="0" borderId="0"/>
    <xf numFmtId="0" fontId="7" fillId="0" borderId="0"/>
    <xf numFmtId="0" fontId="44" fillId="0" borderId="0"/>
    <xf numFmtId="0" fontId="20" fillId="0" borderId="0"/>
    <xf numFmtId="0" fontId="62" fillId="0" borderId="0"/>
    <xf numFmtId="0" fontId="20" fillId="0" borderId="0"/>
    <xf numFmtId="0" fontId="20" fillId="0" borderId="0"/>
    <xf numFmtId="0" fontId="20" fillId="0" borderId="0"/>
    <xf numFmtId="0" fontId="20" fillId="0" borderId="0"/>
    <xf numFmtId="0" fontId="20" fillId="0" borderId="0"/>
    <xf numFmtId="0" fontId="1" fillId="0" borderId="0"/>
  </cellStyleXfs>
  <cellXfs count="266">
    <xf numFmtId="0" fontId="0" fillId="0" borderId="0" xfId="0"/>
    <xf numFmtId="0" fontId="3" fillId="0" borderId="0" xfId="0" applyFont="1" applyAlignment="1">
      <alignment vertical="center"/>
    </xf>
    <xf numFmtId="0" fontId="4" fillId="0" borderId="0" xfId="0" applyFont="1"/>
    <xf numFmtId="0" fontId="5" fillId="0" borderId="0" xfId="0" applyFont="1"/>
    <xf numFmtId="0" fontId="6" fillId="0" borderId="0" xfId="0" applyFont="1" applyAlignment="1">
      <alignment vertical="center"/>
    </xf>
    <xf numFmtId="0" fontId="6" fillId="0" borderId="0" xfId="0" applyFont="1" applyAlignment="1">
      <alignment horizontal="left" vertical="center"/>
    </xf>
    <xf numFmtId="0" fontId="7" fillId="0" borderId="0" xfId="0" applyFont="1"/>
    <xf numFmtId="0" fontId="8" fillId="0" borderId="0" xfId="0" applyFont="1" applyAlignment="1">
      <alignment vertical="center"/>
    </xf>
    <xf numFmtId="0" fontId="7" fillId="0" borderId="0" xfId="0" applyFont="1" applyAlignment="1">
      <alignment vertical="center"/>
    </xf>
    <xf numFmtId="0" fontId="3" fillId="0" borderId="0" xfId="0" applyFont="1"/>
    <xf numFmtId="0" fontId="9" fillId="0" borderId="0" xfId="0" applyFont="1"/>
    <xf numFmtId="0" fontId="10" fillId="0" borderId="0" xfId="0" applyFont="1"/>
    <xf numFmtId="0" fontId="11" fillId="0" borderId="0" xfId="0" applyFont="1" applyAlignment="1">
      <alignment horizontal="left"/>
    </xf>
    <xf numFmtId="0" fontId="12" fillId="0" borderId="0" xfId="0" applyFont="1"/>
    <xf numFmtId="0" fontId="13" fillId="0" borderId="0" xfId="0" applyFont="1" applyAlignment="1">
      <alignment vertical="center"/>
    </xf>
    <xf numFmtId="0" fontId="14" fillId="0" borderId="0" xfId="0" applyFont="1" applyAlignment="1">
      <alignment vertical="center"/>
    </xf>
    <xf numFmtId="0" fontId="3" fillId="0" borderId="0" xfId="0" applyFont="1" applyAlignment="1">
      <alignment horizontal="justify" vertical="center"/>
    </xf>
    <xf numFmtId="0" fontId="6" fillId="0" borderId="0" xfId="0" applyFont="1"/>
    <xf numFmtId="14" fontId="12" fillId="0" borderId="0" xfId="0" applyNumberFormat="1" applyFont="1" applyAlignment="1">
      <alignment horizontal="justify" vertical="center"/>
    </xf>
    <xf numFmtId="0" fontId="15" fillId="0" borderId="0" xfId="0" applyFont="1"/>
    <xf numFmtId="0" fontId="13"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0" fillId="0" borderId="0" xfId="1" applyFont="1"/>
    <xf numFmtId="0" fontId="21" fillId="0" borderId="0" xfId="0" applyFont="1"/>
    <xf numFmtId="0" fontId="13" fillId="0" borderId="0" xfId="1" applyFont="1"/>
    <xf numFmtId="0" fontId="7" fillId="0" borderId="0" xfId="1" applyFont="1"/>
    <xf numFmtId="0" fontId="22" fillId="0" borderId="0" xfId="0" applyFont="1"/>
    <xf numFmtId="0" fontId="22" fillId="0" borderId="0" xfId="1" applyFont="1"/>
    <xf numFmtId="0" fontId="23" fillId="0" borderId="0" xfId="0" applyFont="1"/>
    <xf numFmtId="49" fontId="24" fillId="0" borderId="0" xfId="0" applyNumberFormat="1" applyFont="1" applyAlignment="1">
      <alignment horizontal="justify" vertical="center" wrapText="1"/>
    </xf>
    <xf numFmtId="4" fontId="25" fillId="0" borderId="0" xfId="0" applyNumberFormat="1" applyFont="1" applyAlignment="1">
      <alignment horizontal="right" vertical="center"/>
    </xf>
    <xf numFmtId="0" fontId="25" fillId="0" borderId="0" xfId="0" applyFont="1" applyAlignment="1">
      <alignment vertical="center"/>
    </xf>
    <xf numFmtId="0" fontId="0" fillId="0" borderId="0" xfId="0" applyAlignment="1">
      <alignment horizontal="left"/>
    </xf>
    <xf numFmtId="49" fontId="24" fillId="0" borderId="0" xfId="0" applyNumberFormat="1" applyFont="1" applyAlignment="1">
      <alignment horizontal="center" vertical="center"/>
    </xf>
    <xf numFmtId="4" fontId="24" fillId="0" borderId="0" xfId="0" applyNumberFormat="1" applyFont="1" applyAlignment="1">
      <alignment vertical="center"/>
    </xf>
    <xf numFmtId="4" fontId="24" fillId="0" borderId="0" xfId="0" applyNumberFormat="1" applyFont="1" applyAlignment="1">
      <alignment horizontal="right" vertical="center"/>
    </xf>
    <xf numFmtId="49" fontId="26" fillId="0" borderId="0" xfId="0" applyNumberFormat="1" applyFont="1" applyAlignment="1">
      <alignment horizontal="justify" vertical="center" wrapText="1"/>
    </xf>
    <xf numFmtId="0" fontId="27" fillId="0" borderId="0" xfId="0" applyFont="1" applyAlignment="1">
      <alignment vertical="top" wrapText="1"/>
    </xf>
    <xf numFmtId="0" fontId="28" fillId="0" borderId="0" xfId="0" applyFont="1" applyAlignment="1">
      <alignment vertical="top" wrapText="1"/>
    </xf>
    <xf numFmtId="0" fontId="29" fillId="0" borderId="0" xfId="0" applyFont="1" applyAlignment="1">
      <alignment vertical="top" wrapText="1"/>
    </xf>
    <xf numFmtId="0" fontId="29" fillId="0" borderId="0" xfId="0" applyFont="1" applyAlignment="1">
      <alignment horizontal="left" vertical="top" wrapText="1"/>
    </xf>
    <xf numFmtId="0" fontId="30" fillId="0" borderId="1" xfId="0" applyFont="1" applyBorder="1" applyAlignment="1">
      <alignment vertical="center"/>
    </xf>
    <xf numFmtId="49" fontId="31" fillId="0" borderId="2" xfId="0" applyNumberFormat="1" applyFont="1" applyBorder="1" applyAlignment="1" applyProtection="1">
      <alignment vertical="top"/>
      <protection hidden="1"/>
    </xf>
    <xf numFmtId="4" fontId="31" fillId="0" borderId="2" xfId="0" applyNumberFormat="1" applyFont="1" applyBorder="1" applyAlignment="1">
      <alignment horizontal="center"/>
    </xf>
    <xf numFmtId="4" fontId="31" fillId="0" borderId="2" xfId="0" applyNumberFormat="1" applyFont="1" applyBorder="1" applyAlignment="1">
      <alignment horizontal="right"/>
    </xf>
    <xf numFmtId="164" fontId="32" fillId="0" borderId="2" xfId="0" applyNumberFormat="1" applyFont="1" applyBorder="1"/>
    <xf numFmtId="4" fontId="31" fillId="0" borderId="3" xfId="0" applyNumberFormat="1" applyFont="1" applyBorder="1" applyAlignment="1">
      <alignment horizontal="center"/>
    </xf>
    <xf numFmtId="4" fontId="22" fillId="0" borderId="0" xfId="0" applyNumberFormat="1" applyFont="1" applyAlignment="1">
      <alignment horizontal="right"/>
    </xf>
    <xf numFmtId="164" fontId="22" fillId="0" borderId="0" xfId="0" applyNumberFormat="1" applyFont="1" applyAlignment="1">
      <alignment horizontal="right"/>
    </xf>
    <xf numFmtId="4" fontId="22" fillId="0" borderId="0" xfId="0" applyNumberFormat="1" applyFont="1"/>
    <xf numFmtId="0" fontId="30" fillId="0" borderId="4" xfId="0" applyFont="1" applyBorder="1" applyAlignment="1">
      <alignment vertical="center"/>
    </xf>
    <xf numFmtId="49" fontId="31" fillId="0" borderId="0" xfId="0" applyNumberFormat="1" applyFont="1" applyAlignment="1">
      <alignment horizontal="justify" vertical="center" wrapText="1"/>
    </xf>
    <xf numFmtId="4" fontId="31" fillId="0" borderId="0" xfId="0" applyNumberFormat="1" applyFont="1" applyAlignment="1">
      <alignment horizontal="center"/>
    </xf>
    <xf numFmtId="4" fontId="31" fillId="0" borderId="0" xfId="0" applyNumberFormat="1" applyFont="1" applyAlignment="1" applyProtection="1">
      <alignment horizontal="right"/>
      <protection locked="0"/>
    </xf>
    <xf numFmtId="164" fontId="32" fillId="0" borderId="0" xfId="0" applyNumberFormat="1" applyFont="1"/>
    <xf numFmtId="4" fontId="33" fillId="0" borderId="5" xfId="0" applyNumberFormat="1" applyFont="1" applyBorder="1" applyAlignment="1">
      <alignment horizontal="center"/>
    </xf>
    <xf numFmtId="49" fontId="34" fillId="0" borderId="0" xfId="0" applyNumberFormat="1" applyFont="1" applyAlignment="1">
      <alignment horizontal="justify" vertical="center" wrapText="1"/>
    </xf>
    <xf numFmtId="0" fontId="30" fillId="0" borderId="6" xfId="0" applyFont="1" applyBorder="1" applyAlignment="1">
      <alignment vertical="center"/>
    </xf>
    <xf numFmtId="49" fontId="31" fillId="0" borderId="7" xfId="0" applyNumberFormat="1" applyFont="1" applyBorder="1" applyAlignment="1">
      <alignment horizontal="justify" vertical="center" wrapText="1"/>
    </xf>
    <xf numFmtId="4" fontId="31" fillId="0" borderId="7" xfId="0" applyNumberFormat="1" applyFont="1" applyBorder="1" applyAlignment="1">
      <alignment horizontal="center"/>
    </xf>
    <xf numFmtId="4" fontId="31" fillId="0" borderId="7" xfId="0" applyNumberFormat="1" applyFont="1" applyBorder="1" applyAlignment="1" applyProtection="1">
      <alignment horizontal="right"/>
      <protection locked="0"/>
    </xf>
    <xf numFmtId="164" fontId="32" fillId="0" borderId="7" xfId="0" applyNumberFormat="1" applyFont="1" applyBorder="1"/>
    <xf numFmtId="4" fontId="31" fillId="0" borderId="8" xfId="0" applyNumberFormat="1" applyFont="1" applyBorder="1" applyAlignment="1">
      <alignment horizontal="center"/>
    </xf>
    <xf numFmtId="0" fontId="35" fillId="0" borderId="0" xfId="0" applyFont="1" applyAlignment="1">
      <alignment horizontal="center" vertical="top"/>
    </xf>
    <xf numFmtId="49" fontId="14" fillId="0" borderId="0" xfId="0" applyNumberFormat="1" applyFont="1" applyAlignment="1" applyProtection="1">
      <alignment vertical="top" wrapText="1"/>
      <protection hidden="1"/>
    </xf>
    <xf numFmtId="0" fontId="36" fillId="0" borderId="0" xfId="0" applyFont="1" applyAlignment="1">
      <alignment horizontal="center"/>
    </xf>
    <xf numFmtId="4" fontId="36" fillId="0" borderId="0" xfId="0" applyNumberFormat="1" applyFont="1"/>
    <xf numFmtId="164" fontId="30" fillId="0" borderId="0" xfId="0" applyNumberFormat="1" applyFont="1" applyAlignment="1">
      <alignment horizontal="right"/>
    </xf>
    <xf numFmtId="4" fontId="32" fillId="0" borderId="0" xfId="0" applyNumberFormat="1" applyFont="1"/>
    <xf numFmtId="0" fontId="13" fillId="0" borderId="0" xfId="0" applyFont="1" applyAlignment="1">
      <alignment horizontal="center" vertical="top"/>
    </xf>
    <xf numFmtId="49" fontId="13" fillId="0" borderId="0" xfId="0" applyNumberFormat="1" applyFont="1" applyAlignment="1" applyProtection="1">
      <alignment vertical="top" wrapText="1"/>
      <protection hidden="1"/>
    </xf>
    <xf numFmtId="49" fontId="37" fillId="0" borderId="0" xfId="0" applyNumberFormat="1" applyFont="1" applyAlignment="1" applyProtection="1">
      <alignment horizontal="center" vertical="center"/>
      <protection hidden="1"/>
    </xf>
    <xf numFmtId="49" fontId="37" fillId="0" borderId="0" xfId="0" applyNumberFormat="1" applyFont="1" applyAlignment="1" applyProtection="1">
      <alignment horizontal="left" vertical="center"/>
      <protection hidden="1"/>
    </xf>
    <xf numFmtId="164" fontId="20" fillId="0" borderId="0" xfId="0" applyNumberFormat="1" applyFont="1" applyAlignment="1">
      <alignment horizontal="right"/>
    </xf>
    <xf numFmtId="4" fontId="38" fillId="0" borderId="0" xfId="0" applyNumberFormat="1" applyFont="1"/>
    <xf numFmtId="0" fontId="32" fillId="0" borderId="0" xfId="0" applyFont="1" applyAlignment="1">
      <alignment horizontal="center"/>
    </xf>
    <xf numFmtId="164" fontId="38" fillId="0" borderId="0" xfId="0" applyNumberFormat="1" applyFont="1"/>
    <xf numFmtId="49" fontId="13" fillId="0" borderId="0" xfId="0" applyNumberFormat="1" applyFont="1" applyAlignment="1">
      <alignment horizontal="center"/>
    </xf>
    <xf numFmtId="4" fontId="13" fillId="0" borderId="0" xfId="0" applyNumberFormat="1" applyFont="1" applyAlignment="1">
      <alignment horizontal="center"/>
    </xf>
    <xf numFmtId="164" fontId="13" fillId="0" borderId="0" xfId="0" applyNumberFormat="1" applyFont="1" applyAlignment="1">
      <alignment horizontal="center"/>
    </xf>
    <xf numFmtId="49" fontId="39" fillId="0" borderId="0" xfId="0" applyNumberFormat="1" applyFont="1" applyAlignment="1">
      <alignment horizontal="center"/>
    </xf>
    <xf numFmtId="4" fontId="39" fillId="0" borderId="0" xfId="0" applyNumberFormat="1" applyFont="1" applyAlignment="1">
      <alignment horizontal="center"/>
    </xf>
    <xf numFmtId="164" fontId="39" fillId="0" borderId="0" xfId="0" applyNumberFormat="1" applyFont="1" applyAlignment="1">
      <alignment horizontal="center"/>
    </xf>
    <xf numFmtId="0" fontId="35" fillId="0" borderId="0" xfId="0" applyFont="1" applyAlignment="1">
      <alignment horizontal="right" vertical="top"/>
    </xf>
    <xf numFmtId="0" fontId="30" fillId="0" borderId="0" xfId="0" applyFont="1" applyAlignment="1" applyProtection="1">
      <alignment horizontal="justify" vertical="top" wrapText="1"/>
      <protection hidden="1"/>
    </xf>
    <xf numFmtId="49" fontId="31" fillId="0" borderId="0" xfId="0" applyNumberFormat="1" applyFont="1" applyAlignment="1">
      <alignment horizontal="center" vertical="center"/>
    </xf>
    <xf numFmtId="49" fontId="8" fillId="0" borderId="0" xfId="0" applyNumberFormat="1" applyFont="1" applyAlignment="1">
      <alignment horizontal="justify" vertical="center" wrapText="1"/>
    </xf>
    <xf numFmtId="49" fontId="31" fillId="0" borderId="0" xfId="0" applyNumberFormat="1" applyFont="1" applyAlignment="1">
      <alignment horizontal="center"/>
    </xf>
    <xf numFmtId="4" fontId="31" fillId="0" borderId="0" xfId="0" applyNumberFormat="1" applyFont="1"/>
    <xf numFmtId="164" fontId="7" fillId="0" borderId="0" xfId="0" applyNumberFormat="1" applyFont="1" applyAlignment="1" applyProtection="1">
      <alignment horizontal="right"/>
      <protection locked="0"/>
    </xf>
    <xf numFmtId="4" fontId="7" fillId="0" borderId="0" xfId="0" applyNumberFormat="1" applyFont="1" applyAlignment="1">
      <alignment horizontal="right"/>
    </xf>
    <xf numFmtId="49" fontId="40" fillId="0" borderId="0" xfId="0" applyNumberFormat="1" applyFont="1" applyAlignment="1">
      <alignment horizontal="justify" vertical="top" wrapText="1"/>
    </xf>
    <xf numFmtId="49" fontId="31" fillId="0" borderId="0" xfId="0" applyNumberFormat="1" applyFont="1" applyAlignment="1">
      <alignment horizontal="right" vertical="top"/>
    </xf>
    <xf numFmtId="49" fontId="41" fillId="0" borderId="0" xfId="0" applyNumberFormat="1" applyFont="1" applyAlignment="1">
      <alignment horizontal="justify" vertical="top" wrapText="1"/>
    </xf>
    <xf numFmtId="0" fontId="14" fillId="0" borderId="0" xfId="0" applyFont="1" applyAlignment="1">
      <alignment horizontal="center" wrapText="1"/>
    </xf>
    <xf numFmtId="4" fontId="14" fillId="0" borderId="0" xfId="0" applyNumberFormat="1" applyFont="1" applyAlignment="1">
      <alignment wrapText="1"/>
    </xf>
    <xf numFmtId="164" fontId="14" fillId="0" borderId="0" xfId="0" applyNumberFormat="1" applyFont="1" applyAlignment="1">
      <alignment wrapText="1"/>
    </xf>
    <xf numFmtId="49" fontId="31" fillId="0" borderId="0" xfId="0" applyNumberFormat="1" applyFont="1" applyAlignment="1">
      <alignment vertical="center"/>
    </xf>
    <xf numFmtId="164" fontId="31" fillId="0" borderId="0" xfId="0" applyNumberFormat="1" applyFont="1" applyAlignment="1" applyProtection="1">
      <alignment horizontal="right"/>
      <protection locked="0"/>
    </xf>
    <xf numFmtId="165" fontId="31" fillId="0" borderId="0" xfId="0" applyNumberFormat="1" applyFont="1" applyAlignment="1">
      <alignment horizontal="right"/>
    </xf>
    <xf numFmtId="49" fontId="30" fillId="0" borderId="0" xfId="0" applyNumberFormat="1" applyFont="1" applyAlignment="1">
      <alignment horizontal="center" vertical="top"/>
    </xf>
    <xf numFmtId="49" fontId="42" fillId="0" borderId="0" xfId="0" applyNumberFormat="1" applyFont="1" applyAlignment="1">
      <alignment horizontal="left" vertical="center"/>
    </xf>
    <xf numFmtId="0" fontId="30" fillId="0" borderId="0" xfId="0" applyFont="1" applyAlignment="1">
      <alignment horizontal="center"/>
    </xf>
    <xf numFmtId="4" fontId="30" fillId="0" borderId="0" xfId="0" applyNumberFormat="1" applyFont="1" applyAlignment="1">
      <alignment horizontal="right"/>
    </xf>
    <xf numFmtId="165" fontId="30" fillId="0" borderId="0" xfId="0" applyNumberFormat="1" applyFont="1"/>
    <xf numFmtId="165" fontId="20" fillId="0" borderId="0" xfId="0" applyNumberFormat="1" applyFont="1" applyAlignment="1">
      <alignment horizontal="right"/>
    </xf>
    <xf numFmtId="0" fontId="4" fillId="0" borderId="0" xfId="0" applyFont="1" applyAlignment="1">
      <alignment horizontal="justify" vertical="top" wrapText="1"/>
    </xf>
    <xf numFmtId="0" fontId="42" fillId="0" borderId="0" xfId="0" applyFont="1" applyAlignment="1">
      <alignment horizontal="center" vertical="center"/>
    </xf>
    <xf numFmtId="0" fontId="30" fillId="0" borderId="0" xfId="0" applyFont="1" applyAlignment="1">
      <alignment horizontal="justify" vertical="top" wrapText="1"/>
    </xf>
    <xf numFmtId="0" fontId="32" fillId="0" borderId="0" xfId="0" applyFont="1"/>
    <xf numFmtId="49" fontId="7" fillId="0" borderId="0" xfId="0" applyNumberFormat="1" applyFont="1" applyAlignment="1">
      <alignment horizontal="center" vertical="top"/>
    </xf>
    <xf numFmtId="0" fontId="30" fillId="0" borderId="0" xfId="0" applyFont="1" applyAlignment="1">
      <alignment horizontal="center" wrapText="1"/>
    </xf>
    <xf numFmtId="164" fontId="9" fillId="0" borderId="0" xfId="0" applyNumberFormat="1" applyFont="1" applyAlignment="1">
      <alignment horizontal="right"/>
    </xf>
    <xf numFmtId="165" fontId="9" fillId="0" borderId="0" xfId="0" applyNumberFormat="1" applyFont="1" applyAlignment="1">
      <alignment horizontal="right"/>
    </xf>
    <xf numFmtId="49" fontId="31" fillId="0" borderId="0" xfId="0" applyNumberFormat="1" applyFont="1" applyAlignment="1">
      <alignment horizontal="center" vertical="top"/>
    </xf>
    <xf numFmtId="164" fontId="22" fillId="0" borderId="0" xfId="0" applyNumberFormat="1" applyFont="1"/>
    <xf numFmtId="165" fontId="22" fillId="0" borderId="0" xfId="0" applyNumberFormat="1" applyFont="1"/>
    <xf numFmtId="0" fontId="7" fillId="0" borderId="0" xfId="0" applyFont="1" applyAlignment="1">
      <alignment horizontal="center" wrapText="1"/>
    </xf>
    <xf numFmtId="4" fontId="13" fillId="0" borderId="0" xfId="0" applyNumberFormat="1" applyFont="1"/>
    <xf numFmtId="164" fontId="7" fillId="0" borderId="0" xfId="0" applyNumberFormat="1" applyFont="1" applyAlignment="1">
      <alignment horizontal="right"/>
    </xf>
    <xf numFmtId="165" fontId="7" fillId="0" borderId="0" xfId="0" applyNumberFormat="1" applyFont="1" applyAlignment="1">
      <alignment horizontal="right"/>
    </xf>
    <xf numFmtId="165" fontId="30" fillId="0" borderId="0" xfId="0" applyNumberFormat="1" applyFont="1" applyAlignment="1">
      <alignment horizontal="right"/>
    </xf>
    <xf numFmtId="0" fontId="7" fillId="0" borderId="0" xfId="0" applyFont="1" applyAlignment="1">
      <alignment horizontal="center" vertical="top"/>
    </xf>
    <xf numFmtId="165" fontId="32" fillId="0" borderId="0" xfId="0" applyNumberFormat="1" applyFont="1"/>
    <xf numFmtId="164" fontId="2" fillId="0" borderId="0" xfId="0" applyNumberFormat="1" applyFont="1"/>
    <xf numFmtId="49" fontId="20" fillId="0" borderId="0" xfId="0" applyNumberFormat="1" applyFont="1" applyAlignment="1">
      <alignment horizontal="center" vertical="top"/>
    </xf>
    <xf numFmtId="165" fontId="24" fillId="0" borderId="0" xfId="0" applyNumberFormat="1" applyFont="1" applyAlignment="1">
      <alignment horizontal="right"/>
    </xf>
    <xf numFmtId="0" fontId="48" fillId="0" borderId="0" xfId="0" applyFont="1" applyAlignment="1">
      <alignment horizontal="left" vertical="top"/>
    </xf>
    <xf numFmtId="4" fontId="7" fillId="0" borderId="0" xfId="0" applyNumberFormat="1" applyFont="1" applyAlignment="1">
      <alignment horizontal="left"/>
    </xf>
    <xf numFmtId="49" fontId="37" fillId="0" borderId="0" xfId="0" applyNumberFormat="1" applyFont="1" applyAlignment="1">
      <alignment horizontal="center"/>
    </xf>
    <xf numFmtId="0" fontId="37" fillId="0" borderId="0" xfId="0" applyFont="1" applyAlignment="1">
      <alignment horizontal="left" vertical="top"/>
    </xf>
    <xf numFmtId="0" fontId="35" fillId="0" borderId="0" xfId="0" applyFont="1" applyAlignment="1">
      <alignment horizontal="center"/>
    </xf>
    <xf numFmtId="4" fontId="35" fillId="0" borderId="0" xfId="0" applyNumberFormat="1" applyFont="1" applyAlignment="1">
      <alignment horizontal="right"/>
    </xf>
    <xf numFmtId="164" fontId="35" fillId="0" borderId="0" xfId="0" applyNumberFormat="1" applyFont="1" applyAlignment="1">
      <alignment horizontal="right"/>
    </xf>
    <xf numFmtId="165" fontId="35" fillId="0" borderId="0" xfId="0" applyNumberFormat="1" applyFont="1" applyAlignment="1">
      <alignment horizontal="right"/>
    </xf>
    <xf numFmtId="49" fontId="13" fillId="0" borderId="0" xfId="0" applyNumberFormat="1" applyFont="1" applyAlignment="1">
      <alignment horizontal="justify" vertical="center" wrapText="1"/>
    </xf>
    <xf numFmtId="4" fontId="30" fillId="0" borderId="0" xfId="0" applyNumberFormat="1" applyFont="1" applyAlignment="1">
      <alignment horizontal="left" wrapText="1"/>
    </xf>
    <xf numFmtId="164" fontId="30" fillId="0" borderId="0" xfId="0" applyNumberFormat="1" applyFont="1" applyAlignment="1">
      <alignment horizontal="left" wrapText="1"/>
    </xf>
    <xf numFmtId="165" fontId="30" fillId="0" borderId="0" xfId="0" applyNumberFormat="1" applyFont="1" applyAlignment="1">
      <alignment horizontal="left" wrapText="1"/>
    </xf>
    <xf numFmtId="0" fontId="31" fillId="0" borderId="0" xfId="0" applyFont="1" applyAlignment="1">
      <alignment horizontal="center" vertical="top" wrapText="1"/>
    </xf>
    <xf numFmtId="0" fontId="7" fillId="0" borderId="0" xfId="0" applyFont="1" applyAlignment="1">
      <alignment horizontal="justify" vertical="top" wrapText="1"/>
    </xf>
    <xf numFmtId="0" fontId="31" fillId="0" borderId="0" xfId="0" applyFont="1" applyAlignment="1">
      <alignment horizontal="center" wrapText="1"/>
    </xf>
    <xf numFmtId="4" fontId="31" fillId="0" borderId="0" xfId="0" applyNumberFormat="1" applyFont="1" applyAlignment="1">
      <alignment wrapText="1"/>
    </xf>
    <xf numFmtId="164" fontId="31" fillId="0" borderId="0" xfId="0" applyNumberFormat="1" applyFont="1" applyAlignment="1">
      <alignment wrapText="1"/>
    </xf>
    <xf numFmtId="165" fontId="31" fillId="0" borderId="0" xfId="0" applyNumberFormat="1" applyFont="1" applyAlignment="1">
      <alignment wrapText="1"/>
    </xf>
    <xf numFmtId="4" fontId="30" fillId="0" borderId="0" xfId="0" applyNumberFormat="1" applyFont="1" applyAlignment="1">
      <alignment wrapText="1"/>
    </xf>
    <xf numFmtId="164" fontId="30" fillId="0" borderId="0" xfId="0" applyNumberFormat="1" applyFont="1" applyAlignment="1">
      <alignment wrapText="1"/>
    </xf>
    <xf numFmtId="165" fontId="30" fillId="0" borderId="0" xfId="0" applyNumberFormat="1" applyFont="1" applyAlignment="1">
      <alignment wrapText="1"/>
    </xf>
    <xf numFmtId="0" fontId="20" fillId="0" borderId="0" xfId="0" applyFont="1" applyAlignment="1">
      <alignment horizontal="justify" vertical="top" wrapText="1"/>
    </xf>
    <xf numFmtId="0" fontId="42" fillId="0" borderId="0" xfId="0" applyFont="1" applyAlignment="1">
      <alignment vertical="top" wrapText="1"/>
    </xf>
    <xf numFmtId="49" fontId="30" fillId="0" borderId="0" xfId="0" applyNumberFormat="1" applyFont="1" applyAlignment="1">
      <alignment horizontal="center"/>
    </xf>
    <xf numFmtId="0" fontId="42" fillId="0" borderId="0" xfId="0" applyFont="1" applyAlignment="1">
      <alignment horizontal="left" vertical="top" wrapText="1"/>
    </xf>
    <xf numFmtId="0" fontId="13" fillId="0" borderId="0" xfId="0" applyFont="1" applyAlignment="1">
      <alignment horizontal="justify" vertical="top" wrapText="1"/>
    </xf>
    <xf numFmtId="0" fontId="23" fillId="0" borderId="0" xfId="0" applyFont="1" applyAlignment="1">
      <alignment vertical="top" wrapText="1"/>
    </xf>
    <xf numFmtId="0" fontId="32" fillId="0" borderId="0" xfId="0" applyFont="1" applyAlignment="1">
      <alignment horizontal="center" wrapText="1"/>
    </xf>
    <xf numFmtId="4" fontId="32" fillId="0" borderId="0" xfId="0" applyNumberFormat="1" applyFont="1" applyAlignment="1">
      <alignment wrapText="1"/>
    </xf>
    <xf numFmtId="164" fontId="32" fillId="0" borderId="0" xfId="0" applyNumberFormat="1" applyFont="1" applyAlignment="1">
      <alignment wrapText="1"/>
    </xf>
    <xf numFmtId="165" fontId="32" fillId="0" borderId="0" xfId="0" applyNumberFormat="1" applyFont="1" applyAlignment="1">
      <alignment wrapText="1"/>
    </xf>
    <xf numFmtId="0" fontId="42" fillId="0" borderId="0" xfId="0" applyFont="1" applyAlignment="1">
      <alignment horizontal="justify" vertical="top" wrapText="1"/>
    </xf>
    <xf numFmtId="49" fontId="30" fillId="0" borderId="0" xfId="5" applyNumberFormat="1" applyFont="1" applyAlignment="1">
      <alignment horizontal="center"/>
    </xf>
    <xf numFmtId="49" fontId="49" fillId="0" borderId="0" xfId="0" applyNumberFormat="1" applyFont="1" applyAlignment="1">
      <alignment horizontal="center"/>
    </xf>
    <xf numFmtId="4" fontId="49" fillId="0" borderId="0" xfId="0" applyNumberFormat="1" applyFont="1" applyAlignment="1">
      <alignment horizontal="right"/>
    </xf>
    <xf numFmtId="164" fontId="50" fillId="0" borderId="0" xfId="0" applyNumberFormat="1" applyFont="1" applyAlignment="1">
      <alignment horizontal="right"/>
    </xf>
    <xf numFmtId="165" fontId="49" fillId="0" borderId="0" xfId="0" applyNumberFormat="1" applyFont="1" applyAlignment="1">
      <alignment horizontal="right"/>
    </xf>
    <xf numFmtId="0" fontId="51" fillId="0" borderId="0" xfId="0" applyFont="1" applyAlignment="1">
      <alignment horizontal="justify" vertical="top" wrapText="1"/>
    </xf>
    <xf numFmtId="49" fontId="49" fillId="0" borderId="0" xfId="0" applyNumberFormat="1" applyFont="1" applyAlignment="1">
      <alignment horizontal="right"/>
    </xf>
    <xf numFmtId="164" fontId="49" fillId="0" borderId="0" xfId="0" applyNumberFormat="1" applyFont="1" applyAlignment="1">
      <alignment horizontal="right"/>
    </xf>
    <xf numFmtId="165" fontId="49" fillId="0" borderId="0" xfId="0" applyNumberFormat="1" applyFont="1"/>
    <xf numFmtId="0" fontId="49" fillId="0" borderId="0" xfId="0" applyFont="1" applyAlignment="1">
      <alignment horizontal="justify" vertical="top" wrapText="1"/>
    </xf>
    <xf numFmtId="4" fontId="50" fillId="0" borderId="0" xfId="0" applyNumberFormat="1" applyFont="1" applyAlignment="1">
      <alignment horizontal="right"/>
    </xf>
    <xf numFmtId="0" fontId="54" fillId="0" borderId="0" xfId="0" applyFont="1" applyAlignment="1">
      <alignment horizontal="center" wrapText="1"/>
    </xf>
    <xf numFmtId="4" fontId="49" fillId="0" borderId="0" xfId="0" applyNumberFormat="1" applyFont="1"/>
    <xf numFmtId="0" fontId="55" fillId="0" borderId="0" xfId="0" applyFont="1" applyAlignment="1">
      <alignment horizontal="center" wrapText="1"/>
    </xf>
    <xf numFmtId="165" fontId="55" fillId="0" borderId="0" xfId="0" applyNumberFormat="1" applyFont="1" applyAlignment="1">
      <alignment horizontal="justify" wrapText="1"/>
    </xf>
    <xf numFmtId="0" fontId="31" fillId="0" borderId="0" xfId="0" applyFont="1" applyAlignment="1">
      <alignment horizontal="center" vertical="top"/>
    </xf>
    <xf numFmtId="4" fontId="9" fillId="0" borderId="0" xfId="0" applyNumberFormat="1" applyFont="1" applyAlignment="1">
      <alignment horizontal="right"/>
    </xf>
    <xf numFmtId="0" fontId="2" fillId="0" borderId="0" xfId="0" applyFont="1"/>
    <xf numFmtId="165" fontId="2" fillId="0" borderId="0" xfId="0" applyNumberFormat="1" applyFont="1"/>
    <xf numFmtId="0" fontId="49" fillId="0" borderId="0" xfId="0" applyFont="1" applyAlignment="1">
      <alignment horizontal="center" wrapText="1"/>
    </xf>
    <xf numFmtId="4" fontId="9" fillId="0" borderId="0" xfId="0" applyNumberFormat="1" applyFont="1"/>
    <xf numFmtId="16" fontId="7" fillId="0" borderId="0" xfId="0" applyNumberFormat="1" applyFont="1" applyAlignment="1">
      <alignment horizontal="center" vertical="top"/>
    </xf>
    <xf numFmtId="0" fontId="27" fillId="0" borderId="0" xfId="0" applyFont="1" applyAlignment="1">
      <alignment horizontal="justify" vertical="top" wrapText="1"/>
    </xf>
    <xf numFmtId="49" fontId="9" fillId="0" borderId="0" xfId="0" applyNumberFormat="1" applyFont="1" applyAlignment="1">
      <alignment horizontal="center"/>
    </xf>
    <xf numFmtId="164" fontId="60" fillId="0" borderId="0" xfId="0" applyNumberFormat="1" applyFont="1" applyAlignment="1">
      <alignment horizontal="right"/>
    </xf>
    <xf numFmtId="49" fontId="7" fillId="0" borderId="0" xfId="0" applyNumberFormat="1" applyFont="1" applyAlignment="1">
      <alignment horizontal="center"/>
    </xf>
    <xf numFmtId="164" fontId="13" fillId="0" borderId="0" xfId="0" applyNumberFormat="1" applyFont="1" applyAlignment="1">
      <alignment horizontal="right"/>
    </xf>
    <xf numFmtId="4" fontId="13" fillId="0" borderId="0" xfId="0" applyNumberFormat="1" applyFont="1" applyAlignment="1">
      <alignment horizontal="right"/>
    </xf>
    <xf numFmtId="0" fontId="9" fillId="0" borderId="0" xfId="0" applyFont="1" applyAlignment="1">
      <alignment horizontal="justify" vertical="top" wrapText="1"/>
    </xf>
    <xf numFmtId="4" fontId="60" fillId="0" borderId="0" xfId="0" applyNumberFormat="1" applyFont="1" applyAlignment="1">
      <alignment horizontal="right"/>
    </xf>
    <xf numFmtId="0" fontId="61" fillId="0" borderId="0" xfId="0" applyFont="1" applyAlignment="1">
      <alignment horizontal="justify" vertical="top" wrapText="1"/>
    </xf>
    <xf numFmtId="0" fontId="43" fillId="0" borderId="0" xfId="0" applyFont="1" applyAlignment="1">
      <alignment horizontal="center" vertical="top" wrapText="1"/>
    </xf>
    <xf numFmtId="0" fontId="30" fillId="0" borderId="0" xfId="0" applyFont="1" applyAlignment="1">
      <alignment horizontal="center" vertical="top"/>
    </xf>
    <xf numFmtId="4" fontId="27" fillId="0" borderId="0" xfId="0" applyNumberFormat="1" applyFont="1" applyAlignment="1">
      <alignment horizontal="right"/>
    </xf>
    <xf numFmtId="49" fontId="7" fillId="0" borderId="0" xfId="0" applyNumberFormat="1" applyFont="1" applyAlignment="1">
      <alignment horizontal="left" vertical="top" wrapText="1"/>
    </xf>
    <xf numFmtId="49" fontId="7" fillId="0" borderId="0" xfId="5" applyNumberFormat="1" applyFont="1" applyAlignment="1">
      <alignment horizontal="center"/>
    </xf>
    <xf numFmtId="0" fontId="9" fillId="0" borderId="0" xfId="0" applyFont="1" applyAlignment="1">
      <alignment horizontal="center" wrapText="1"/>
    </xf>
    <xf numFmtId="4" fontId="7" fillId="0" borderId="0" xfId="0" applyNumberFormat="1" applyFont="1"/>
    <xf numFmtId="164" fontId="9" fillId="0" borderId="0" xfId="0" applyNumberFormat="1" applyFont="1"/>
    <xf numFmtId="165" fontId="9" fillId="0" borderId="0" xfId="0" applyNumberFormat="1" applyFont="1"/>
    <xf numFmtId="0" fontId="29" fillId="0" borderId="0" xfId="0" applyFont="1" applyAlignment="1">
      <alignment horizontal="justify" vertical="top" wrapText="1"/>
    </xf>
    <xf numFmtId="0" fontId="20" fillId="0" borderId="0" xfId="0" applyFont="1" applyAlignment="1">
      <alignment horizontal="center" wrapText="1"/>
    </xf>
    <xf numFmtId="49" fontId="20" fillId="0" borderId="0" xfId="5" applyNumberFormat="1" applyAlignment="1">
      <alignment horizontal="center"/>
    </xf>
    <xf numFmtId="165" fontId="7" fillId="0" borderId="0" xfId="0" applyNumberFormat="1" applyFont="1"/>
    <xf numFmtId="49" fontId="20" fillId="0" borderId="10" xfId="0" applyNumberFormat="1" applyFont="1" applyBorder="1" applyAlignment="1">
      <alignment horizontal="center" vertical="top"/>
    </xf>
    <xf numFmtId="49" fontId="29" fillId="0" borderId="10" xfId="0" applyNumberFormat="1" applyFont="1" applyBorder="1" applyAlignment="1">
      <alignment horizontal="left" vertical="top"/>
    </xf>
    <xf numFmtId="0" fontId="20" fillId="0" borderId="10" xfId="0" applyFont="1" applyBorder="1" applyAlignment="1">
      <alignment horizontal="center"/>
    </xf>
    <xf numFmtId="4" fontId="20" fillId="0" borderId="10" xfId="0" applyNumberFormat="1" applyFont="1" applyBorder="1" applyAlignment="1">
      <alignment horizontal="right"/>
    </xf>
    <xf numFmtId="164" fontId="20" fillId="0" borderId="10" xfId="0" applyNumberFormat="1" applyFont="1" applyBorder="1" applyAlignment="1">
      <alignment horizontal="right"/>
    </xf>
    <xf numFmtId="165" fontId="49" fillId="0" borderId="9" xfId="0" applyNumberFormat="1" applyFont="1" applyBorder="1" applyAlignment="1">
      <alignment horizontal="right"/>
    </xf>
    <xf numFmtId="49" fontId="27" fillId="0" borderId="0" xfId="0" applyNumberFormat="1" applyFont="1" applyAlignment="1">
      <alignment horizontal="center" vertical="top"/>
    </xf>
    <xf numFmtId="49" fontId="47" fillId="0" borderId="0" xfId="0" applyNumberFormat="1" applyFont="1" applyAlignment="1">
      <alignment horizontal="left" vertical="top"/>
    </xf>
    <xf numFmtId="164" fontId="27" fillId="0" borderId="0" xfId="0" applyNumberFormat="1" applyFont="1" applyAlignment="1">
      <alignment horizontal="right"/>
    </xf>
    <xf numFmtId="165" fontId="47" fillId="0" borderId="0" xfId="0" applyNumberFormat="1" applyFont="1" applyAlignment="1">
      <alignment horizontal="right"/>
    </xf>
    <xf numFmtId="0" fontId="62" fillId="0" borderId="0" xfId="0" applyFont="1" applyAlignment="1">
      <alignment horizontal="left" vertical="top"/>
    </xf>
    <xf numFmtId="0" fontId="20" fillId="0" borderId="0" xfId="0" applyFont="1" applyAlignment="1">
      <alignment horizontal="center"/>
    </xf>
    <xf numFmtId="4" fontId="20" fillId="0" borderId="0" xfId="0" applyNumberFormat="1" applyFont="1" applyAlignment="1">
      <alignment horizontal="right"/>
    </xf>
    <xf numFmtId="0" fontId="29" fillId="0" borderId="0" xfId="0" applyFont="1" applyAlignment="1">
      <alignment horizontal="left" vertical="top"/>
    </xf>
    <xf numFmtId="49" fontId="35" fillId="0" borderId="0" xfId="0" applyNumberFormat="1" applyFont="1" applyAlignment="1">
      <alignment horizontal="center" vertical="top"/>
    </xf>
    <xf numFmtId="0" fontId="38" fillId="0" borderId="0" xfId="0" applyFont="1" applyAlignment="1">
      <alignment horizontal="center"/>
    </xf>
    <xf numFmtId="0" fontId="30" fillId="0" borderId="10" xfId="0" applyFont="1" applyBorder="1" applyAlignment="1">
      <alignment horizontal="center"/>
    </xf>
    <xf numFmtId="4" fontId="30" fillId="0" borderId="10" xfId="0" applyNumberFormat="1" applyFont="1" applyBorder="1" applyAlignment="1">
      <alignment horizontal="right"/>
    </xf>
    <xf numFmtId="164" fontId="20" fillId="0" borderId="0" xfId="0" applyNumberFormat="1" applyFont="1" applyAlignment="1">
      <alignment wrapText="1"/>
    </xf>
    <xf numFmtId="49" fontId="20" fillId="0" borderId="0" xfId="0" applyNumberFormat="1" applyFont="1" applyAlignment="1">
      <alignment horizontal="center"/>
    </xf>
    <xf numFmtId="0" fontId="38" fillId="0" borderId="0" xfId="0" applyFont="1"/>
    <xf numFmtId="165" fontId="38" fillId="0" borderId="0" xfId="0" applyNumberFormat="1" applyFont="1"/>
    <xf numFmtId="4" fontId="30" fillId="0" borderId="0" xfId="0" applyNumberFormat="1" applyFont="1" applyAlignment="1">
      <alignment horizontal="center"/>
    </xf>
    <xf numFmtId="164" fontId="30" fillId="0" borderId="10" xfId="0" applyNumberFormat="1" applyFont="1" applyBorder="1" applyAlignment="1">
      <alignment horizontal="right"/>
    </xf>
    <xf numFmtId="165" fontId="68" fillId="0" borderId="0" xfId="0" applyNumberFormat="1" applyFont="1" applyAlignment="1">
      <alignment horizontal="right"/>
    </xf>
    <xf numFmtId="164" fontId="46" fillId="0" borderId="0" xfId="0" applyNumberFormat="1" applyFont="1"/>
    <xf numFmtId="4" fontId="20" fillId="0" borderId="0" xfId="0" applyNumberFormat="1" applyFont="1" applyAlignment="1">
      <alignment horizontal="right" wrapText="1"/>
    </xf>
    <xf numFmtId="164" fontId="30" fillId="0" borderId="0" xfId="0" applyNumberFormat="1" applyFont="1" applyAlignment="1">
      <alignment horizontal="center"/>
    </xf>
    <xf numFmtId="165" fontId="35" fillId="0" borderId="0" xfId="0" applyNumberFormat="1" applyFont="1" applyAlignment="1">
      <alignment horizontal="center"/>
    </xf>
    <xf numFmtId="49" fontId="70" fillId="0" borderId="0" xfId="0" applyNumberFormat="1" applyFont="1" applyAlignment="1">
      <alignment horizontal="left" vertical="center"/>
    </xf>
    <xf numFmtId="165" fontId="13" fillId="0" borderId="0" xfId="0" applyNumberFormat="1" applyFont="1" applyAlignment="1">
      <alignment horizontal="center"/>
    </xf>
    <xf numFmtId="49" fontId="24" fillId="0" borderId="0" xfId="0" applyNumberFormat="1" applyFont="1" applyAlignment="1">
      <alignment horizontal="left" vertical="top"/>
    </xf>
    <xf numFmtId="49" fontId="71" fillId="0" borderId="0" xfId="0" applyNumberFormat="1" applyFont="1" applyAlignment="1">
      <alignment horizontal="left" vertical="top"/>
    </xf>
    <xf numFmtId="49" fontId="35" fillId="0" borderId="9" xfId="0" applyNumberFormat="1" applyFont="1" applyBorder="1" applyAlignment="1">
      <alignment horizontal="center" vertical="top"/>
    </xf>
    <xf numFmtId="0" fontId="23" fillId="0" borderId="9" xfId="0" applyFont="1" applyBorder="1" applyAlignment="1">
      <alignment vertical="center"/>
    </xf>
    <xf numFmtId="165" fontId="20" fillId="0" borderId="10" xfId="0" applyNumberFormat="1" applyFont="1" applyBorder="1" applyAlignment="1">
      <alignment horizontal="right"/>
    </xf>
    <xf numFmtId="0" fontId="67" fillId="0" borderId="0" xfId="0" applyFont="1" applyAlignment="1">
      <alignment horizontal="left" vertical="top" wrapText="1"/>
    </xf>
    <xf numFmtId="0" fontId="63" fillId="0" borderId="0" xfId="0" applyFont="1" applyAlignment="1">
      <alignment horizontal="left" vertical="top" wrapText="1"/>
    </xf>
    <xf numFmtId="0" fontId="38" fillId="0" borderId="0" xfId="0" applyFont="1" applyAlignment="1">
      <alignment horizontal="left"/>
    </xf>
    <xf numFmtId="0" fontId="20" fillId="0" borderId="0" xfId="5" applyAlignment="1">
      <alignment horizontal="left" vertical="top" wrapText="1"/>
    </xf>
    <xf numFmtId="49" fontId="7" fillId="0" borderId="0" xfId="9" applyNumberFormat="1" applyFont="1" applyAlignment="1">
      <alignment horizontal="left" wrapText="1"/>
    </xf>
    <xf numFmtId="164" fontId="20" fillId="0" borderId="0" xfId="0" applyNumberFormat="1" applyFont="1" applyAlignment="1">
      <alignment horizontal="left"/>
    </xf>
    <xf numFmtId="4" fontId="20" fillId="0" borderId="0" xfId="0" applyNumberFormat="1" applyFont="1" applyAlignment="1">
      <alignment horizontal="left" indent="1"/>
    </xf>
    <xf numFmtId="4" fontId="22" fillId="0" borderId="0" xfId="0" applyNumberFormat="1" applyFont="1" applyAlignment="1">
      <alignment horizontal="left"/>
    </xf>
    <xf numFmtId="0" fontId="22" fillId="0" borderId="0" xfId="0" applyFont="1" applyAlignment="1">
      <alignment horizontal="left"/>
    </xf>
    <xf numFmtId="4" fontId="38" fillId="0" borderId="0" xfId="0" applyNumberFormat="1" applyFont="1" applyAlignment="1">
      <alignment horizontal="left"/>
    </xf>
    <xf numFmtId="164" fontId="66" fillId="0" borderId="0" xfId="0" applyNumberFormat="1" applyFont="1" applyAlignment="1">
      <alignment horizontal="right"/>
    </xf>
    <xf numFmtId="4" fontId="38" fillId="0" borderId="0" xfId="0" applyNumberFormat="1" applyFont="1" applyAlignment="1">
      <alignment horizontal="right"/>
    </xf>
    <xf numFmtId="0" fontId="65" fillId="0" borderId="0" xfId="0" applyFont="1" applyAlignment="1">
      <alignment horizontal="left"/>
    </xf>
    <xf numFmtId="0" fontId="72" fillId="0" borderId="0" xfId="0" applyFont="1" applyAlignment="1">
      <alignment horizontal="left"/>
    </xf>
    <xf numFmtId="4" fontId="72" fillId="0" borderId="0" xfId="0" applyNumberFormat="1" applyFont="1" applyAlignment="1">
      <alignment horizontal="left"/>
    </xf>
    <xf numFmtId="164" fontId="64" fillId="0" borderId="0" xfId="0" applyNumberFormat="1" applyFont="1" applyAlignment="1">
      <alignment horizontal="right"/>
    </xf>
    <xf numFmtId="4" fontId="23" fillId="0" borderId="0" xfId="0" applyNumberFormat="1" applyFont="1" applyAlignment="1">
      <alignment horizontal="right"/>
    </xf>
    <xf numFmtId="4" fontId="69" fillId="0" borderId="0" xfId="0" applyNumberFormat="1" applyFont="1" applyAlignment="1">
      <alignment horizontal="left"/>
    </xf>
    <xf numFmtId="1" fontId="69" fillId="0" borderId="0" xfId="0" applyNumberFormat="1" applyFont="1" applyAlignment="1">
      <alignment horizontal="center"/>
    </xf>
    <xf numFmtId="164" fontId="73" fillId="0" borderId="0" xfId="0" applyNumberFormat="1" applyFont="1"/>
    <xf numFmtId="4" fontId="73" fillId="0" borderId="0" xfId="0" applyNumberFormat="1" applyFont="1"/>
    <xf numFmtId="1" fontId="32" fillId="0" borderId="0" xfId="0" applyNumberFormat="1" applyFont="1" applyAlignment="1">
      <alignment horizontal="center"/>
    </xf>
    <xf numFmtId="4" fontId="23" fillId="0" borderId="0" xfId="0" applyNumberFormat="1" applyFont="1" applyAlignment="1">
      <alignment horizontal="left"/>
    </xf>
    <xf numFmtId="0" fontId="27" fillId="0" borderId="0" xfId="0" applyFont="1" applyAlignment="1">
      <alignment horizontal="left"/>
    </xf>
  </cellXfs>
  <cellStyles count="13">
    <cellStyle name="Normal 10" xfId="3" xr:uid="{E0603E1C-41CF-4985-B173-A59BA7DCBEA8}"/>
    <cellStyle name="Normal 10 2" xfId="7" xr:uid="{99EA0300-497A-4661-AFC1-A0F0A9AE5E1D}"/>
    <cellStyle name="Normal 10 2 2" xfId="11" xr:uid="{7BE2FA53-AF28-48A4-AD92-E7AC606E6995}"/>
    <cellStyle name="Normal 19 2" xfId="2" xr:uid="{DDAB6026-2EA7-4803-A556-E2C449649EEA}"/>
    <cellStyle name="Normal 2" xfId="6" xr:uid="{D2494D50-687A-4DA6-9A05-451E13D9C71D}"/>
    <cellStyle name="Normal 2 10" xfId="9" xr:uid="{449AE24B-9EEF-40D6-946A-30438C4044A9}"/>
    <cellStyle name="Normal 2 6 2" xfId="10" xr:uid="{28C2675D-91E4-49B1-B02A-A279EA7F0DA1}"/>
    <cellStyle name="Normal 3 10" xfId="1" xr:uid="{A52C6FAE-31FE-4961-80F7-BE3C35A986C9}"/>
    <cellStyle name="Normalno" xfId="0" builtinId="0"/>
    <cellStyle name="Normalno 2" xfId="12" xr:uid="{50375C55-A279-4F7C-9429-ABD98B56EEC6}"/>
    <cellStyle name="Obično 2 2 22" xfId="8" xr:uid="{167E1843-DCA7-47C9-9180-C494D34AC6D6}"/>
    <cellStyle name="Stil 1" xfId="5" xr:uid="{8CF3E528-A57E-4B1D-A71E-C25B8E959C11}"/>
    <cellStyle name="Stil 1 2" xfId="4" xr:uid="{A6DAE91E-58E8-4D33-ACFA-84FF4EAAEA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927735</xdr:colOff>
      <xdr:row>1</xdr:row>
      <xdr:rowOff>9525</xdr:rowOff>
    </xdr:from>
    <xdr:to>
      <xdr:col>1</xdr:col>
      <xdr:colOff>1741135</xdr:colOff>
      <xdr:row>3</xdr:row>
      <xdr:rowOff>295275</xdr:rowOff>
    </xdr:to>
    <xdr:sp macro="" textlink="" fLocksText="0">
      <xdr:nvSpPr>
        <xdr:cNvPr id="2" name="Text Box 21">
          <a:extLst>
            <a:ext uri="{FF2B5EF4-FFF2-40B4-BE49-F238E27FC236}">
              <a16:creationId xmlns:a16="http://schemas.microsoft.com/office/drawing/2014/main" id="{208C8146-9555-464C-B3F5-088BEC2849D1}"/>
            </a:ext>
          </a:extLst>
        </xdr:cNvPr>
        <xdr:cNvSpPr txBox="1">
          <a:spLocks noChangeArrowheads="1"/>
        </xdr:cNvSpPr>
      </xdr:nvSpPr>
      <xdr:spPr bwMode="auto">
        <a:xfrm>
          <a:off x="851535" y="192405"/>
          <a:ext cx="5680" cy="537210"/>
        </a:xfrm>
        <a:prstGeom prst="rect">
          <a:avLst/>
        </a:prstGeom>
        <a:noFill/>
        <a:ln w="9525" cap="flat">
          <a:noFill/>
          <a:round/>
          <a:headEnd/>
          <a:tailEnd/>
        </a:ln>
        <a:effectLst/>
      </xdr:spPr>
      <xdr:txBody>
        <a:bodyPr vertOverflow="clip" wrap="square" lIns="0" tIns="18000" rIns="18000" bIns="18000" anchor="ctr" upright="1"/>
        <a:lstStyle/>
        <a:p>
          <a:pPr algn="r" rtl="0">
            <a:defRPr sz="1000"/>
          </a:pPr>
          <a:endParaRPr lang="hr-HR" sz="600" b="0" i="0" u="none" strike="noStrike" baseline="0">
            <a:solidFill>
              <a:srgbClr val="000000"/>
            </a:solidFill>
            <a:latin typeface="Arial"/>
            <a:cs typeface="Arial"/>
          </a:endParaRPr>
        </a:p>
        <a:p>
          <a:pPr algn="r" rtl="0">
            <a:defRPr sz="1000"/>
          </a:pPr>
          <a:endParaRPr lang="hr-HR" sz="600" b="0" i="0" u="none" strike="noStrike" baseline="0">
            <a:solidFill>
              <a:srgbClr val="000000"/>
            </a:solidFill>
            <a:latin typeface="Arial"/>
            <a:cs typeface="Arial"/>
          </a:endParaRPr>
        </a:p>
      </xdr:txBody>
    </xdr:sp>
    <xdr:clientData/>
  </xdr:twoCellAnchor>
  <xdr:twoCellAnchor>
    <xdr:from>
      <xdr:col>1</xdr:col>
      <xdr:colOff>927735</xdr:colOff>
      <xdr:row>1</xdr:row>
      <xdr:rowOff>9525</xdr:rowOff>
    </xdr:from>
    <xdr:to>
      <xdr:col>1</xdr:col>
      <xdr:colOff>1741135</xdr:colOff>
      <xdr:row>3</xdr:row>
      <xdr:rowOff>295275</xdr:rowOff>
    </xdr:to>
    <xdr:sp macro="" textlink="" fLocksText="0">
      <xdr:nvSpPr>
        <xdr:cNvPr id="3" name="Text Box 21">
          <a:extLst>
            <a:ext uri="{FF2B5EF4-FFF2-40B4-BE49-F238E27FC236}">
              <a16:creationId xmlns:a16="http://schemas.microsoft.com/office/drawing/2014/main" id="{F547EEA0-AA4C-4151-9FC3-E5660172184D}"/>
            </a:ext>
          </a:extLst>
        </xdr:cNvPr>
        <xdr:cNvSpPr txBox="1">
          <a:spLocks noChangeArrowheads="1"/>
        </xdr:cNvSpPr>
      </xdr:nvSpPr>
      <xdr:spPr bwMode="auto">
        <a:xfrm>
          <a:off x="851535" y="192405"/>
          <a:ext cx="5680" cy="537210"/>
        </a:xfrm>
        <a:prstGeom prst="rect">
          <a:avLst/>
        </a:prstGeom>
        <a:noFill/>
        <a:ln w="9525" cap="flat">
          <a:noFill/>
          <a:round/>
          <a:headEnd/>
          <a:tailEnd/>
        </a:ln>
        <a:effectLst/>
      </xdr:spPr>
      <xdr:txBody>
        <a:bodyPr vertOverflow="clip" wrap="square" lIns="0" tIns="18000" rIns="18000" bIns="18000" anchor="ctr" upright="1"/>
        <a:lstStyle/>
        <a:p>
          <a:pPr algn="r" rtl="0">
            <a:defRPr sz="1000"/>
          </a:pPr>
          <a:endParaRPr lang="hr-HR" sz="600" b="0" i="0" u="none" strike="noStrike" baseline="0">
            <a:solidFill>
              <a:srgbClr val="000000"/>
            </a:solidFill>
            <a:latin typeface="Arial"/>
            <a:cs typeface="Arial"/>
          </a:endParaRPr>
        </a:p>
        <a:p>
          <a:pPr algn="r" rtl="0">
            <a:defRPr sz="1000"/>
          </a:pPr>
          <a:endParaRPr lang="hr-HR" sz="600" b="0" i="0" u="none" strike="noStrike" baseline="0">
            <a:solidFill>
              <a:srgbClr val="000000"/>
            </a:solidFill>
            <a:latin typeface="Arial"/>
            <a:cs typeface="Arial"/>
          </a:endParaRPr>
        </a:p>
      </xdr:txBody>
    </xdr:sp>
    <xdr:clientData/>
  </xdr:twoCellAnchor>
  <xdr:twoCellAnchor>
    <xdr:from>
      <xdr:col>1</xdr:col>
      <xdr:colOff>927735</xdr:colOff>
      <xdr:row>1</xdr:row>
      <xdr:rowOff>9525</xdr:rowOff>
    </xdr:from>
    <xdr:to>
      <xdr:col>1</xdr:col>
      <xdr:colOff>1741135</xdr:colOff>
      <xdr:row>3</xdr:row>
      <xdr:rowOff>295275</xdr:rowOff>
    </xdr:to>
    <xdr:sp macro="" textlink="" fLocksText="0">
      <xdr:nvSpPr>
        <xdr:cNvPr id="4" name="Text Box 21">
          <a:extLst>
            <a:ext uri="{FF2B5EF4-FFF2-40B4-BE49-F238E27FC236}">
              <a16:creationId xmlns:a16="http://schemas.microsoft.com/office/drawing/2014/main" id="{9172FADE-12D3-4360-9CF0-14B2C7F086FF}"/>
            </a:ext>
          </a:extLst>
        </xdr:cNvPr>
        <xdr:cNvSpPr txBox="1">
          <a:spLocks noChangeArrowheads="1"/>
        </xdr:cNvSpPr>
      </xdr:nvSpPr>
      <xdr:spPr bwMode="auto">
        <a:xfrm>
          <a:off x="851535" y="192405"/>
          <a:ext cx="5680" cy="537210"/>
        </a:xfrm>
        <a:prstGeom prst="rect">
          <a:avLst/>
        </a:prstGeom>
        <a:noFill/>
        <a:ln w="9525" cap="flat">
          <a:noFill/>
          <a:round/>
          <a:headEnd/>
          <a:tailEnd/>
        </a:ln>
        <a:effectLst/>
      </xdr:spPr>
      <xdr:txBody>
        <a:bodyPr vertOverflow="clip" wrap="square" lIns="0" tIns="18000" rIns="18000" bIns="18000" anchor="ctr" upright="1"/>
        <a:lstStyle/>
        <a:p>
          <a:pPr algn="r" rtl="0">
            <a:defRPr sz="1000"/>
          </a:pPr>
          <a:endParaRPr lang="hr-HR" sz="600" b="0" i="0" u="none" strike="noStrike" baseline="0">
            <a:solidFill>
              <a:srgbClr val="000000"/>
            </a:solidFill>
            <a:latin typeface="Arial"/>
            <a:cs typeface="Arial"/>
          </a:endParaRPr>
        </a:p>
        <a:p>
          <a:pPr algn="r" rtl="0">
            <a:defRPr sz="1000"/>
          </a:pPr>
          <a:endParaRPr lang="hr-HR" sz="600" b="0" i="0" u="none" strike="noStrike" baseline="0">
            <a:solidFill>
              <a:srgbClr val="000000"/>
            </a:solidFill>
            <a:latin typeface="Arial"/>
            <a:cs typeface="Arial"/>
          </a:endParaRPr>
        </a:p>
      </xdr:txBody>
    </xdr:sp>
    <xdr:clientData/>
  </xdr:twoCellAnchor>
  <xdr:twoCellAnchor>
    <xdr:from>
      <xdr:col>1</xdr:col>
      <xdr:colOff>927735</xdr:colOff>
      <xdr:row>1</xdr:row>
      <xdr:rowOff>9525</xdr:rowOff>
    </xdr:from>
    <xdr:to>
      <xdr:col>1</xdr:col>
      <xdr:colOff>1741135</xdr:colOff>
      <xdr:row>3</xdr:row>
      <xdr:rowOff>295275</xdr:rowOff>
    </xdr:to>
    <xdr:sp macro="" textlink="" fLocksText="0">
      <xdr:nvSpPr>
        <xdr:cNvPr id="5" name="Text Box 21">
          <a:extLst>
            <a:ext uri="{FF2B5EF4-FFF2-40B4-BE49-F238E27FC236}">
              <a16:creationId xmlns:a16="http://schemas.microsoft.com/office/drawing/2014/main" id="{D6A98F9E-34DE-42CA-8CAF-B8AADFAA7EDB}"/>
            </a:ext>
          </a:extLst>
        </xdr:cNvPr>
        <xdr:cNvSpPr txBox="1">
          <a:spLocks noChangeArrowheads="1"/>
        </xdr:cNvSpPr>
      </xdr:nvSpPr>
      <xdr:spPr bwMode="auto">
        <a:xfrm>
          <a:off x="851535" y="192405"/>
          <a:ext cx="5680" cy="537210"/>
        </a:xfrm>
        <a:prstGeom prst="rect">
          <a:avLst/>
        </a:prstGeom>
        <a:noFill/>
        <a:ln w="9525" cap="flat">
          <a:noFill/>
          <a:round/>
          <a:headEnd/>
          <a:tailEnd/>
        </a:ln>
        <a:effectLst/>
      </xdr:spPr>
      <xdr:txBody>
        <a:bodyPr vertOverflow="clip" wrap="square" lIns="0" tIns="18000" rIns="18000" bIns="18000" anchor="ctr" upright="1"/>
        <a:lstStyle/>
        <a:p>
          <a:pPr algn="r" rtl="0">
            <a:defRPr sz="1000"/>
          </a:pPr>
          <a:endParaRPr lang="hr-HR" sz="600" b="0" i="0" u="none" strike="noStrike" baseline="0">
            <a:solidFill>
              <a:srgbClr val="000000"/>
            </a:solidFill>
            <a:latin typeface="Arial"/>
            <a:cs typeface="Arial"/>
          </a:endParaRPr>
        </a:p>
        <a:p>
          <a:pPr algn="r" rtl="0">
            <a:defRPr sz="1000"/>
          </a:pPr>
          <a:endParaRPr lang="hr-HR" sz="600" b="0" i="0" u="none" strike="noStrike" baseline="0">
            <a:solidFill>
              <a:srgbClr val="000000"/>
            </a:solidFill>
            <a:latin typeface="Arial"/>
            <a:cs typeface="Arial"/>
          </a:endParaRPr>
        </a:p>
      </xdr:txBody>
    </xdr:sp>
    <xdr:clientData/>
  </xdr:twoCellAnchor>
  <xdr:twoCellAnchor>
    <xdr:from>
      <xdr:col>1</xdr:col>
      <xdr:colOff>927735</xdr:colOff>
      <xdr:row>1</xdr:row>
      <xdr:rowOff>9525</xdr:rowOff>
    </xdr:from>
    <xdr:to>
      <xdr:col>1</xdr:col>
      <xdr:colOff>1741135</xdr:colOff>
      <xdr:row>3</xdr:row>
      <xdr:rowOff>295275</xdr:rowOff>
    </xdr:to>
    <xdr:sp macro="" textlink="" fLocksText="0">
      <xdr:nvSpPr>
        <xdr:cNvPr id="6" name="Text Box 21">
          <a:extLst>
            <a:ext uri="{FF2B5EF4-FFF2-40B4-BE49-F238E27FC236}">
              <a16:creationId xmlns:a16="http://schemas.microsoft.com/office/drawing/2014/main" id="{C9178726-3AF3-44F0-9249-62E0E1865F42}"/>
            </a:ext>
          </a:extLst>
        </xdr:cNvPr>
        <xdr:cNvSpPr txBox="1">
          <a:spLocks noChangeArrowheads="1"/>
        </xdr:cNvSpPr>
      </xdr:nvSpPr>
      <xdr:spPr bwMode="auto">
        <a:xfrm>
          <a:off x="851535" y="192405"/>
          <a:ext cx="5680" cy="537210"/>
        </a:xfrm>
        <a:prstGeom prst="rect">
          <a:avLst/>
        </a:prstGeom>
        <a:noFill/>
        <a:ln w="9525" cap="flat">
          <a:noFill/>
          <a:round/>
          <a:headEnd/>
          <a:tailEnd/>
        </a:ln>
        <a:effectLst/>
      </xdr:spPr>
      <xdr:txBody>
        <a:bodyPr vertOverflow="clip" wrap="square" lIns="0" tIns="18000" rIns="18000" bIns="18000" anchor="ctr" upright="1"/>
        <a:lstStyle/>
        <a:p>
          <a:pPr algn="r" rtl="0">
            <a:defRPr sz="1000"/>
          </a:pPr>
          <a:endParaRPr lang="hr-HR" sz="600" b="0" i="0" u="none" strike="noStrike" baseline="0">
            <a:solidFill>
              <a:srgbClr val="000000"/>
            </a:solidFill>
            <a:latin typeface="Arial"/>
            <a:cs typeface="Arial"/>
          </a:endParaRPr>
        </a:p>
        <a:p>
          <a:pPr algn="r" rtl="0">
            <a:defRPr sz="1000"/>
          </a:pPr>
          <a:endParaRPr lang="hr-HR" sz="600" b="0" i="0" u="none" strike="noStrike" baseline="0">
            <a:solidFill>
              <a:srgbClr val="000000"/>
            </a:solidFill>
            <a:latin typeface="Arial"/>
            <a:cs typeface="Arial"/>
          </a:endParaRPr>
        </a:p>
      </xdr:txBody>
    </xdr:sp>
    <xdr:clientData/>
  </xdr:twoCellAnchor>
  <xdr:twoCellAnchor>
    <xdr:from>
      <xdr:col>1</xdr:col>
      <xdr:colOff>927735</xdr:colOff>
      <xdr:row>1</xdr:row>
      <xdr:rowOff>9525</xdr:rowOff>
    </xdr:from>
    <xdr:to>
      <xdr:col>1</xdr:col>
      <xdr:colOff>1741135</xdr:colOff>
      <xdr:row>3</xdr:row>
      <xdr:rowOff>295275</xdr:rowOff>
    </xdr:to>
    <xdr:sp macro="" textlink="" fLocksText="0">
      <xdr:nvSpPr>
        <xdr:cNvPr id="7" name="Text Box 21">
          <a:extLst>
            <a:ext uri="{FF2B5EF4-FFF2-40B4-BE49-F238E27FC236}">
              <a16:creationId xmlns:a16="http://schemas.microsoft.com/office/drawing/2014/main" id="{D1CE1E74-68F5-4049-99EA-F2ED2E06E8D3}"/>
            </a:ext>
          </a:extLst>
        </xdr:cNvPr>
        <xdr:cNvSpPr txBox="1">
          <a:spLocks noChangeArrowheads="1"/>
        </xdr:cNvSpPr>
      </xdr:nvSpPr>
      <xdr:spPr bwMode="auto">
        <a:xfrm>
          <a:off x="851535" y="192405"/>
          <a:ext cx="5680" cy="537210"/>
        </a:xfrm>
        <a:prstGeom prst="rect">
          <a:avLst/>
        </a:prstGeom>
        <a:noFill/>
        <a:ln w="9525" cap="flat">
          <a:noFill/>
          <a:round/>
          <a:headEnd/>
          <a:tailEnd/>
        </a:ln>
        <a:effectLst/>
      </xdr:spPr>
      <xdr:txBody>
        <a:bodyPr vertOverflow="clip" wrap="square" lIns="0" tIns="18000" rIns="18000" bIns="18000" anchor="ctr" upright="1"/>
        <a:lstStyle/>
        <a:p>
          <a:pPr algn="r" rtl="0">
            <a:defRPr sz="1000"/>
          </a:pPr>
          <a:endParaRPr lang="hr-HR" sz="600" b="0" i="0" u="none" strike="noStrike" baseline="0">
            <a:solidFill>
              <a:srgbClr val="000000"/>
            </a:solidFill>
            <a:latin typeface="Arial"/>
            <a:cs typeface="Arial"/>
          </a:endParaRPr>
        </a:p>
        <a:p>
          <a:pPr algn="r" rtl="0">
            <a:defRPr sz="1000"/>
          </a:pPr>
          <a:endParaRPr lang="hr-HR" sz="600" b="0" i="0" u="none" strike="noStrike" baseline="0">
            <a:solidFill>
              <a:srgbClr val="000000"/>
            </a:solidFill>
            <a:latin typeface="Arial"/>
            <a:cs typeface="Arial"/>
          </a:endParaRPr>
        </a:p>
      </xdr:txBody>
    </xdr:sp>
    <xdr:clientData/>
  </xdr:twoCellAnchor>
  <xdr:twoCellAnchor>
    <xdr:from>
      <xdr:col>1</xdr:col>
      <xdr:colOff>927735</xdr:colOff>
      <xdr:row>1</xdr:row>
      <xdr:rowOff>9525</xdr:rowOff>
    </xdr:from>
    <xdr:to>
      <xdr:col>1</xdr:col>
      <xdr:colOff>1741135</xdr:colOff>
      <xdr:row>3</xdr:row>
      <xdr:rowOff>295275</xdr:rowOff>
    </xdr:to>
    <xdr:sp macro="" textlink="" fLocksText="0">
      <xdr:nvSpPr>
        <xdr:cNvPr id="8" name="Text Box 21">
          <a:extLst>
            <a:ext uri="{FF2B5EF4-FFF2-40B4-BE49-F238E27FC236}">
              <a16:creationId xmlns:a16="http://schemas.microsoft.com/office/drawing/2014/main" id="{B920ACC8-3636-44D3-8B9F-4DC51BBAC37D}"/>
            </a:ext>
          </a:extLst>
        </xdr:cNvPr>
        <xdr:cNvSpPr txBox="1">
          <a:spLocks noChangeArrowheads="1"/>
        </xdr:cNvSpPr>
      </xdr:nvSpPr>
      <xdr:spPr bwMode="auto">
        <a:xfrm>
          <a:off x="851535" y="192405"/>
          <a:ext cx="5680" cy="537210"/>
        </a:xfrm>
        <a:prstGeom prst="rect">
          <a:avLst/>
        </a:prstGeom>
        <a:noFill/>
        <a:ln w="9525" cap="flat">
          <a:noFill/>
          <a:round/>
          <a:headEnd/>
          <a:tailEnd/>
        </a:ln>
        <a:effectLst/>
      </xdr:spPr>
      <xdr:txBody>
        <a:bodyPr vertOverflow="clip" wrap="square" lIns="0" tIns="18000" rIns="18000" bIns="18000" anchor="ctr" upright="1"/>
        <a:lstStyle/>
        <a:p>
          <a:pPr algn="r" rtl="0">
            <a:defRPr sz="1000"/>
          </a:pPr>
          <a:endParaRPr lang="hr-HR" sz="600" b="0" i="0" u="none" strike="noStrike" baseline="0">
            <a:solidFill>
              <a:srgbClr val="000000"/>
            </a:solidFill>
            <a:latin typeface="Arial"/>
            <a:cs typeface="Arial"/>
          </a:endParaRPr>
        </a:p>
        <a:p>
          <a:pPr algn="r" rtl="0">
            <a:defRPr sz="1000"/>
          </a:pPr>
          <a:endParaRPr lang="hr-HR" sz="600" b="0" i="0" u="none" strike="noStrike" baseline="0">
            <a:solidFill>
              <a:srgbClr val="000000"/>
            </a:solidFill>
            <a:latin typeface="Arial"/>
            <a:cs typeface="Arial"/>
          </a:endParaRPr>
        </a:p>
      </xdr:txBody>
    </xdr:sp>
    <xdr:clientData/>
  </xdr:twoCellAnchor>
  <xdr:twoCellAnchor>
    <xdr:from>
      <xdr:col>1</xdr:col>
      <xdr:colOff>927735</xdr:colOff>
      <xdr:row>1</xdr:row>
      <xdr:rowOff>9525</xdr:rowOff>
    </xdr:from>
    <xdr:to>
      <xdr:col>1</xdr:col>
      <xdr:colOff>1741135</xdr:colOff>
      <xdr:row>3</xdr:row>
      <xdr:rowOff>295275</xdr:rowOff>
    </xdr:to>
    <xdr:sp macro="" textlink="" fLocksText="0">
      <xdr:nvSpPr>
        <xdr:cNvPr id="9" name="Text Box 21">
          <a:extLst>
            <a:ext uri="{FF2B5EF4-FFF2-40B4-BE49-F238E27FC236}">
              <a16:creationId xmlns:a16="http://schemas.microsoft.com/office/drawing/2014/main" id="{B92E3E50-6990-4FFA-AB7F-B8BF8ACBCAE2}"/>
            </a:ext>
          </a:extLst>
        </xdr:cNvPr>
        <xdr:cNvSpPr txBox="1">
          <a:spLocks noChangeArrowheads="1"/>
        </xdr:cNvSpPr>
      </xdr:nvSpPr>
      <xdr:spPr bwMode="auto">
        <a:xfrm>
          <a:off x="851535" y="192405"/>
          <a:ext cx="5680" cy="537210"/>
        </a:xfrm>
        <a:prstGeom prst="rect">
          <a:avLst/>
        </a:prstGeom>
        <a:noFill/>
        <a:ln w="9525" cap="flat">
          <a:noFill/>
          <a:round/>
          <a:headEnd/>
          <a:tailEnd/>
        </a:ln>
        <a:effectLst/>
      </xdr:spPr>
      <xdr:txBody>
        <a:bodyPr vertOverflow="clip" wrap="square" lIns="0" tIns="18000" rIns="18000" bIns="18000" anchor="ctr" upright="1"/>
        <a:lstStyle/>
        <a:p>
          <a:pPr algn="r" rtl="0">
            <a:defRPr sz="1000"/>
          </a:pPr>
          <a:endParaRPr lang="hr-HR" sz="600" b="0" i="0" u="none" strike="noStrike" baseline="0">
            <a:solidFill>
              <a:srgbClr val="000000"/>
            </a:solidFill>
            <a:latin typeface="Arial"/>
            <a:cs typeface="Arial"/>
          </a:endParaRPr>
        </a:p>
        <a:p>
          <a:pPr algn="r" rtl="0">
            <a:defRPr sz="1000"/>
          </a:pPr>
          <a:endParaRPr lang="hr-HR" sz="600" b="0" i="0" u="none" strike="noStrike" baseline="0">
            <a:solidFill>
              <a:srgbClr val="000000"/>
            </a:solidFill>
            <a:latin typeface="Arial"/>
            <a:cs typeface="Arial"/>
          </a:endParaRPr>
        </a:p>
      </xdr:txBody>
    </xdr:sp>
    <xdr:clientData/>
  </xdr:twoCellAnchor>
  <xdr:oneCellAnchor>
    <xdr:from>
      <xdr:col>1</xdr:col>
      <xdr:colOff>0</xdr:colOff>
      <xdr:row>0</xdr:row>
      <xdr:rowOff>0</xdr:rowOff>
    </xdr:from>
    <xdr:ext cx="5667375" cy="1066800"/>
    <xdr:pic>
      <xdr:nvPicPr>
        <xdr:cNvPr id="10" name="Picture 1">
          <a:extLst>
            <a:ext uri="{FF2B5EF4-FFF2-40B4-BE49-F238E27FC236}">
              <a16:creationId xmlns:a16="http://schemas.microsoft.com/office/drawing/2014/main" id="{CF14A125-3953-4A3B-8E38-E0E7B5AAC2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 y="0"/>
          <a:ext cx="56673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5790350</xdr:colOff>
      <xdr:row>6</xdr:row>
      <xdr:rowOff>76200</xdr:rowOff>
    </xdr:to>
    <xdr:pic>
      <xdr:nvPicPr>
        <xdr:cNvPr id="2" name="Picture 1">
          <a:extLst>
            <a:ext uri="{FF2B5EF4-FFF2-40B4-BE49-F238E27FC236}">
              <a16:creationId xmlns:a16="http://schemas.microsoft.com/office/drawing/2014/main" id="{44666CCE-0DBB-442F-A638-C2F6C8D317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180" y="95250"/>
          <a:ext cx="5790350" cy="10782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142875</xdr:colOff>
      <xdr:row>0</xdr:row>
      <xdr:rowOff>66676</xdr:rowOff>
    </xdr:from>
    <xdr:to>
      <xdr:col>1</xdr:col>
      <xdr:colOff>866775</xdr:colOff>
      <xdr:row>1</xdr:row>
      <xdr:rowOff>163430</xdr:rowOff>
    </xdr:to>
    <xdr:pic>
      <xdr:nvPicPr>
        <xdr:cNvPr id="2" name="Picture 24">
          <a:extLst>
            <a:ext uri="{FF2B5EF4-FFF2-40B4-BE49-F238E27FC236}">
              <a16:creationId xmlns:a16="http://schemas.microsoft.com/office/drawing/2014/main" id="{522AFF8F-E32C-4CAD-BFD9-80BDB3EB9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66676"/>
          <a:ext cx="1158240" cy="2796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twoCellAnchor>
    <xdr:from>
      <xdr:col>1</xdr:col>
      <xdr:colOff>976747</xdr:colOff>
      <xdr:row>0</xdr:row>
      <xdr:rowOff>53687</xdr:rowOff>
    </xdr:from>
    <xdr:to>
      <xdr:col>1</xdr:col>
      <xdr:colOff>1691121</xdr:colOff>
      <xdr:row>4</xdr:row>
      <xdr:rowOff>109971</xdr:rowOff>
    </xdr:to>
    <xdr:sp macro="" textlink="" fLocksText="0">
      <xdr:nvSpPr>
        <xdr:cNvPr id="3" name="Text Box 25">
          <a:extLst>
            <a:ext uri="{FF2B5EF4-FFF2-40B4-BE49-F238E27FC236}">
              <a16:creationId xmlns:a16="http://schemas.microsoft.com/office/drawing/2014/main" id="{EE3D7F81-C8BC-4DA9-B274-13F3AEC3C951}"/>
            </a:ext>
          </a:extLst>
        </xdr:cNvPr>
        <xdr:cNvSpPr txBox="1">
          <a:spLocks noChangeArrowheads="1"/>
        </xdr:cNvSpPr>
      </xdr:nvSpPr>
      <xdr:spPr bwMode="auto">
        <a:xfrm>
          <a:off x="1411087" y="53687"/>
          <a:ext cx="714374" cy="810664"/>
        </a:xfrm>
        <a:prstGeom prst="rect">
          <a:avLst/>
        </a:prstGeom>
        <a:noFill/>
        <a:ln w="9525" cap="flat">
          <a:noFill/>
          <a:round/>
          <a:headEnd/>
          <a:tailEnd/>
        </a:ln>
        <a:effectLst/>
      </xdr:spPr>
      <xdr:txBody>
        <a:bodyPr vertOverflow="clip" wrap="square" lIns="0" tIns="22680" rIns="27360" bIns="0" anchor="t" upright="1"/>
        <a:lstStyle/>
        <a:p>
          <a:pPr algn="l" rtl="0">
            <a:defRPr sz="1000"/>
          </a:pPr>
          <a:r>
            <a:rPr lang="hr-HR" sz="700" b="0" i="0" u="none" strike="noStrike" baseline="0">
              <a:solidFill>
                <a:srgbClr val="000000"/>
              </a:solidFill>
              <a:latin typeface="Arial"/>
              <a:cs typeface="Arial"/>
            </a:rPr>
            <a:t>INVESTITOR :</a:t>
          </a:r>
        </a:p>
        <a:p>
          <a:pPr algn="l" rtl="0">
            <a:defRPr sz="1000"/>
          </a:pPr>
          <a:endParaRPr lang="hr-HR" sz="700" b="0" i="0" u="none" strike="noStrike" baseline="0">
            <a:solidFill>
              <a:srgbClr val="000000"/>
            </a:solidFill>
            <a:latin typeface="Arial"/>
            <a:cs typeface="Arial"/>
          </a:endParaRPr>
        </a:p>
        <a:p>
          <a:pPr algn="l" rtl="0">
            <a:defRPr sz="1000"/>
          </a:pPr>
          <a:r>
            <a:rPr lang="hr-HR" sz="700" b="0" i="0" u="none" strike="noStrike" baseline="0">
              <a:solidFill>
                <a:srgbClr val="000000"/>
              </a:solidFill>
              <a:latin typeface="Arial"/>
              <a:cs typeface="Arial"/>
            </a:rPr>
            <a:t>GRAĐEVINA :</a:t>
          </a:r>
        </a:p>
        <a:p>
          <a:pPr algn="l" rtl="0">
            <a:defRPr sz="1000"/>
          </a:pPr>
          <a:endParaRPr lang="hr-HR" sz="700" b="0" i="0" u="none" strike="noStrike" baseline="0">
            <a:solidFill>
              <a:srgbClr val="000000"/>
            </a:solidFill>
            <a:latin typeface="Arial"/>
            <a:cs typeface="Arial"/>
          </a:endParaRPr>
        </a:p>
        <a:p>
          <a:pPr algn="l" rtl="0">
            <a:defRPr sz="1000"/>
          </a:pPr>
          <a:r>
            <a:rPr lang="hr-HR" sz="1000" b="0" i="0" u="none" strike="noStrike" baseline="0">
              <a:solidFill>
                <a:srgbClr val="000000"/>
              </a:solidFill>
              <a:latin typeface="Arial"/>
              <a:cs typeface="Arial"/>
            </a:rPr>
            <a:t>     </a:t>
          </a:r>
        </a:p>
        <a:p>
          <a:pPr algn="l" rtl="0">
            <a:defRPr sz="1000"/>
          </a:pPr>
          <a:r>
            <a:rPr lang="hr-HR" sz="700" b="0" i="0" u="none" strike="noStrike" baseline="0">
              <a:solidFill>
                <a:srgbClr val="000000"/>
              </a:solidFill>
              <a:latin typeface="Arial"/>
              <a:cs typeface="Arial"/>
            </a:rPr>
            <a:t>PREDMET:</a:t>
          </a:r>
        </a:p>
        <a:p>
          <a:pPr algn="l" rtl="0">
            <a:defRPr sz="1000"/>
          </a:pPr>
          <a:endParaRPr lang="hr-HR" sz="700" b="0" i="0" u="none" strike="noStrike" baseline="0">
            <a:solidFill>
              <a:srgbClr val="000000"/>
            </a:solidFill>
            <a:latin typeface="Arial"/>
            <a:cs typeface="Arial"/>
          </a:endParaRPr>
        </a:p>
      </xdr:txBody>
    </xdr:sp>
    <xdr:clientData/>
  </xdr:twoCellAnchor>
  <xdr:twoCellAnchor>
    <xdr:from>
      <xdr:col>0</xdr:col>
      <xdr:colOff>171450</xdr:colOff>
      <xdr:row>2</xdr:row>
      <xdr:rowOff>38100</xdr:rowOff>
    </xdr:from>
    <xdr:to>
      <xdr:col>1</xdr:col>
      <xdr:colOff>981075</xdr:colOff>
      <xdr:row>3</xdr:row>
      <xdr:rowOff>152400</xdr:rowOff>
    </xdr:to>
    <xdr:sp macro="" textlink="" fLocksText="0">
      <xdr:nvSpPr>
        <xdr:cNvPr id="4" name="Text Box 25">
          <a:extLst>
            <a:ext uri="{FF2B5EF4-FFF2-40B4-BE49-F238E27FC236}">
              <a16:creationId xmlns:a16="http://schemas.microsoft.com/office/drawing/2014/main" id="{825A2946-8F2D-4816-BECC-9D2EC803F5AD}"/>
            </a:ext>
          </a:extLst>
        </xdr:cNvPr>
        <xdr:cNvSpPr txBox="1">
          <a:spLocks noChangeArrowheads="1"/>
        </xdr:cNvSpPr>
      </xdr:nvSpPr>
      <xdr:spPr bwMode="auto">
        <a:xfrm>
          <a:off x="171450" y="403860"/>
          <a:ext cx="1243965" cy="327660"/>
        </a:xfrm>
        <a:prstGeom prst="rect">
          <a:avLst/>
        </a:prstGeom>
        <a:noFill/>
        <a:ln w="9525" cap="flat">
          <a:noFill/>
          <a:round/>
          <a:headEnd/>
          <a:tailEnd/>
        </a:ln>
        <a:effectLst/>
      </xdr:spPr>
      <xdr:txBody>
        <a:bodyPr vertOverflow="clip" wrap="square" lIns="0" tIns="22680" rIns="27360" bIns="0" anchor="t" upright="1"/>
        <a:lstStyle/>
        <a:p>
          <a:pPr algn="l" rtl="0">
            <a:defRPr sz="1000"/>
          </a:pPr>
          <a:r>
            <a:rPr lang="hr-HR" sz="800" b="1" i="0" u="none" strike="noStrike" baseline="0">
              <a:solidFill>
                <a:srgbClr val="000000"/>
              </a:solidFill>
              <a:latin typeface="Arial"/>
              <a:cs typeface="Arial"/>
            </a:rPr>
            <a:t>ZAGREB, Grahorova 15</a:t>
          </a:r>
        </a:p>
        <a:p>
          <a:pPr algn="l" rtl="0">
            <a:defRPr sz="1000"/>
          </a:pPr>
          <a:r>
            <a:rPr lang="hr-HR" sz="100" b="1" i="0" u="none" strike="noStrike" baseline="0">
              <a:solidFill>
                <a:srgbClr val="000000"/>
              </a:solidFill>
              <a:latin typeface="Arial"/>
              <a:cs typeface="Arial"/>
            </a:rPr>
            <a:t>   </a:t>
          </a:r>
        </a:p>
        <a:p>
          <a:pPr algn="l" rtl="0">
            <a:defRPr sz="1000"/>
          </a:pPr>
          <a:r>
            <a:rPr lang="hr-HR" sz="800" b="0" i="0" u="none" strike="noStrike" baseline="0">
              <a:solidFill>
                <a:srgbClr val="000000"/>
              </a:solidFill>
              <a:latin typeface="Arial"/>
              <a:cs typeface="Arial"/>
            </a:rPr>
            <a:t>OIB: 53768441939</a:t>
          </a:r>
        </a:p>
        <a:p>
          <a:pPr algn="r" rtl="0">
            <a:defRPr sz="1000"/>
          </a:pPr>
          <a:endParaRPr lang="hr-HR" sz="700" b="0" i="0" u="none" strike="noStrike" baseline="0">
            <a:solidFill>
              <a:srgbClr val="000000"/>
            </a:solidFill>
            <a:latin typeface="Arial"/>
            <a:cs typeface="Arial"/>
          </a:endParaRPr>
        </a:p>
      </xdr:txBody>
    </xdr:sp>
    <xdr:clientData/>
  </xdr:twoCellAnchor>
  <xdr:twoCellAnchor>
    <xdr:from>
      <xdr:col>0</xdr:col>
      <xdr:colOff>142875</xdr:colOff>
      <xdr:row>0</xdr:row>
      <xdr:rowOff>66676</xdr:rowOff>
    </xdr:from>
    <xdr:to>
      <xdr:col>1</xdr:col>
      <xdr:colOff>866775</xdr:colOff>
      <xdr:row>1</xdr:row>
      <xdr:rowOff>163430</xdr:rowOff>
    </xdr:to>
    <xdr:pic>
      <xdr:nvPicPr>
        <xdr:cNvPr id="5" name="Picture 24">
          <a:extLst>
            <a:ext uri="{FF2B5EF4-FFF2-40B4-BE49-F238E27FC236}">
              <a16:creationId xmlns:a16="http://schemas.microsoft.com/office/drawing/2014/main" id="{E793A2CE-13CE-4536-BEBE-447E55DD41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66676"/>
          <a:ext cx="1158240" cy="2796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twoCellAnchor>
    <xdr:from>
      <xdr:col>0</xdr:col>
      <xdr:colOff>171450</xdr:colOff>
      <xdr:row>2</xdr:row>
      <xdr:rowOff>38100</xdr:rowOff>
    </xdr:from>
    <xdr:to>
      <xdr:col>1</xdr:col>
      <xdr:colOff>981075</xdr:colOff>
      <xdr:row>3</xdr:row>
      <xdr:rowOff>152400</xdr:rowOff>
    </xdr:to>
    <xdr:sp macro="" textlink="" fLocksText="0">
      <xdr:nvSpPr>
        <xdr:cNvPr id="6" name="Text Box 25">
          <a:extLst>
            <a:ext uri="{FF2B5EF4-FFF2-40B4-BE49-F238E27FC236}">
              <a16:creationId xmlns:a16="http://schemas.microsoft.com/office/drawing/2014/main" id="{3C2D960E-A6B0-4976-8A48-368567D333D6}"/>
            </a:ext>
          </a:extLst>
        </xdr:cNvPr>
        <xdr:cNvSpPr txBox="1">
          <a:spLocks noChangeArrowheads="1"/>
        </xdr:cNvSpPr>
      </xdr:nvSpPr>
      <xdr:spPr bwMode="auto">
        <a:xfrm>
          <a:off x="171450" y="403860"/>
          <a:ext cx="1243965" cy="327660"/>
        </a:xfrm>
        <a:prstGeom prst="rect">
          <a:avLst/>
        </a:prstGeom>
        <a:noFill/>
        <a:ln w="9525" cap="flat">
          <a:noFill/>
          <a:round/>
          <a:headEnd/>
          <a:tailEnd/>
        </a:ln>
        <a:effectLst/>
      </xdr:spPr>
      <xdr:txBody>
        <a:bodyPr vertOverflow="clip" wrap="square" lIns="0" tIns="22680" rIns="27360" bIns="0" anchor="t" upright="1"/>
        <a:lstStyle/>
        <a:p>
          <a:pPr algn="l" rtl="0">
            <a:defRPr sz="1000"/>
          </a:pPr>
          <a:r>
            <a:rPr lang="hr-HR" sz="800" b="1" i="0" u="none" strike="noStrike" baseline="0">
              <a:solidFill>
                <a:srgbClr val="000000"/>
              </a:solidFill>
              <a:latin typeface="Arial"/>
              <a:cs typeface="Arial"/>
            </a:rPr>
            <a:t>ZAGREB, Grahorova 15</a:t>
          </a:r>
        </a:p>
        <a:p>
          <a:pPr algn="l" rtl="0">
            <a:defRPr sz="1000"/>
          </a:pPr>
          <a:r>
            <a:rPr lang="hr-HR" sz="100" b="1" i="0" u="none" strike="noStrike" baseline="0">
              <a:solidFill>
                <a:srgbClr val="000000"/>
              </a:solidFill>
              <a:latin typeface="Arial"/>
              <a:cs typeface="Arial"/>
            </a:rPr>
            <a:t>   </a:t>
          </a:r>
        </a:p>
        <a:p>
          <a:pPr algn="l" rtl="0">
            <a:defRPr sz="1000"/>
          </a:pPr>
          <a:r>
            <a:rPr lang="hr-HR" sz="800" b="0" i="0" u="none" strike="noStrike" baseline="0">
              <a:solidFill>
                <a:srgbClr val="000000"/>
              </a:solidFill>
              <a:latin typeface="Arial"/>
              <a:cs typeface="Arial"/>
            </a:rPr>
            <a:t>OIB: 53768441939</a:t>
          </a:r>
        </a:p>
        <a:p>
          <a:pPr algn="r" rtl="0">
            <a:defRPr sz="1000"/>
          </a:pPr>
          <a:endParaRPr lang="hr-HR" sz="700" b="0" i="0" u="none" strike="noStrike" baseline="0">
            <a:solidFill>
              <a:srgbClr val="000000"/>
            </a:solidFill>
            <a:latin typeface="Arial"/>
            <a:cs typeface="Arial"/>
          </a:endParaRPr>
        </a:p>
      </xdr:txBody>
    </xdr:sp>
    <xdr:clientData/>
  </xdr:twoCellAnchor>
  <xdr:twoCellAnchor>
    <xdr:from>
      <xdr:col>1</xdr:col>
      <xdr:colOff>1549979</xdr:colOff>
      <xdr:row>0</xdr:row>
      <xdr:rowOff>43295</xdr:rowOff>
    </xdr:from>
    <xdr:to>
      <xdr:col>5</xdr:col>
      <xdr:colOff>658092</xdr:colOff>
      <xdr:row>4</xdr:row>
      <xdr:rowOff>17318</xdr:rowOff>
    </xdr:to>
    <xdr:sp macro="" textlink="" fLocksText="0">
      <xdr:nvSpPr>
        <xdr:cNvPr id="7" name="Text Box 23">
          <a:extLst>
            <a:ext uri="{FF2B5EF4-FFF2-40B4-BE49-F238E27FC236}">
              <a16:creationId xmlns:a16="http://schemas.microsoft.com/office/drawing/2014/main" id="{7F38FD42-4456-4368-97CE-9AF365182507}"/>
            </a:ext>
          </a:extLst>
        </xdr:cNvPr>
        <xdr:cNvSpPr txBox="1">
          <a:spLocks noChangeArrowheads="1"/>
        </xdr:cNvSpPr>
      </xdr:nvSpPr>
      <xdr:spPr bwMode="auto">
        <a:xfrm>
          <a:off x="1984319" y="43295"/>
          <a:ext cx="4868833" cy="728403"/>
        </a:xfrm>
        <a:prstGeom prst="rect">
          <a:avLst/>
        </a:prstGeom>
        <a:noFill/>
        <a:ln w="9525" cap="flat">
          <a:noFill/>
          <a:round/>
          <a:headEnd/>
          <a:tailEnd/>
        </a:ln>
        <a:effectLst/>
      </xdr:spPr>
      <xdr:txBody>
        <a:bodyPr vertOverflow="clip" wrap="square" lIns="27360" tIns="22680" rIns="0" bIns="22680" anchor="t" upright="1"/>
        <a:lstStyle/>
        <a:p>
          <a:pPr algn="l" rtl="0">
            <a:defRPr sz="1000"/>
          </a:pPr>
          <a:r>
            <a:rPr lang="hr-HR" sz="700" b="1" i="0" u="none" strike="noStrike" baseline="0">
              <a:solidFill>
                <a:sysClr val="windowText" lastClr="000000"/>
              </a:solidFill>
              <a:latin typeface="Arial" pitchFamily="34" charset="0"/>
              <a:cs typeface="Arial" pitchFamily="34" charset="0"/>
            </a:rPr>
            <a:t>MINISTARSTVO HRVATSKIH BRANITELJA, </a:t>
          </a:r>
          <a:r>
            <a:rPr lang="hr-HR" sz="700" b="0" i="0" u="none" strike="noStrike" baseline="0">
              <a:solidFill>
                <a:sysClr val="windowText" lastClr="000000"/>
              </a:solidFill>
              <a:latin typeface="Arial" pitchFamily="34" charset="0"/>
              <a:cs typeface="Arial" pitchFamily="34" charset="0"/>
            </a:rPr>
            <a:t>Trg Nevenke Topalušić 1, Zagreb</a:t>
          </a:r>
          <a:r>
            <a:rPr lang="hr-HR" sz="700" b="1" i="0" baseline="0">
              <a:effectLst/>
              <a:latin typeface="+mn-lt"/>
              <a:ea typeface="+mn-ea"/>
              <a:cs typeface="+mn-cs"/>
            </a:rPr>
            <a:t> 1</a:t>
          </a:r>
        </a:p>
        <a:p>
          <a:pPr algn="l" rtl="0">
            <a:defRPr sz="1000"/>
          </a:pPr>
          <a:endParaRPr lang="hr-HR" sz="700" b="1" i="0" baseline="0">
            <a:effectLst/>
            <a:latin typeface="Arial" panose="020B0604020202020204" pitchFamily="34" charset="0"/>
            <a:ea typeface="+mn-ea"/>
            <a:cs typeface="Arial" panose="020B0604020202020204" pitchFamily="34" charset="0"/>
          </a:endParaRPr>
        </a:p>
        <a:p>
          <a:pPr algn="l" rtl="0">
            <a:defRPr sz="1000"/>
          </a:pPr>
          <a:r>
            <a:rPr lang="hr-HR" sz="700" b="1" i="0" baseline="0">
              <a:effectLst/>
              <a:latin typeface="Arial" panose="020B0604020202020204" pitchFamily="34" charset="0"/>
              <a:ea typeface="+mn-ea"/>
              <a:cs typeface="Arial" panose="020B0604020202020204" pitchFamily="34" charset="0"/>
            </a:rPr>
            <a:t>REKONSTRUKCIJA ŠKOLSKE ZGRADE U DONJEM LAĐEVCU NA k.č. 432/1 k.o. Donji Lađevac, </a:t>
          </a:r>
        </a:p>
        <a:p>
          <a:pPr algn="l" rtl="0">
            <a:defRPr sz="1000"/>
          </a:pPr>
          <a:r>
            <a:rPr lang="hr-HR" sz="700" b="1" i="0" baseline="0">
              <a:effectLst/>
              <a:latin typeface="Arial" panose="020B0604020202020204" pitchFamily="34" charset="0"/>
              <a:ea typeface="+mn-ea"/>
              <a:cs typeface="Arial" panose="020B0604020202020204" pitchFamily="34" charset="0"/>
            </a:rPr>
            <a:t>U SVRHU PRENAMJENE U BRANITELJSKI CENTAR U SLUNJU  </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hr-HR" sz="400">
            <a:effectLst/>
          </a:endParaRPr>
        </a:p>
        <a:p>
          <a:pPr algn="l" rtl="0">
            <a:defRPr sz="1000"/>
          </a:pPr>
          <a:r>
            <a:rPr lang="hr-HR" sz="800" b="1" i="0" u="none" strike="noStrike" baseline="0">
              <a:solidFill>
                <a:srgbClr val="FF0000"/>
              </a:solidFill>
              <a:effectLst/>
              <a:latin typeface="+mn-lt"/>
              <a:ea typeface="+mn-ea"/>
              <a:cs typeface="+mn-cs"/>
            </a:rPr>
            <a:t> </a:t>
          </a:r>
          <a:r>
            <a:rPr lang="vi-VN" sz="700" b="1" i="0" u="none" strike="noStrike" baseline="0">
              <a:solidFill>
                <a:sysClr val="windowText" lastClr="000000"/>
              </a:solidFill>
              <a:latin typeface="Arial" pitchFamily="34" charset="0"/>
              <a:cs typeface="Arial" pitchFamily="34" charset="0"/>
            </a:rPr>
            <a:t>TROŠKOVNIK </a:t>
          </a:r>
          <a:r>
            <a:rPr lang="hr-HR" sz="700" b="1" i="0" u="none" strike="noStrike" baseline="0">
              <a:solidFill>
                <a:sysClr val="windowText" lastClr="000000"/>
              </a:solidFill>
              <a:latin typeface="Arial" pitchFamily="34" charset="0"/>
              <a:cs typeface="Arial" pitchFamily="34" charset="0"/>
            </a:rPr>
            <a:t>RADOVA </a:t>
          </a:r>
          <a:r>
            <a:rPr lang="hr-HR" sz="700" b="1" i="0" u="none" strike="noStrike" baseline="0">
              <a:solidFill>
                <a:schemeClr val="tx1"/>
              </a:solidFill>
              <a:latin typeface="Arial" pitchFamily="34" charset="0"/>
              <a:cs typeface="Arial" pitchFamily="34" charset="0"/>
            </a:rPr>
            <a:t>1. FAZE</a:t>
          </a:r>
          <a:endParaRPr lang="vi-VN" sz="700" b="1" i="0" u="none" strike="noStrike" baseline="0">
            <a:solidFill>
              <a:schemeClr val="tx1"/>
            </a:solidFill>
            <a:latin typeface="Arial" pitchFamily="34" charset="0"/>
            <a:cs typeface="Arial" pitchFamily="34" charset="0"/>
          </a:endParaRPr>
        </a:p>
      </xdr:txBody>
    </xdr:sp>
    <xdr:clientData/>
  </xdr:twoCellAnchor>
  <xdr:twoCellAnchor>
    <xdr:from>
      <xdr:col>0</xdr:col>
      <xdr:colOff>142875</xdr:colOff>
      <xdr:row>0</xdr:row>
      <xdr:rowOff>66676</xdr:rowOff>
    </xdr:from>
    <xdr:to>
      <xdr:col>1</xdr:col>
      <xdr:colOff>866775</xdr:colOff>
      <xdr:row>1</xdr:row>
      <xdr:rowOff>163430</xdr:rowOff>
    </xdr:to>
    <xdr:pic>
      <xdr:nvPicPr>
        <xdr:cNvPr id="8" name="Picture 24">
          <a:extLst>
            <a:ext uri="{FF2B5EF4-FFF2-40B4-BE49-F238E27FC236}">
              <a16:creationId xmlns:a16="http://schemas.microsoft.com/office/drawing/2014/main" id="{79F4C912-ACF2-43CC-84A1-1BFCDBC83B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66676"/>
          <a:ext cx="1158240" cy="2796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twoCellAnchor>
    <xdr:from>
      <xdr:col>1</xdr:col>
      <xdr:colOff>976747</xdr:colOff>
      <xdr:row>0</xdr:row>
      <xdr:rowOff>53687</xdr:rowOff>
    </xdr:from>
    <xdr:to>
      <xdr:col>1</xdr:col>
      <xdr:colOff>1691121</xdr:colOff>
      <xdr:row>4</xdr:row>
      <xdr:rowOff>109971</xdr:rowOff>
    </xdr:to>
    <xdr:sp macro="" textlink="" fLocksText="0">
      <xdr:nvSpPr>
        <xdr:cNvPr id="9" name="Text Box 25">
          <a:extLst>
            <a:ext uri="{FF2B5EF4-FFF2-40B4-BE49-F238E27FC236}">
              <a16:creationId xmlns:a16="http://schemas.microsoft.com/office/drawing/2014/main" id="{3454C5AA-18DB-4C60-87EE-2B6ECDC66197}"/>
            </a:ext>
          </a:extLst>
        </xdr:cNvPr>
        <xdr:cNvSpPr txBox="1">
          <a:spLocks noChangeArrowheads="1"/>
        </xdr:cNvSpPr>
      </xdr:nvSpPr>
      <xdr:spPr bwMode="auto">
        <a:xfrm>
          <a:off x="1411087" y="53687"/>
          <a:ext cx="714374" cy="810664"/>
        </a:xfrm>
        <a:prstGeom prst="rect">
          <a:avLst/>
        </a:prstGeom>
        <a:noFill/>
        <a:ln w="9525" cap="flat">
          <a:noFill/>
          <a:round/>
          <a:headEnd/>
          <a:tailEnd/>
        </a:ln>
        <a:effectLst/>
      </xdr:spPr>
      <xdr:txBody>
        <a:bodyPr vertOverflow="clip" wrap="square" lIns="0" tIns="22680" rIns="27360" bIns="0" anchor="t" upright="1"/>
        <a:lstStyle/>
        <a:p>
          <a:pPr algn="l" rtl="0">
            <a:defRPr sz="1000"/>
          </a:pPr>
          <a:r>
            <a:rPr lang="hr-HR" sz="700" b="0" i="0" u="none" strike="noStrike" baseline="0">
              <a:solidFill>
                <a:srgbClr val="000000"/>
              </a:solidFill>
              <a:latin typeface="Arial"/>
              <a:cs typeface="Arial"/>
            </a:rPr>
            <a:t>INVESTITOR :</a:t>
          </a:r>
        </a:p>
        <a:p>
          <a:pPr algn="l" rtl="0">
            <a:defRPr sz="1000"/>
          </a:pPr>
          <a:endParaRPr lang="hr-HR" sz="700" b="0" i="0" u="none" strike="noStrike" baseline="0">
            <a:solidFill>
              <a:srgbClr val="000000"/>
            </a:solidFill>
            <a:latin typeface="Arial"/>
            <a:cs typeface="Arial"/>
          </a:endParaRPr>
        </a:p>
        <a:p>
          <a:pPr algn="l" rtl="0">
            <a:defRPr sz="1000"/>
          </a:pPr>
          <a:r>
            <a:rPr lang="hr-HR" sz="700" b="0" i="0" u="none" strike="noStrike" baseline="0">
              <a:solidFill>
                <a:srgbClr val="000000"/>
              </a:solidFill>
              <a:latin typeface="Arial"/>
              <a:cs typeface="Arial"/>
            </a:rPr>
            <a:t>GRAĐEVINA :</a:t>
          </a:r>
        </a:p>
        <a:p>
          <a:pPr algn="l" rtl="0">
            <a:defRPr sz="1000"/>
          </a:pPr>
          <a:endParaRPr lang="hr-HR" sz="700" b="0" i="0" u="none" strike="noStrike" baseline="0">
            <a:solidFill>
              <a:srgbClr val="000000"/>
            </a:solidFill>
            <a:latin typeface="Arial"/>
            <a:cs typeface="Arial"/>
          </a:endParaRPr>
        </a:p>
        <a:p>
          <a:pPr algn="l" rtl="0">
            <a:defRPr sz="1000"/>
          </a:pPr>
          <a:r>
            <a:rPr lang="hr-HR" sz="1000" b="0" i="0" u="none" strike="noStrike" baseline="0">
              <a:solidFill>
                <a:srgbClr val="000000"/>
              </a:solidFill>
              <a:latin typeface="Arial"/>
              <a:cs typeface="Arial"/>
            </a:rPr>
            <a:t>     </a:t>
          </a:r>
        </a:p>
        <a:p>
          <a:pPr algn="l" rtl="0">
            <a:defRPr sz="1000"/>
          </a:pPr>
          <a:r>
            <a:rPr lang="hr-HR" sz="700" b="0" i="0" u="none" strike="noStrike" baseline="0">
              <a:solidFill>
                <a:srgbClr val="000000"/>
              </a:solidFill>
              <a:latin typeface="Arial"/>
              <a:cs typeface="Arial"/>
            </a:rPr>
            <a:t>PREDMET:</a:t>
          </a:r>
        </a:p>
        <a:p>
          <a:pPr algn="l" rtl="0">
            <a:defRPr sz="1000"/>
          </a:pPr>
          <a:endParaRPr lang="hr-HR" sz="700" b="0" i="0" u="none" strike="noStrike" baseline="0">
            <a:solidFill>
              <a:srgbClr val="000000"/>
            </a:solidFill>
            <a:latin typeface="Arial"/>
            <a:cs typeface="Arial"/>
          </a:endParaRPr>
        </a:p>
      </xdr:txBody>
    </xdr:sp>
    <xdr:clientData/>
  </xdr:twoCellAnchor>
  <xdr:twoCellAnchor>
    <xdr:from>
      <xdr:col>0</xdr:col>
      <xdr:colOff>171450</xdr:colOff>
      <xdr:row>2</xdr:row>
      <xdr:rowOff>38100</xdr:rowOff>
    </xdr:from>
    <xdr:to>
      <xdr:col>1</xdr:col>
      <xdr:colOff>981075</xdr:colOff>
      <xdr:row>3</xdr:row>
      <xdr:rowOff>152400</xdr:rowOff>
    </xdr:to>
    <xdr:sp macro="" textlink="" fLocksText="0">
      <xdr:nvSpPr>
        <xdr:cNvPr id="10" name="Text Box 25">
          <a:extLst>
            <a:ext uri="{FF2B5EF4-FFF2-40B4-BE49-F238E27FC236}">
              <a16:creationId xmlns:a16="http://schemas.microsoft.com/office/drawing/2014/main" id="{12D3A4FE-7209-45A0-967D-12665A3D4D4B}"/>
            </a:ext>
          </a:extLst>
        </xdr:cNvPr>
        <xdr:cNvSpPr txBox="1">
          <a:spLocks noChangeArrowheads="1"/>
        </xdr:cNvSpPr>
      </xdr:nvSpPr>
      <xdr:spPr bwMode="auto">
        <a:xfrm>
          <a:off x="171450" y="403860"/>
          <a:ext cx="1243965" cy="327660"/>
        </a:xfrm>
        <a:prstGeom prst="rect">
          <a:avLst/>
        </a:prstGeom>
        <a:noFill/>
        <a:ln w="9525" cap="flat">
          <a:noFill/>
          <a:round/>
          <a:headEnd/>
          <a:tailEnd/>
        </a:ln>
        <a:effectLst/>
      </xdr:spPr>
      <xdr:txBody>
        <a:bodyPr vertOverflow="clip" wrap="square" lIns="0" tIns="22680" rIns="27360" bIns="0" anchor="t" upright="1"/>
        <a:lstStyle/>
        <a:p>
          <a:pPr algn="l" rtl="0">
            <a:defRPr sz="1000"/>
          </a:pPr>
          <a:r>
            <a:rPr lang="hr-HR" sz="800" b="1" i="0" u="none" strike="noStrike" baseline="0">
              <a:solidFill>
                <a:srgbClr val="000000"/>
              </a:solidFill>
              <a:latin typeface="Arial"/>
              <a:cs typeface="Arial"/>
            </a:rPr>
            <a:t>ZAGREB, Grahorova 15</a:t>
          </a:r>
        </a:p>
        <a:p>
          <a:pPr algn="l" rtl="0">
            <a:defRPr sz="1000"/>
          </a:pPr>
          <a:r>
            <a:rPr lang="hr-HR" sz="100" b="1" i="0" u="none" strike="noStrike" baseline="0">
              <a:solidFill>
                <a:srgbClr val="000000"/>
              </a:solidFill>
              <a:latin typeface="Arial"/>
              <a:cs typeface="Arial"/>
            </a:rPr>
            <a:t>   </a:t>
          </a:r>
        </a:p>
        <a:p>
          <a:pPr algn="l" rtl="0">
            <a:defRPr sz="1000"/>
          </a:pPr>
          <a:r>
            <a:rPr lang="hr-HR" sz="800" b="0" i="0" u="none" strike="noStrike" baseline="0">
              <a:solidFill>
                <a:srgbClr val="000000"/>
              </a:solidFill>
              <a:latin typeface="Arial"/>
              <a:cs typeface="Arial"/>
            </a:rPr>
            <a:t>OIB: 53768441939</a:t>
          </a:r>
        </a:p>
        <a:p>
          <a:pPr algn="r" rtl="0">
            <a:defRPr sz="1000"/>
          </a:pPr>
          <a:endParaRPr lang="hr-HR" sz="700" b="0" i="0" u="none" strike="noStrike" baseline="0">
            <a:solidFill>
              <a:srgbClr val="000000"/>
            </a:solidFill>
            <a:latin typeface="Arial"/>
            <a:cs typeface="Arial"/>
          </a:endParaRPr>
        </a:p>
      </xdr:txBody>
    </xdr:sp>
    <xdr:clientData/>
  </xdr:twoCellAnchor>
  <xdr:twoCellAnchor>
    <xdr:from>
      <xdr:col>0</xdr:col>
      <xdr:colOff>142875</xdr:colOff>
      <xdr:row>0</xdr:row>
      <xdr:rowOff>66676</xdr:rowOff>
    </xdr:from>
    <xdr:to>
      <xdr:col>1</xdr:col>
      <xdr:colOff>866775</xdr:colOff>
      <xdr:row>1</xdr:row>
      <xdr:rowOff>163430</xdr:rowOff>
    </xdr:to>
    <xdr:pic>
      <xdr:nvPicPr>
        <xdr:cNvPr id="11" name="Picture 24">
          <a:extLst>
            <a:ext uri="{FF2B5EF4-FFF2-40B4-BE49-F238E27FC236}">
              <a16:creationId xmlns:a16="http://schemas.microsoft.com/office/drawing/2014/main" id="{EAB9DB2E-9E73-41D9-B56E-6A867D8FEC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66676"/>
          <a:ext cx="1158240" cy="2796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twoCellAnchor>
    <xdr:from>
      <xdr:col>0</xdr:col>
      <xdr:colOff>171450</xdr:colOff>
      <xdr:row>2</xdr:row>
      <xdr:rowOff>38100</xdr:rowOff>
    </xdr:from>
    <xdr:to>
      <xdr:col>1</xdr:col>
      <xdr:colOff>981075</xdr:colOff>
      <xdr:row>3</xdr:row>
      <xdr:rowOff>152400</xdr:rowOff>
    </xdr:to>
    <xdr:sp macro="" textlink="" fLocksText="0">
      <xdr:nvSpPr>
        <xdr:cNvPr id="12" name="Text Box 25">
          <a:extLst>
            <a:ext uri="{FF2B5EF4-FFF2-40B4-BE49-F238E27FC236}">
              <a16:creationId xmlns:a16="http://schemas.microsoft.com/office/drawing/2014/main" id="{DCA59892-4DC0-46DC-B234-677068429E84}"/>
            </a:ext>
          </a:extLst>
        </xdr:cNvPr>
        <xdr:cNvSpPr txBox="1">
          <a:spLocks noChangeArrowheads="1"/>
        </xdr:cNvSpPr>
      </xdr:nvSpPr>
      <xdr:spPr bwMode="auto">
        <a:xfrm>
          <a:off x="171450" y="403860"/>
          <a:ext cx="1243965" cy="327660"/>
        </a:xfrm>
        <a:prstGeom prst="rect">
          <a:avLst/>
        </a:prstGeom>
        <a:noFill/>
        <a:ln w="9525" cap="flat">
          <a:noFill/>
          <a:round/>
          <a:headEnd/>
          <a:tailEnd/>
        </a:ln>
        <a:effectLst/>
      </xdr:spPr>
      <xdr:txBody>
        <a:bodyPr vertOverflow="clip" wrap="square" lIns="0" tIns="22680" rIns="27360" bIns="0" anchor="t" upright="1"/>
        <a:lstStyle/>
        <a:p>
          <a:pPr algn="l" rtl="0">
            <a:defRPr sz="1000"/>
          </a:pPr>
          <a:r>
            <a:rPr lang="hr-HR" sz="800" b="1" i="0" u="none" strike="noStrike" baseline="0">
              <a:solidFill>
                <a:srgbClr val="000000"/>
              </a:solidFill>
              <a:latin typeface="Arial"/>
              <a:cs typeface="Arial"/>
            </a:rPr>
            <a:t>ZAGREB, Grahorova 15</a:t>
          </a:r>
        </a:p>
        <a:p>
          <a:pPr algn="l" rtl="0">
            <a:defRPr sz="1000"/>
          </a:pPr>
          <a:r>
            <a:rPr lang="hr-HR" sz="100" b="1" i="0" u="none" strike="noStrike" baseline="0">
              <a:solidFill>
                <a:srgbClr val="000000"/>
              </a:solidFill>
              <a:latin typeface="Arial"/>
              <a:cs typeface="Arial"/>
            </a:rPr>
            <a:t>   </a:t>
          </a:r>
        </a:p>
        <a:p>
          <a:pPr algn="l" rtl="0">
            <a:defRPr sz="1000"/>
          </a:pPr>
          <a:r>
            <a:rPr lang="hr-HR" sz="800" b="0" i="0" u="none" strike="noStrike" baseline="0">
              <a:solidFill>
                <a:srgbClr val="000000"/>
              </a:solidFill>
              <a:latin typeface="Arial"/>
              <a:cs typeface="Arial"/>
            </a:rPr>
            <a:t>OIB: 53768441939</a:t>
          </a:r>
        </a:p>
        <a:p>
          <a:pPr algn="r" rtl="0">
            <a:defRPr sz="1000"/>
          </a:pPr>
          <a:endParaRPr lang="hr-HR" sz="700" b="0" i="0" u="none" strike="noStrike" baseline="0">
            <a:solidFill>
              <a:srgbClr val="000000"/>
            </a:solidFill>
            <a:latin typeface="Arial"/>
            <a:cs typeface="Arial"/>
          </a:endParaRPr>
        </a:p>
      </xdr:txBody>
    </xdr:sp>
    <xdr:clientData/>
  </xdr:twoCellAnchor>
  <xdr:twoCellAnchor>
    <xdr:from>
      <xdr:col>0</xdr:col>
      <xdr:colOff>142875</xdr:colOff>
      <xdr:row>0</xdr:row>
      <xdr:rowOff>66676</xdr:rowOff>
    </xdr:from>
    <xdr:to>
      <xdr:col>1</xdr:col>
      <xdr:colOff>866775</xdr:colOff>
      <xdr:row>1</xdr:row>
      <xdr:rowOff>163430</xdr:rowOff>
    </xdr:to>
    <xdr:pic>
      <xdr:nvPicPr>
        <xdr:cNvPr id="16" name="Picture 24">
          <a:extLst>
            <a:ext uri="{FF2B5EF4-FFF2-40B4-BE49-F238E27FC236}">
              <a16:creationId xmlns:a16="http://schemas.microsoft.com/office/drawing/2014/main" id="{646C88DB-E549-40C3-8047-9FFD54FDCC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66676"/>
          <a:ext cx="1158240" cy="2796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twoCellAnchor>
    <xdr:from>
      <xdr:col>1</xdr:col>
      <xdr:colOff>976747</xdr:colOff>
      <xdr:row>0</xdr:row>
      <xdr:rowOff>53687</xdr:rowOff>
    </xdr:from>
    <xdr:to>
      <xdr:col>1</xdr:col>
      <xdr:colOff>1691121</xdr:colOff>
      <xdr:row>4</xdr:row>
      <xdr:rowOff>109971</xdr:rowOff>
    </xdr:to>
    <xdr:sp macro="" textlink="" fLocksText="0">
      <xdr:nvSpPr>
        <xdr:cNvPr id="17" name="Text Box 25">
          <a:extLst>
            <a:ext uri="{FF2B5EF4-FFF2-40B4-BE49-F238E27FC236}">
              <a16:creationId xmlns:a16="http://schemas.microsoft.com/office/drawing/2014/main" id="{B2EF2CB6-24A6-474A-8D38-F75CC8BA8455}"/>
            </a:ext>
          </a:extLst>
        </xdr:cNvPr>
        <xdr:cNvSpPr txBox="1">
          <a:spLocks noChangeArrowheads="1"/>
        </xdr:cNvSpPr>
      </xdr:nvSpPr>
      <xdr:spPr bwMode="auto">
        <a:xfrm>
          <a:off x="1411087" y="53687"/>
          <a:ext cx="714374" cy="810664"/>
        </a:xfrm>
        <a:prstGeom prst="rect">
          <a:avLst/>
        </a:prstGeom>
        <a:noFill/>
        <a:ln w="9525" cap="flat">
          <a:noFill/>
          <a:round/>
          <a:headEnd/>
          <a:tailEnd/>
        </a:ln>
        <a:effectLst/>
      </xdr:spPr>
      <xdr:txBody>
        <a:bodyPr vertOverflow="clip" wrap="square" lIns="0" tIns="22680" rIns="27360" bIns="0" anchor="t" upright="1"/>
        <a:lstStyle/>
        <a:p>
          <a:pPr algn="l" rtl="0">
            <a:defRPr sz="1000"/>
          </a:pPr>
          <a:r>
            <a:rPr lang="hr-HR" sz="700" b="0" i="0" u="none" strike="noStrike" baseline="0">
              <a:solidFill>
                <a:srgbClr val="000000"/>
              </a:solidFill>
              <a:latin typeface="Arial"/>
              <a:cs typeface="Arial"/>
            </a:rPr>
            <a:t>INVESTITOR :</a:t>
          </a:r>
        </a:p>
        <a:p>
          <a:pPr algn="l" rtl="0">
            <a:defRPr sz="1000"/>
          </a:pPr>
          <a:endParaRPr lang="hr-HR" sz="700" b="0" i="0" u="none" strike="noStrike" baseline="0">
            <a:solidFill>
              <a:srgbClr val="000000"/>
            </a:solidFill>
            <a:latin typeface="Arial"/>
            <a:cs typeface="Arial"/>
          </a:endParaRPr>
        </a:p>
        <a:p>
          <a:pPr algn="l" rtl="0">
            <a:defRPr sz="1000"/>
          </a:pPr>
          <a:r>
            <a:rPr lang="hr-HR" sz="700" b="0" i="0" u="none" strike="noStrike" baseline="0">
              <a:solidFill>
                <a:srgbClr val="000000"/>
              </a:solidFill>
              <a:latin typeface="Arial"/>
              <a:cs typeface="Arial"/>
            </a:rPr>
            <a:t>GRAĐEVINA :</a:t>
          </a:r>
        </a:p>
        <a:p>
          <a:pPr algn="l" rtl="0">
            <a:defRPr sz="1000"/>
          </a:pPr>
          <a:endParaRPr lang="hr-HR" sz="700" b="0" i="0" u="none" strike="noStrike" baseline="0">
            <a:solidFill>
              <a:srgbClr val="000000"/>
            </a:solidFill>
            <a:latin typeface="Arial"/>
            <a:cs typeface="Arial"/>
          </a:endParaRPr>
        </a:p>
        <a:p>
          <a:pPr algn="l" rtl="0">
            <a:defRPr sz="1000"/>
          </a:pPr>
          <a:r>
            <a:rPr lang="hr-HR" sz="1000" b="0" i="0" u="none" strike="noStrike" baseline="0">
              <a:solidFill>
                <a:srgbClr val="000000"/>
              </a:solidFill>
              <a:latin typeface="Arial"/>
              <a:cs typeface="Arial"/>
            </a:rPr>
            <a:t>     </a:t>
          </a:r>
        </a:p>
        <a:p>
          <a:pPr algn="l" rtl="0">
            <a:defRPr sz="1000"/>
          </a:pPr>
          <a:r>
            <a:rPr lang="hr-HR" sz="700" b="0" i="0" u="none" strike="noStrike" baseline="0">
              <a:solidFill>
                <a:srgbClr val="000000"/>
              </a:solidFill>
              <a:latin typeface="Arial"/>
              <a:cs typeface="Arial"/>
            </a:rPr>
            <a:t>PREDMET:</a:t>
          </a:r>
        </a:p>
        <a:p>
          <a:pPr algn="l" rtl="0">
            <a:defRPr sz="1000"/>
          </a:pPr>
          <a:endParaRPr lang="hr-HR" sz="700" b="0" i="0" u="none" strike="noStrike" baseline="0">
            <a:solidFill>
              <a:srgbClr val="000000"/>
            </a:solidFill>
            <a:latin typeface="Arial"/>
            <a:cs typeface="Arial"/>
          </a:endParaRPr>
        </a:p>
      </xdr:txBody>
    </xdr:sp>
    <xdr:clientData/>
  </xdr:twoCellAnchor>
  <xdr:twoCellAnchor>
    <xdr:from>
      <xdr:col>0</xdr:col>
      <xdr:colOff>171450</xdr:colOff>
      <xdr:row>2</xdr:row>
      <xdr:rowOff>38100</xdr:rowOff>
    </xdr:from>
    <xdr:to>
      <xdr:col>1</xdr:col>
      <xdr:colOff>981075</xdr:colOff>
      <xdr:row>3</xdr:row>
      <xdr:rowOff>152400</xdr:rowOff>
    </xdr:to>
    <xdr:sp macro="" textlink="" fLocksText="0">
      <xdr:nvSpPr>
        <xdr:cNvPr id="18" name="Text Box 25">
          <a:extLst>
            <a:ext uri="{FF2B5EF4-FFF2-40B4-BE49-F238E27FC236}">
              <a16:creationId xmlns:a16="http://schemas.microsoft.com/office/drawing/2014/main" id="{E21D959E-18D8-434C-8440-97E2E28302F6}"/>
            </a:ext>
          </a:extLst>
        </xdr:cNvPr>
        <xdr:cNvSpPr txBox="1">
          <a:spLocks noChangeArrowheads="1"/>
        </xdr:cNvSpPr>
      </xdr:nvSpPr>
      <xdr:spPr bwMode="auto">
        <a:xfrm>
          <a:off x="171450" y="403860"/>
          <a:ext cx="1243965" cy="327660"/>
        </a:xfrm>
        <a:prstGeom prst="rect">
          <a:avLst/>
        </a:prstGeom>
        <a:noFill/>
        <a:ln w="9525" cap="flat">
          <a:noFill/>
          <a:round/>
          <a:headEnd/>
          <a:tailEnd/>
        </a:ln>
        <a:effectLst/>
      </xdr:spPr>
      <xdr:txBody>
        <a:bodyPr vertOverflow="clip" wrap="square" lIns="0" tIns="22680" rIns="27360" bIns="0" anchor="t" upright="1"/>
        <a:lstStyle/>
        <a:p>
          <a:pPr algn="l" rtl="0">
            <a:defRPr sz="1000"/>
          </a:pPr>
          <a:r>
            <a:rPr lang="hr-HR" sz="800" b="1" i="0" u="none" strike="noStrike" baseline="0">
              <a:solidFill>
                <a:srgbClr val="000000"/>
              </a:solidFill>
              <a:latin typeface="Arial"/>
              <a:cs typeface="Arial"/>
            </a:rPr>
            <a:t>ZAGREB, Grahorova 15</a:t>
          </a:r>
        </a:p>
        <a:p>
          <a:pPr algn="l" rtl="0">
            <a:defRPr sz="1000"/>
          </a:pPr>
          <a:r>
            <a:rPr lang="hr-HR" sz="100" b="1" i="0" u="none" strike="noStrike" baseline="0">
              <a:solidFill>
                <a:srgbClr val="000000"/>
              </a:solidFill>
              <a:latin typeface="Arial"/>
              <a:cs typeface="Arial"/>
            </a:rPr>
            <a:t>   </a:t>
          </a:r>
        </a:p>
        <a:p>
          <a:pPr algn="l" rtl="0">
            <a:defRPr sz="1000"/>
          </a:pPr>
          <a:r>
            <a:rPr lang="hr-HR" sz="800" b="0" i="0" u="none" strike="noStrike" baseline="0">
              <a:solidFill>
                <a:srgbClr val="000000"/>
              </a:solidFill>
              <a:latin typeface="Arial"/>
              <a:cs typeface="Arial"/>
            </a:rPr>
            <a:t>OIB: 53768441939</a:t>
          </a:r>
        </a:p>
        <a:p>
          <a:pPr algn="r" rtl="0">
            <a:defRPr sz="1000"/>
          </a:pPr>
          <a:endParaRPr lang="hr-HR" sz="700" b="0" i="0" u="none" strike="noStrike" baseline="0">
            <a:solidFill>
              <a:srgbClr val="000000"/>
            </a:solidFill>
            <a:latin typeface="Arial"/>
            <a:cs typeface="Arial"/>
          </a:endParaRPr>
        </a:p>
      </xdr:txBody>
    </xdr:sp>
    <xdr:clientData/>
  </xdr:twoCellAnchor>
  <xdr:twoCellAnchor>
    <xdr:from>
      <xdr:col>0</xdr:col>
      <xdr:colOff>142875</xdr:colOff>
      <xdr:row>0</xdr:row>
      <xdr:rowOff>66676</xdr:rowOff>
    </xdr:from>
    <xdr:to>
      <xdr:col>1</xdr:col>
      <xdr:colOff>866775</xdr:colOff>
      <xdr:row>1</xdr:row>
      <xdr:rowOff>163430</xdr:rowOff>
    </xdr:to>
    <xdr:pic>
      <xdr:nvPicPr>
        <xdr:cNvPr id="19" name="Picture 24">
          <a:extLst>
            <a:ext uri="{FF2B5EF4-FFF2-40B4-BE49-F238E27FC236}">
              <a16:creationId xmlns:a16="http://schemas.microsoft.com/office/drawing/2014/main" id="{8250EE5F-EAD2-4EB8-8146-4B41A3B569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66676"/>
          <a:ext cx="1158240" cy="2796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twoCellAnchor>
    <xdr:from>
      <xdr:col>0</xdr:col>
      <xdr:colOff>171450</xdr:colOff>
      <xdr:row>2</xdr:row>
      <xdr:rowOff>38100</xdr:rowOff>
    </xdr:from>
    <xdr:to>
      <xdr:col>1</xdr:col>
      <xdr:colOff>981075</xdr:colOff>
      <xdr:row>3</xdr:row>
      <xdr:rowOff>152400</xdr:rowOff>
    </xdr:to>
    <xdr:sp macro="" textlink="" fLocksText="0">
      <xdr:nvSpPr>
        <xdr:cNvPr id="20" name="Text Box 25">
          <a:extLst>
            <a:ext uri="{FF2B5EF4-FFF2-40B4-BE49-F238E27FC236}">
              <a16:creationId xmlns:a16="http://schemas.microsoft.com/office/drawing/2014/main" id="{E7B867B4-8078-433D-BACB-4E0B94C88BAC}"/>
            </a:ext>
          </a:extLst>
        </xdr:cNvPr>
        <xdr:cNvSpPr txBox="1">
          <a:spLocks noChangeArrowheads="1"/>
        </xdr:cNvSpPr>
      </xdr:nvSpPr>
      <xdr:spPr bwMode="auto">
        <a:xfrm>
          <a:off x="171450" y="403860"/>
          <a:ext cx="1243965" cy="327660"/>
        </a:xfrm>
        <a:prstGeom prst="rect">
          <a:avLst/>
        </a:prstGeom>
        <a:noFill/>
        <a:ln w="9525" cap="flat">
          <a:noFill/>
          <a:round/>
          <a:headEnd/>
          <a:tailEnd/>
        </a:ln>
        <a:effectLst/>
      </xdr:spPr>
      <xdr:txBody>
        <a:bodyPr vertOverflow="clip" wrap="square" lIns="0" tIns="22680" rIns="27360" bIns="0" anchor="t" upright="1"/>
        <a:lstStyle/>
        <a:p>
          <a:pPr algn="l" rtl="0">
            <a:defRPr sz="1000"/>
          </a:pPr>
          <a:r>
            <a:rPr lang="hr-HR" sz="800" b="1" i="0" u="none" strike="noStrike" baseline="0">
              <a:solidFill>
                <a:srgbClr val="000000"/>
              </a:solidFill>
              <a:latin typeface="Arial"/>
              <a:cs typeface="Arial"/>
            </a:rPr>
            <a:t>ZAGREB, Grahorova 15</a:t>
          </a:r>
        </a:p>
        <a:p>
          <a:pPr algn="l" rtl="0">
            <a:defRPr sz="1000"/>
          </a:pPr>
          <a:r>
            <a:rPr lang="hr-HR" sz="100" b="1" i="0" u="none" strike="noStrike" baseline="0">
              <a:solidFill>
                <a:srgbClr val="000000"/>
              </a:solidFill>
              <a:latin typeface="Arial"/>
              <a:cs typeface="Arial"/>
            </a:rPr>
            <a:t>   </a:t>
          </a:r>
        </a:p>
        <a:p>
          <a:pPr algn="l" rtl="0">
            <a:defRPr sz="1000"/>
          </a:pPr>
          <a:r>
            <a:rPr lang="hr-HR" sz="800" b="0" i="0" u="none" strike="noStrike" baseline="0">
              <a:solidFill>
                <a:srgbClr val="000000"/>
              </a:solidFill>
              <a:latin typeface="Arial"/>
              <a:cs typeface="Arial"/>
            </a:rPr>
            <a:t>OIB: 53768441939</a:t>
          </a:r>
        </a:p>
        <a:p>
          <a:pPr algn="r" rtl="0">
            <a:defRPr sz="1000"/>
          </a:pPr>
          <a:endParaRPr lang="hr-HR" sz="7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CCDA-9DEF-4322-900D-D62B1B8F4C72}">
  <dimension ref="B7:T68"/>
  <sheetViews>
    <sheetView view="pageBreakPreview" topLeftCell="A5" zoomScale="60" zoomScaleNormal="100" workbookViewId="0">
      <selection activeCell="W113" sqref="V113:W114"/>
    </sheetView>
  </sheetViews>
  <sheetFormatPr defaultRowHeight="14.4"/>
  <cols>
    <col min="1" max="1" width="3.5546875" customWidth="1"/>
    <col min="3" max="3" width="5.5546875" customWidth="1"/>
    <col min="11" max="11" width="16.88671875" customWidth="1"/>
    <col min="12" max="12" width="5.6640625" customWidth="1"/>
    <col min="257" max="257" width="7.109375" customWidth="1"/>
    <col min="259" max="259" width="5.5546875" customWidth="1"/>
    <col min="513" max="513" width="7.109375" customWidth="1"/>
    <col min="515" max="515" width="5.5546875" customWidth="1"/>
    <col min="769" max="769" width="7.109375" customWidth="1"/>
    <col min="771" max="771" width="5.5546875" customWidth="1"/>
    <col min="1025" max="1025" width="7.109375" customWidth="1"/>
    <col min="1027" max="1027" width="5.5546875" customWidth="1"/>
    <col min="1281" max="1281" width="7.109375" customWidth="1"/>
    <col min="1283" max="1283" width="5.5546875" customWidth="1"/>
    <col min="1537" max="1537" width="7.109375" customWidth="1"/>
    <col min="1539" max="1539" width="5.5546875" customWidth="1"/>
    <col min="1793" max="1793" width="7.109375" customWidth="1"/>
    <col min="1795" max="1795" width="5.5546875" customWidth="1"/>
    <col min="2049" max="2049" width="7.109375" customWidth="1"/>
    <col min="2051" max="2051" width="5.5546875" customWidth="1"/>
    <col min="2305" max="2305" width="7.109375" customWidth="1"/>
    <col min="2307" max="2307" width="5.5546875" customWidth="1"/>
    <col min="2561" max="2561" width="7.109375" customWidth="1"/>
    <col min="2563" max="2563" width="5.5546875" customWidth="1"/>
    <col min="2817" max="2817" width="7.109375" customWidth="1"/>
    <col min="2819" max="2819" width="5.5546875" customWidth="1"/>
    <col min="3073" max="3073" width="7.109375" customWidth="1"/>
    <col min="3075" max="3075" width="5.5546875" customWidth="1"/>
    <col min="3329" max="3329" width="7.109375" customWidth="1"/>
    <col min="3331" max="3331" width="5.5546875" customWidth="1"/>
    <col min="3585" max="3585" width="7.109375" customWidth="1"/>
    <col min="3587" max="3587" width="5.5546875" customWidth="1"/>
    <col min="3841" max="3841" width="7.109375" customWidth="1"/>
    <col min="3843" max="3843" width="5.5546875" customWidth="1"/>
    <col min="4097" max="4097" width="7.109375" customWidth="1"/>
    <col min="4099" max="4099" width="5.5546875" customWidth="1"/>
    <col min="4353" max="4353" width="7.109375" customWidth="1"/>
    <col min="4355" max="4355" width="5.5546875" customWidth="1"/>
    <col min="4609" max="4609" width="7.109375" customWidth="1"/>
    <col min="4611" max="4611" width="5.5546875" customWidth="1"/>
    <col min="4865" max="4865" width="7.109375" customWidth="1"/>
    <col min="4867" max="4867" width="5.5546875" customWidth="1"/>
    <col min="5121" max="5121" width="7.109375" customWidth="1"/>
    <col min="5123" max="5123" width="5.5546875" customWidth="1"/>
    <col min="5377" max="5377" width="7.109375" customWidth="1"/>
    <col min="5379" max="5379" width="5.5546875" customWidth="1"/>
    <col min="5633" max="5633" width="7.109375" customWidth="1"/>
    <col min="5635" max="5635" width="5.5546875" customWidth="1"/>
    <col min="5889" max="5889" width="7.109375" customWidth="1"/>
    <col min="5891" max="5891" width="5.5546875" customWidth="1"/>
    <col min="6145" max="6145" width="7.109375" customWidth="1"/>
    <col min="6147" max="6147" width="5.5546875" customWidth="1"/>
    <col min="6401" max="6401" width="7.109375" customWidth="1"/>
    <col min="6403" max="6403" width="5.5546875" customWidth="1"/>
    <col min="6657" max="6657" width="7.109375" customWidth="1"/>
    <col min="6659" max="6659" width="5.5546875" customWidth="1"/>
    <col min="6913" max="6913" width="7.109375" customWidth="1"/>
    <col min="6915" max="6915" width="5.5546875" customWidth="1"/>
    <col min="7169" max="7169" width="7.109375" customWidth="1"/>
    <col min="7171" max="7171" width="5.5546875" customWidth="1"/>
    <col min="7425" max="7425" width="7.109375" customWidth="1"/>
    <col min="7427" max="7427" width="5.5546875" customWidth="1"/>
    <col min="7681" max="7681" width="7.109375" customWidth="1"/>
    <col min="7683" max="7683" width="5.5546875" customWidth="1"/>
    <col min="7937" max="7937" width="7.109375" customWidth="1"/>
    <col min="7939" max="7939" width="5.5546875" customWidth="1"/>
    <col min="8193" max="8193" width="7.109375" customWidth="1"/>
    <col min="8195" max="8195" width="5.5546875" customWidth="1"/>
    <col min="8449" max="8449" width="7.109375" customWidth="1"/>
    <col min="8451" max="8451" width="5.5546875" customWidth="1"/>
    <col min="8705" max="8705" width="7.109375" customWidth="1"/>
    <col min="8707" max="8707" width="5.5546875" customWidth="1"/>
    <col min="8961" max="8961" width="7.109375" customWidth="1"/>
    <col min="8963" max="8963" width="5.5546875" customWidth="1"/>
    <col min="9217" max="9217" width="7.109375" customWidth="1"/>
    <col min="9219" max="9219" width="5.5546875" customWidth="1"/>
    <col min="9473" max="9473" width="7.109375" customWidth="1"/>
    <col min="9475" max="9475" width="5.5546875" customWidth="1"/>
    <col min="9729" max="9729" width="7.109375" customWidth="1"/>
    <col min="9731" max="9731" width="5.5546875" customWidth="1"/>
    <col min="9985" max="9985" width="7.109375" customWidth="1"/>
    <col min="9987" max="9987" width="5.5546875" customWidth="1"/>
    <col min="10241" max="10241" width="7.109375" customWidth="1"/>
    <col min="10243" max="10243" width="5.5546875" customWidth="1"/>
    <col min="10497" max="10497" width="7.109375" customWidth="1"/>
    <col min="10499" max="10499" width="5.5546875" customWidth="1"/>
    <col min="10753" max="10753" width="7.109375" customWidth="1"/>
    <col min="10755" max="10755" width="5.5546875" customWidth="1"/>
    <col min="11009" max="11009" width="7.109375" customWidth="1"/>
    <col min="11011" max="11011" width="5.5546875" customWidth="1"/>
    <col min="11265" max="11265" width="7.109375" customWidth="1"/>
    <col min="11267" max="11267" width="5.5546875" customWidth="1"/>
    <col min="11521" max="11521" width="7.109375" customWidth="1"/>
    <col min="11523" max="11523" width="5.5546875" customWidth="1"/>
    <col min="11777" max="11777" width="7.109375" customWidth="1"/>
    <col min="11779" max="11779" width="5.5546875" customWidth="1"/>
    <col min="12033" max="12033" width="7.109375" customWidth="1"/>
    <col min="12035" max="12035" width="5.5546875" customWidth="1"/>
    <col min="12289" max="12289" width="7.109375" customWidth="1"/>
    <col min="12291" max="12291" width="5.5546875" customWidth="1"/>
    <col min="12545" max="12545" width="7.109375" customWidth="1"/>
    <col min="12547" max="12547" width="5.5546875" customWidth="1"/>
    <col min="12801" max="12801" width="7.109375" customWidth="1"/>
    <col min="12803" max="12803" width="5.5546875" customWidth="1"/>
    <col min="13057" max="13057" width="7.109375" customWidth="1"/>
    <col min="13059" max="13059" width="5.5546875" customWidth="1"/>
    <col min="13313" max="13313" width="7.109375" customWidth="1"/>
    <col min="13315" max="13315" width="5.5546875" customWidth="1"/>
    <col min="13569" max="13569" width="7.109375" customWidth="1"/>
    <col min="13571" max="13571" width="5.5546875" customWidth="1"/>
    <col min="13825" max="13825" width="7.109375" customWidth="1"/>
    <col min="13827" max="13827" width="5.5546875" customWidth="1"/>
    <col min="14081" max="14081" width="7.109375" customWidth="1"/>
    <col min="14083" max="14083" width="5.5546875" customWidth="1"/>
    <col min="14337" max="14337" width="7.109375" customWidth="1"/>
    <col min="14339" max="14339" width="5.5546875" customWidth="1"/>
    <col min="14593" max="14593" width="7.109375" customWidth="1"/>
    <col min="14595" max="14595" width="5.5546875" customWidth="1"/>
    <col min="14849" max="14849" width="7.109375" customWidth="1"/>
    <col min="14851" max="14851" width="5.5546875" customWidth="1"/>
    <col min="15105" max="15105" width="7.109375" customWidth="1"/>
    <col min="15107" max="15107" width="5.5546875" customWidth="1"/>
    <col min="15361" max="15361" width="7.109375" customWidth="1"/>
    <col min="15363" max="15363" width="5.5546875" customWidth="1"/>
    <col min="15617" max="15617" width="7.109375" customWidth="1"/>
    <col min="15619" max="15619" width="5.5546875" customWidth="1"/>
    <col min="15873" max="15873" width="7.109375" customWidth="1"/>
    <col min="15875" max="15875" width="5.5546875" customWidth="1"/>
    <col min="16129" max="16129" width="7.109375" customWidth="1"/>
    <col min="16131" max="16131" width="5.5546875" customWidth="1"/>
  </cols>
  <sheetData>
    <row r="7" spans="2:19" ht="9" customHeight="1"/>
    <row r="8" spans="2:19" ht="16.8">
      <c r="B8" s="1" t="s">
        <v>0</v>
      </c>
      <c r="C8" s="2"/>
      <c r="D8" s="3" t="s">
        <v>1</v>
      </c>
      <c r="E8" s="2"/>
      <c r="F8" s="2"/>
      <c r="G8" s="2"/>
      <c r="H8" s="2"/>
    </row>
    <row r="9" spans="2:19">
      <c r="C9" s="2"/>
      <c r="D9" s="4" t="s">
        <v>2</v>
      </c>
      <c r="E9" s="2"/>
      <c r="F9" s="2"/>
      <c r="G9" s="2"/>
      <c r="H9" s="2"/>
    </row>
    <row r="10" spans="2:19">
      <c r="C10" s="2"/>
      <c r="D10" s="4" t="s">
        <v>3</v>
      </c>
      <c r="E10" s="2"/>
      <c r="F10" s="2"/>
      <c r="G10" s="2"/>
      <c r="H10" s="2"/>
    </row>
    <row r="11" spans="2:19" ht="13.5" customHeight="1">
      <c r="C11" s="5"/>
      <c r="D11" s="4" t="s">
        <v>4</v>
      </c>
      <c r="E11" s="5"/>
      <c r="F11" s="5"/>
      <c r="G11" s="5"/>
      <c r="H11" s="2"/>
      <c r="I11" s="6"/>
      <c r="J11" s="6"/>
    </row>
    <row r="12" spans="2:19" ht="13.5" customHeight="1">
      <c r="C12" s="5"/>
      <c r="D12" s="7"/>
      <c r="E12" s="5"/>
      <c r="F12" s="5"/>
      <c r="G12" s="5"/>
      <c r="H12" s="2"/>
      <c r="I12" s="6"/>
      <c r="J12" s="6"/>
    </row>
    <row r="13" spans="2:19" ht="13.5" customHeight="1">
      <c r="B13" s="8"/>
      <c r="C13" s="6"/>
      <c r="D13" s="6"/>
      <c r="E13" s="6"/>
      <c r="F13" s="6"/>
      <c r="G13" s="6"/>
      <c r="H13" s="6"/>
      <c r="I13" s="6"/>
      <c r="J13" s="6"/>
      <c r="K13" s="6"/>
    </row>
    <row r="14" spans="2:19" ht="14.25" customHeight="1">
      <c r="B14" s="9" t="s">
        <v>5</v>
      </c>
      <c r="C14" s="6"/>
      <c r="D14" s="3" t="s">
        <v>6</v>
      </c>
      <c r="E14" s="2"/>
      <c r="F14" s="2"/>
      <c r="G14" s="2"/>
      <c r="H14" s="2"/>
      <c r="I14" s="10"/>
      <c r="J14" s="10"/>
      <c r="K14" s="10"/>
    </row>
    <row r="15" spans="2:19" ht="16.5" customHeight="1">
      <c r="B15" s="6"/>
      <c r="C15" s="6"/>
      <c r="D15" s="3" t="s">
        <v>7</v>
      </c>
      <c r="K15" s="10"/>
    </row>
    <row r="16" spans="2:19" ht="16.5" customHeight="1">
      <c r="B16" s="6"/>
      <c r="C16" s="6"/>
      <c r="D16" s="3" t="s">
        <v>8</v>
      </c>
      <c r="E16" s="2"/>
      <c r="F16" s="2"/>
      <c r="G16" s="2"/>
      <c r="H16" s="2"/>
      <c r="I16" s="10"/>
      <c r="J16" s="10"/>
      <c r="K16" s="10"/>
      <c r="S16" s="3"/>
    </row>
    <row r="17" spans="2:20" ht="15" customHeight="1">
      <c r="D17" s="11"/>
      <c r="E17" s="2"/>
      <c r="F17" s="2"/>
      <c r="G17" s="2"/>
      <c r="H17" s="2"/>
      <c r="I17" s="10"/>
      <c r="J17" s="10"/>
    </row>
    <row r="18" spans="2:20" ht="15" customHeight="1">
      <c r="E18" s="12"/>
      <c r="F18" s="12"/>
      <c r="G18" s="12"/>
    </row>
    <row r="19" spans="2:20" ht="10.5" customHeight="1">
      <c r="B19" s="13"/>
    </row>
    <row r="20" spans="2:20">
      <c r="B20" s="1" t="s">
        <v>9</v>
      </c>
      <c r="D20" s="1" t="s">
        <v>10</v>
      </c>
      <c r="E20" s="6"/>
      <c r="F20" s="6"/>
      <c r="G20" s="6"/>
    </row>
    <row r="21" spans="2:20">
      <c r="B21" s="1"/>
      <c r="D21" s="1" t="s">
        <v>11</v>
      </c>
      <c r="E21" s="6"/>
      <c r="F21" s="6"/>
      <c r="G21" s="6"/>
    </row>
    <row r="22" spans="2:20" ht="11.25" customHeight="1">
      <c r="B22" s="1"/>
      <c r="D22" s="14"/>
    </row>
    <row r="23" spans="2:20" ht="14.25" customHeight="1">
      <c r="B23" s="1"/>
      <c r="D23" s="15"/>
    </row>
    <row r="24" spans="2:20" ht="13.5" customHeight="1">
      <c r="B24" s="16" t="s">
        <v>12</v>
      </c>
      <c r="C24" s="13"/>
      <c r="D24" s="17" t="s">
        <v>13</v>
      </c>
      <c r="E24" s="18"/>
    </row>
    <row r="25" spans="2:20" ht="10.5" customHeight="1">
      <c r="B25" s="13"/>
      <c r="C25" s="13"/>
      <c r="D25" s="19"/>
      <c r="E25" s="13"/>
    </row>
    <row r="26" spans="2:20">
      <c r="B26" s="9" t="s">
        <v>14</v>
      </c>
      <c r="C26" s="13"/>
      <c r="D26" s="17" t="s">
        <v>13</v>
      </c>
      <c r="E26" s="13"/>
    </row>
    <row r="27" spans="2:20" ht="10.5" customHeight="1">
      <c r="B27" s="20"/>
      <c r="C27" s="6"/>
      <c r="D27" s="6"/>
      <c r="E27" s="6"/>
    </row>
    <row r="28" spans="2:20" ht="20.25" customHeight="1">
      <c r="C28" s="21"/>
      <c r="D28" s="21"/>
      <c r="F28" s="22" t="s">
        <v>15</v>
      </c>
    </row>
    <row r="30" spans="2:20" ht="22.8">
      <c r="C30" s="6"/>
      <c r="D30" s="21" t="s">
        <v>16</v>
      </c>
      <c r="E30" s="6"/>
      <c r="F30" s="6"/>
      <c r="G30" s="6"/>
      <c r="H30" s="6"/>
      <c r="I30" s="6"/>
      <c r="J30" s="6"/>
      <c r="K30" s="6"/>
      <c r="T30" t="s">
        <v>17</v>
      </c>
    </row>
    <row r="31" spans="2:20" ht="19.5" customHeight="1">
      <c r="C31" s="6"/>
      <c r="D31" s="21"/>
      <c r="E31" s="6"/>
      <c r="F31" s="22" t="s">
        <v>18</v>
      </c>
      <c r="G31" s="6"/>
      <c r="H31" s="6"/>
      <c r="I31" s="6"/>
      <c r="J31" s="6"/>
      <c r="K31" s="6"/>
    </row>
    <row r="32" spans="2:20" ht="19.5" customHeight="1">
      <c r="C32" s="6"/>
      <c r="D32" s="21"/>
      <c r="F32" s="6"/>
      <c r="G32" s="6"/>
      <c r="H32" s="6"/>
      <c r="I32" s="6"/>
      <c r="J32" s="6"/>
      <c r="K32" s="6"/>
    </row>
    <row r="33" spans="3:11" ht="12" customHeight="1">
      <c r="D33" s="21"/>
      <c r="F33" s="23"/>
      <c r="G33" s="20"/>
    </row>
    <row r="34" spans="3:11" ht="15.6">
      <c r="E34" s="24"/>
    </row>
    <row r="35" spans="3:11" ht="11.25" customHeight="1"/>
    <row r="36" spans="3:11">
      <c r="F36" s="6" t="s">
        <v>19</v>
      </c>
      <c r="H36" s="6" t="s">
        <v>20</v>
      </c>
    </row>
    <row r="39" spans="3:11">
      <c r="F39" s="20" t="s">
        <v>21</v>
      </c>
    </row>
    <row r="40" spans="3:11">
      <c r="F40" s="25" t="s">
        <v>22</v>
      </c>
      <c r="G40" s="25" t="s">
        <v>23</v>
      </c>
      <c r="H40" s="6"/>
    </row>
    <row r="41" spans="3:11" ht="10.5" customHeight="1">
      <c r="G41" s="25"/>
      <c r="H41" s="26"/>
      <c r="I41" s="10"/>
      <c r="J41" s="10"/>
      <c r="K41" s="10"/>
    </row>
    <row r="42" spans="3:11">
      <c r="F42" s="27" t="s">
        <v>24</v>
      </c>
      <c r="G42" s="10"/>
      <c r="H42" s="26"/>
      <c r="I42" s="10"/>
      <c r="J42" s="10"/>
      <c r="K42" s="10"/>
    </row>
    <row r="43" spans="3:11">
      <c r="F43" s="25" t="s">
        <v>22</v>
      </c>
      <c r="G43" s="25" t="s">
        <v>25</v>
      </c>
      <c r="H43" s="6"/>
      <c r="I43" s="6"/>
      <c r="J43" s="6"/>
      <c r="K43" s="10"/>
    </row>
    <row r="44" spans="3:11" ht="10.5" customHeight="1">
      <c r="G44" s="28"/>
      <c r="H44" s="6"/>
      <c r="I44" s="6"/>
      <c r="J44" s="6"/>
      <c r="K44" s="10"/>
    </row>
    <row r="45" spans="3:11">
      <c r="C45" s="29"/>
      <c r="D45" s="29"/>
      <c r="E45" s="29"/>
      <c r="F45" s="27" t="s">
        <v>26</v>
      </c>
      <c r="G45" s="29"/>
      <c r="H45" s="29"/>
      <c r="I45" s="29"/>
      <c r="J45" s="29"/>
      <c r="K45" s="29"/>
    </row>
    <row r="46" spans="3:11">
      <c r="C46" s="29"/>
      <c r="D46" s="29"/>
      <c r="E46" s="29"/>
      <c r="F46" s="30" t="s">
        <v>22</v>
      </c>
      <c r="G46" s="30" t="s">
        <v>27</v>
      </c>
      <c r="H46" s="29"/>
      <c r="I46" s="29"/>
      <c r="J46" s="29"/>
      <c r="K46" s="29"/>
    </row>
    <row r="47" spans="3:11" ht="8.25" customHeight="1">
      <c r="C47" s="29"/>
      <c r="D47" s="29"/>
      <c r="E47" s="29"/>
      <c r="F47" s="29"/>
      <c r="G47" s="29"/>
      <c r="H47" s="29"/>
      <c r="I47" s="29"/>
      <c r="J47" s="29"/>
      <c r="K47" s="29"/>
    </row>
    <row r="48" spans="3:11">
      <c r="C48" s="29"/>
      <c r="D48" s="29"/>
      <c r="E48" s="29"/>
      <c r="F48" s="27" t="s">
        <v>28</v>
      </c>
      <c r="G48" s="29"/>
      <c r="H48" s="29"/>
      <c r="I48" s="29"/>
      <c r="J48" s="29"/>
      <c r="K48" s="29"/>
    </row>
    <row r="49" spans="3:11">
      <c r="C49" s="29"/>
      <c r="D49" s="29"/>
      <c r="E49" s="29"/>
      <c r="F49" s="30" t="s">
        <v>29</v>
      </c>
      <c r="G49" s="30" t="s">
        <v>30</v>
      </c>
      <c r="H49" s="29"/>
      <c r="I49" s="29"/>
      <c r="J49" s="29"/>
      <c r="K49" s="29"/>
    </row>
    <row r="50" spans="3:11" ht="8.25" customHeight="1">
      <c r="C50" s="29"/>
      <c r="D50" s="29"/>
      <c r="E50" s="29"/>
      <c r="F50" s="29"/>
      <c r="G50" s="29"/>
      <c r="H50" s="29"/>
      <c r="I50" s="29"/>
      <c r="J50" s="29"/>
      <c r="K50" s="29"/>
    </row>
    <row r="51" spans="3:11">
      <c r="C51" s="29"/>
      <c r="D51" s="29"/>
      <c r="E51" s="29"/>
      <c r="F51" s="27" t="s">
        <v>31</v>
      </c>
      <c r="G51" s="29"/>
      <c r="H51" s="29"/>
      <c r="I51" s="29"/>
      <c r="J51" s="29"/>
      <c r="K51" s="29"/>
    </row>
    <row r="52" spans="3:11">
      <c r="C52" s="29"/>
      <c r="D52" s="29"/>
      <c r="E52" s="29"/>
      <c r="F52" s="30" t="s">
        <v>22</v>
      </c>
      <c r="G52" s="30" t="s">
        <v>32</v>
      </c>
      <c r="H52" s="29"/>
      <c r="I52" s="29"/>
      <c r="J52" s="29"/>
      <c r="K52" s="29"/>
    </row>
    <row r="53" spans="3:11" ht="8.25" customHeight="1">
      <c r="C53" s="29"/>
      <c r="D53" s="29"/>
      <c r="E53" s="29"/>
      <c r="F53" s="29"/>
      <c r="G53" s="29"/>
      <c r="H53" s="29"/>
      <c r="I53" s="29"/>
      <c r="J53" s="29"/>
      <c r="K53" s="29"/>
    </row>
    <row r="54" spans="3:11">
      <c r="C54" s="29"/>
      <c r="D54" s="29"/>
      <c r="E54" s="29"/>
      <c r="F54" s="27" t="s">
        <v>33</v>
      </c>
      <c r="G54" s="29"/>
      <c r="H54" s="29"/>
      <c r="I54" s="29"/>
      <c r="J54" s="29"/>
      <c r="K54" s="29"/>
    </row>
    <row r="55" spans="3:11">
      <c r="C55" s="29"/>
      <c r="D55" s="29"/>
      <c r="E55" s="29"/>
      <c r="F55" s="30" t="s">
        <v>22</v>
      </c>
      <c r="G55" s="30" t="s">
        <v>34</v>
      </c>
      <c r="H55" s="29"/>
      <c r="I55" s="29"/>
      <c r="J55" s="29"/>
      <c r="K55" s="29"/>
    </row>
    <row r="56" spans="3:11">
      <c r="C56" s="29"/>
      <c r="D56" s="29"/>
      <c r="E56" s="29"/>
      <c r="F56" s="27"/>
      <c r="G56" s="29"/>
      <c r="H56" s="29"/>
      <c r="I56" s="29"/>
      <c r="J56" s="29"/>
      <c r="K56" s="29"/>
    </row>
    <row r="57" spans="3:11">
      <c r="D57" s="29"/>
      <c r="E57" s="29"/>
      <c r="H57" s="6" t="s">
        <v>35</v>
      </c>
    </row>
    <row r="58" spans="3:11">
      <c r="D58" s="29"/>
      <c r="E58" s="29"/>
      <c r="H58" s="6" t="s">
        <v>20</v>
      </c>
    </row>
    <row r="59" spans="3:11">
      <c r="D59" s="29"/>
      <c r="E59" s="6" t="s">
        <v>36</v>
      </c>
      <c r="F59" s="31"/>
    </row>
    <row r="60" spans="3:11">
      <c r="D60" s="29"/>
      <c r="E60" s="29"/>
      <c r="F60" s="6"/>
    </row>
    <row r="61" spans="3:11">
      <c r="D61" s="29"/>
      <c r="E61" s="29"/>
    </row>
    <row r="64" spans="3:11">
      <c r="H64" s="6"/>
      <c r="I64" s="6"/>
      <c r="J64" s="6"/>
    </row>
    <row r="65" spans="5:10">
      <c r="H65" s="6"/>
      <c r="I65" s="6"/>
      <c r="J65" s="6"/>
    </row>
    <row r="66" spans="5:10">
      <c r="E66" s="6"/>
      <c r="H66" s="6"/>
      <c r="I66" s="6"/>
      <c r="J66" s="6"/>
    </row>
    <row r="67" spans="5:10">
      <c r="E67" s="6"/>
    </row>
    <row r="68" spans="5:10">
      <c r="E68" s="6"/>
      <c r="F68" s="6"/>
      <c r="G68" s="6"/>
    </row>
  </sheetData>
  <pageMargins left="0.59055118110236227" right="0.31496062992125984" top="0.35433070866141736" bottom="0.35433070866141736" header="0.31496062992125984" footer="0.31496062992125984"/>
  <pageSetup paperSize="9" scale="9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13D51-5BA5-4B84-A121-FF60A2F5FD2F}">
  <dimension ref="B9:G35"/>
  <sheetViews>
    <sheetView view="pageBreakPreview" topLeftCell="A24" zoomScale="60" zoomScaleNormal="100" workbookViewId="0">
      <selection activeCell="B25" sqref="B25"/>
    </sheetView>
  </sheetViews>
  <sheetFormatPr defaultColWidth="9.109375" defaultRowHeight="14.4"/>
  <cols>
    <col min="1" max="1" width="4.33203125" style="35" customWidth="1"/>
    <col min="2" max="2" width="92.33203125" style="35" customWidth="1"/>
    <col min="3" max="9" width="9.109375" style="35"/>
    <col min="10" max="10" width="10.88671875" style="35" customWidth="1"/>
    <col min="11" max="16384" width="9.109375" style="35"/>
  </cols>
  <sheetData>
    <row r="9" spans="2:7" ht="18.75" customHeight="1">
      <c r="B9" s="32"/>
      <c r="C9" s="32"/>
      <c r="D9" s="32"/>
      <c r="E9" s="32"/>
      <c r="F9" s="33"/>
      <c r="G9" s="34"/>
    </row>
    <row r="10" spans="2:7">
      <c r="B10" s="32" t="s">
        <v>37</v>
      </c>
      <c r="C10" s="36"/>
      <c r="D10" s="37"/>
      <c r="E10" s="38"/>
      <c r="F10" s="38"/>
      <c r="G10" s="34"/>
    </row>
    <row r="11" spans="2:7">
      <c r="B11" s="32"/>
      <c r="C11" s="36"/>
      <c r="D11" s="37"/>
      <c r="E11" s="38"/>
      <c r="F11" s="38"/>
    </row>
    <row r="12" spans="2:7" ht="15" customHeight="1">
      <c r="B12" s="39" t="s">
        <v>38</v>
      </c>
      <c r="C12" s="32"/>
      <c r="D12" s="32"/>
      <c r="E12" s="32"/>
      <c r="F12" s="32"/>
    </row>
    <row r="13" spans="2:7">
      <c r="B13" s="40"/>
      <c r="C13" s="40"/>
      <c r="D13" s="40"/>
      <c r="E13" s="40"/>
      <c r="F13" s="40"/>
    </row>
    <row r="14" spans="2:7" ht="33.75" customHeight="1">
      <c r="B14" s="41" t="s">
        <v>39</v>
      </c>
      <c r="C14" s="42"/>
      <c r="D14" s="42"/>
      <c r="E14" s="42"/>
      <c r="F14" s="42"/>
    </row>
    <row r="15" spans="2:7" ht="11.25" customHeight="1">
      <c r="B15" s="40"/>
      <c r="C15" s="40"/>
      <c r="D15" s="40"/>
      <c r="E15" s="40"/>
      <c r="F15" s="40"/>
    </row>
    <row r="16" spans="2:7" ht="67.5" customHeight="1">
      <c r="B16" s="42" t="s">
        <v>40</v>
      </c>
      <c r="C16" s="42"/>
      <c r="D16" s="42"/>
      <c r="E16" s="42"/>
      <c r="F16" s="42"/>
    </row>
    <row r="17" spans="2:6" ht="41.25" customHeight="1">
      <c r="B17" s="42" t="s">
        <v>41</v>
      </c>
      <c r="C17" s="42"/>
      <c r="D17" s="42"/>
      <c r="E17" s="42"/>
      <c r="F17" s="42"/>
    </row>
    <row r="18" spans="2:6" ht="32.25" customHeight="1">
      <c r="B18" s="42" t="s">
        <v>42</v>
      </c>
      <c r="C18" s="42"/>
      <c r="D18" s="42"/>
      <c r="E18" s="42"/>
      <c r="F18" s="42"/>
    </row>
    <row r="19" spans="2:6" ht="29.25" customHeight="1">
      <c r="B19" s="42" t="s">
        <v>43</v>
      </c>
      <c r="C19" s="42"/>
      <c r="D19" s="42"/>
      <c r="E19" s="42"/>
      <c r="F19" s="42"/>
    </row>
    <row r="20" spans="2:6" ht="63.75" customHeight="1">
      <c r="B20" s="42" t="s">
        <v>44</v>
      </c>
      <c r="C20" s="42"/>
      <c r="D20" s="42"/>
      <c r="E20" s="42"/>
      <c r="F20" s="42"/>
    </row>
    <row r="21" spans="2:6" ht="55.5" customHeight="1">
      <c r="B21" s="42" t="s">
        <v>45</v>
      </c>
      <c r="C21" s="42"/>
      <c r="D21" s="42"/>
      <c r="E21" s="42"/>
      <c r="F21" s="42"/>
    </row>
    <row r="22" spans="2:6" ht="30" customHeight="1">
      <c r="B22" s="42" t="s">
        <v>46</v>
      </c>
      <c r="C22" s="42"/>
      <c r="D22" s="42"/>
      <c r="E22" s="42"/>
      <c r="F22" s="42"/>
    </row>
    <row r="23" spans="2:6" ht="29.25" customHeight="1">
      <c r="B23" s="42" t="s">
        <v>47</v>
      </c>
      <c r="C23" s="42"/>
      <c r="D23" s="42"/>
      <c r="E23" s="42"/>
      <c r="F23" s="42"/>
    </row>
    <row r="24" spans="2:6" ht="31.5" customHeight="1">
      <c r="B24" s="42" t="s">
        <v>48</v>
      </c>
      <c r="C24" s="42"/>
      <c r="D24" s="42"/>
      <c r="E24" s="42"/>
      <c r="F24" s="42"/>
    </row>
    <row r="25" spans="2:6" ht="30" customHeight="1">
      <c r="B25" s="42" t="s">
        <v>49</v>
      </c>
      <c r="C25" s="42"/>
      <c r="D25" s="42"/>
      <c r="E25" s="42"/>
      <c r="F25" s="42"/>
    </row>
    <row r="26" spans="2:6" ht="30.75" customHeight="1">
      <c r="B26" s="42" t="s">
        <v>50</v>
      </c>
      <c r="C26" s="42"/>
      <c r="D26" s="42"/>
      <c r="E26" s="42"/>
      <c r="F26" s="42"/>
    </row>
    <row r="27" spans="2:6" ht="30" customHeight="1">
      <c r="B27" s="42" t="s">
        <v>51</v>
      </c>
      <c r="C27" s="42"/>
      <c r="D27" s="42"/>
      <c r="E27" s="42"/>
      <c r="F27" s="42"/>
    </row>
    <row r="28" spans="2:6">
      <c r="B28" s="43"/>
      <c r="C28" s="43"/>
      <c r="D28" s="43"/>
      <c r="E28" s="43"/>
      <c r="F28" s="43"/>
    </row>
    <row r="29" spans="2:6" ht="39.75" customHeight="1">
      <c r="B29" s="42" t="s">
        <v>52</v>
      </c>
      <c r="C29" s="42"/>
      <c r="D29" s="42"/>
      <c r="E29" s="42"/>
      <c r="F29" s="42"/>
    </row>
    <row r="30" spans="2:6">
      <c r="B30" s="42"/>
      <c r="C30" s="42"/>
      <c r="D30" s="42"/>
      <c r="E30" s="42"/>
      <c r="F30" s="42"/>
    </row>
    <row r="31" spans="2:6" ht="16.5" customHeight="1">
      <c r="B31" s="42" t="s">
        <v>53</v>
      </c>
      <c r="C31" s="42"/>
      <c r="D31" s="42"/>
      <c r="E31" s="42"/>
      <c r="F31" s="42"/>
    </row>
    <row r="32" spans="2:6">
      <c r="B32" s="42"/>
      <c r="C32" s="42"/>
      <c r="D32" s="42"/>
      <c r="E32" s="42"/>
      <c r="F32" s="42"/>
    </row>
    <row r="33" spans="2:6" ht="42.75" customHeight="1">
      <c r="B33" s="42" t="s">
        <v>54</v>
      </c>
      <c r="C33" s="42"/>
      <c r="D33" s="42"/>
      <c r="E33" s="42"/>
      <c r="F33" s="42"/>
    </row>
    <row r="34" spans="2:6">
      <c r="B34" s="42"/>
      <c r="C34" s="42"/>
      <c r="D34" s="42"/>
      <c r="E34" s="42"/>
      <c r="F34" s="42"/>
    </row>
    <row r="35" spans="2:6" ht="42.75" customHeight="1">
      <c r="B35" s="42" t="s">
        <v>55</v>
      </c>
      <c r="C35" s="42"/>
      <c r="D35" s="42"/>
      <c r="E35" s="42"/>
      <c r="F35" s="42"/>
    </row>
  </sheetData>
  <pageMargins left="0.51181102362204722" right="0.31496062992125984" top="0.35433070866141736" bottom="0.35433070866141736" header="0.31496062992125984" footer="0.31496062992125984"/>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419EF-0A7C-44F4-949D-7016CCC90522}">
  <dimension ref="A1:AC382"/>
  <sheetViews>
    <sheetView tabSelected="1" view="pageBreakPreview" topLeftCell="A267" zoomScale="60" zoomScaleNormal="75" workbookViewId="0">
      <selection activeCell="O305" sqref="O305"/>
    </sheetView>
  </sheetViews>
  <sheetFormatPr defaultColWidth="9.109375" defaultRowHeight="14.4"/>
  <cols>
    <col min="1" max="1" width="6.33203125" style="112" customWidth="1"/>
    <col min="2" max="2" width="43.6640625" style="31" customWidth="1"/>
    <col min="3" max="3" width="8.88671875" style="78" customWidth="1"/>
    <col min="4" max="4" width="11.88671875" style="71" customWidth="1"/>
    <col min="5" max="5" width="12.5546875" style="57" customWidth="1"/>
    <col min="6" max="6" width="27.5546875" style="71" customWidth="1"/>
    <col min="7" max="7" width="8.109375" style="50" customWidth="1"/>
    <col min="8" max="8" width="9.109375" style="50"/>
    <col min="9" max="9" width="7.5546875" style="50" customWidth="1"/>
    <col min="10" max="10" width="7" style="50" customWidth="1"/>
    <col min="11" max="11" width="6.88671875" style="50" customWidth="1"/>
    <col min="12" max="12" width="7.44140625" style="50" customWidth="1"/>
    <col min="13" max="13" width="5.5546875" style="50" customWidth="1"/>
    <col min="14" max="14" width="4.6640625" style="50" customWidth="1"/>
    <col min="15" max="15" width="6.88671875" style="50" customWidth="1"/>
    <col min="16" max="19" width="4.6640625" style="50" customWidth="1"/>
    <col min="20" max="20" width="6.6640625" style="50" customWidth="1"/>
    <col min="21" max="21" width="6.109375" style="50" customWidth="1"/>
    <col min="22" max="23" width="4.6640625" style="50" customWidth="1"/>
    <col min="24" max="29" width="4.6640625" style="29" customWidth="1"/>
    <col min="30" max="16384" width="9.109375" style="29"/>
  </cols>
  <sheetData>
    <row r="1" spans="1:29">
      <c r="A1" s="44"/>
      <c r="B1" s="45"/>
      <c r="C1" s="46"/>
      <c r="D1" s="47"/>
      <c r="E1" s="48"/>
      <c r="F1" s="49"/>
    </row>
    <row r="2" spans="1:29">
      <c r="A2" s="53"/>
      <c r="B2" s="54"/>
      <c r="C2" s="55"/>
      <c r="D2" s="56"/>
      <c r="F2" s="58" t="s">
        <v>56</v>
      </c>
    </row>
    <row r="3" spans="1:29" ht="17.25" customHeight="1">
      <c r="A3" s="53"/>
      <c r="B3" s="59"/>
      <c r="C3" s="55"/>
      <c r="D3" s="56"/>
      <c r="F3" s="58" t="s">
        <v>57</v>
      </c>
    </row>
    <row r="4" spans="1:29" ht="14.25" customHeight="1">
      <c r="A4" s="60"/>
      <c r="B4" s="61"/>
      <c r="C4" s="62"/>
      <c r="D4" s="63"/>
      <c r="E4" s="64"/>
      <c r="F4" s="65"/>
    </row>
    <row r="5" spans="1:29">
      <c r="A5" s="66"/>
      <c r="B5" s="67"/>
      <c r="C5" s="68"/>
      <c r="D5" s="69"/>
      <c r="E5" s="70"/>
    </row>
    <row r="6" spans="1:29">
      <c r="A6" s="72"/>
      <c r="B6" s="73"/>
      <c r="C6" s="68"/>
      <c r="D6" s="69"/>
      <c r="E6" s="70"/>
    </row>
    <row r="7" spans="1:29" ht="16.8">
      <c r="A7" s="74"/>
      <c r="B7" s="75" t="s">
        <v>58</v>
      </c>
      <c r="C7" s="68"/>
      <c r="D7" s="69"/>
      <c r="E7" s="76"/>
      <c r="F7" s="77"/>
    </row>
    <row r="8" spans="1:29">
      <c r="A8" s="72"/>
      <c r="B8" s="73"/>
      <c r="E8" s="79"/>
      <c r="F8" s="77"/>
    </row>
    <row r="9" spans="1:29">
      <c r="A9" s="66"/>
      <c r="B9" s="67"/>
      <c r="C9" s="80"/>
      <c r="D9" s="81"/>
      <c r="E9" s="82"/>
      <c r="F9" s="77"/>
    </row>
    <row r="10" spans="1:29" ht="15" customHeight="1">
      <c r="A10" s="83" t="s">
        <v>59</v>
      </c>
      <c r="B10" s="83" t="s">
        <v>60</v>
      </c>
      <c r="C10" s="83" t="s">
        <v>61</v>
      </c>
      <c r="D10" s="84" t="s">
        <v>62</v>
      </c>
      <c r="E10" s="85" t="s">
        <v>63</v>
      </c>
      <c r="F10" s="84" t="s">
        <v>64</v>
      </c>
    </row>
    <row r="11" spans="1:29" ht="15" customHeight="1">
      <c r="A11" s="86"/>
      <c r="B11" s="87"/>
      <c r="C11" s="80"/>
      <c r="D11" s="81"/>
      <c r="E11" s="82"/>
      <c r="F11" s="81"/>
    </row>
    <row r="12" spans="1:29" ht="15" customHeight="1">
      <c r="A12" s="88"/>
      <c r="B12" s="89" t="s">
        <v>65</v>
      </c>
      <c r="C12" s="90"/>
      <c r="D12" s="91"/>
      <c r="E12" s="92"/>
      <c r="F12" s="93"/>
    </row>
    <row r="13" spans="1:29" ht="97.5" customHeight="1">
      <c r="A13" s="88"/>
      <c r="B13" s="94" t="s">
        <v>66</v>
      </c>
      <c r="C13" s="90"/>
      <c r="D13" s="91"/>
      <c r="E13" s="92"/>
      <c r="F13" s="93"/>
    </row>
    <row r="14" spans="1:29" ht="20.25" customHeight="1">
      <c r="A14" s="95"/>
      <c r="B14" s="96"/>
      <c r="C14" s="97"/>
      <c r="D14" s="98"/>
      <c r="E14" s="99"/>
      <c r="F14" s="98"/>
    </row>
    <row r="15" spans="1:29" ht="15" customHeight="1">
      <c r="A15" s="88"/>
      <c r="B15" s="100"/>
      <c r="C15" s="90"/>
      <c r="D15" s="91"/>
      <c r="E15" s="101"/>
      <c r="F15" s="102"/>
    </row>
    <row r="16" spans="1:29" s="52" customFormat="1">
      <c r="A16" s="103"/>
      <c r="B16" s="104"/>
      <c r="C16" s="105"/>
      <c r="D16" s="106"/>
      <c r="E16" s="70"/>
      <c r="F16" s="107"/>
      <c r="G16" s="50"/>
      <c r="H16" s="50"/>
      <c r="I16" s="50"/>
      <c r="J16" s="50"/>
      <c r="K16" s="50"/>
      <c r="L16" s="50"/>
      <c r="M16" s="50"/>
      <c r="N16" s="50"/>
      <c r="O16" s="50"/>
      <c r="P16" s="50"/>
      <c r="Q16" s="50"/>
      <c r="R16" s="50"/>
      <c r="S16" s="50"/>
      <c r="T16" s="50"/>
      <c r="U16" s="50"/>
      <c r="V16" s="50"/>
      <c r="W16" s="50"/>
      <c r="X16" s="29"/>
      <c r="Y16" s="29"/>
      <c r="Z16" s="29"/>
      <c r="AA16" s="29"/>
      <c r="AB16" s="29"/>
      <c r="AC16" s="29"/>
    </row>
    <row r="17" spans="1:29" s="52" customFormat="1">
      <c r="A17" s="103"/>
      <c r="B17" s="104"/>
      <c r="C17" s="105"/>
      <c r="D17" s="106"/>
      <c r="E17" s="70"/>
      <c r="F17" s="107"/>
      <c r="G17" s="50"/>
      <c r="H17" s="50"/>
      <c r="I17" s="50"/>
      <c r="J17" s="50"/>
      <c r="K17" s="50"/>
      <c r="L17" s="50"/>
      <c r="M17" s="50"/>
      <c r="N17" s="50"/>
      <c r="O17" s="50"/>
      <c r="P17" s="50"/>
      <c r="Q17" s="50"/>
      <c r="R17" s="50"/>
      <c r="S17" s="50"/>
      <c r="T17" s="50"/>
      <c r="U17" s="50"/>
      <c r="V17" s="50"/>
      <c r="W17" s="50"/>
      <c r="X17" s="29"/>
      <c r="Y17" s="29"/>
      <c r="Z17" s="29"/>
      <c r="AA17" s="29"/>
      <c r="AB17" s="29"/>
      <c r="AC17" s="29"/>
    </row>
    <row r="18" spans="1:29" s="52" customFormat="1">
      <c r="A18" s="103"/>
      <c r="B18" s="104"/>
      <c r="C18" s="105"/>
      <c r="D18" s="106"/>
      <c r="E18" s="70"/>
      <c r="F18" s="107"/>
      <c r="G18" s="50"/>
      <c r="H18" s="50"/>
      <c r="I18" s="50"/>
      <c r="J18" s="50"/>
      <c r="K18" s="50"/>
      <c r="L18" s="50"/>
      <c r="M18" s="50"/>
      <c r="N18" s="50"/>
      <c r="O18" s="50"/>
      <c r="P18" s="50"/>
      <c r="Q18" s="50"/>
      <c r="R18" s="50"/>
      <c r="S18" s="50"/>
      <c r="T18" s="50"/>
      <c r="U18" s="50"/>
      <c r="V18" s="50"/>
      <c r="W18" s="50"/>
      <c r="X18" s="29"/>
      <c r="Y18" s="29"/>
      <c r="Z18" s="29"/>
      <c r="AA18" s="29"/>
      <c r="AB18" s="29"/>
      <c r="AC18" s="29"/>
    </row>
    <row r="19" spans="1:29" s="50" customFormat="1">
      <c r="A19" s="113"/>
      <c r="B19" s="130"/>
      <c r="C19" s="105"/>
      <c r="D19" s="106"/>
      <c r="E19" s="70"/>
      <c r="F19" s="124"/>
      <c r="X19" s="29"/>
      <c r="Y19" s="29"/>
      <c r="Z19" s="29"/>
      <c r="AA19" s="29"/>
      <c r="AB19" s="29"/>
      <c r="AC19" s="29"/>
    </row>
    <row r="20" spans="1:29" s="50" customFormat="1" ht="16.8">
      <c r="A20" s="132" t="s">
        <v>68</v>
      </c>
      <c r="B20" s="133" t="s">
        <v>69</v>
      </c>
      <c r="C20" s="134"/>
      <c r="D20" s="135"/>
      <c r="E20" s="136"/>
      <c r="F20" s="137"/>
      <c r="X20" s="29"/>
      <c r="Y20" s="29"/>
      <c r="Z20" s="29"/>
      <c r="AA20" s="29"/>
      <c r="AB20" s="29"/>
      <c r="AC20" s="29"/>
    </row>
    <row r="21" spans="1:29" s="50" customFormat="1" ht="16.8">
      <c r="A21" s="132"/>
      <c r="B21" s="133"/>
      <c r="C21" s="134"/>
      <c r="D21" s="135"/>
      <c r="E21" s="136"/>
      <c r="F21" s="137"/>
      <c r="X21" s="29"/>
      <c r="Y21" s="29"/>
      <c r="Z21" s="29"/>
      <c r="AA21" s="29"/>
      <c r="AB21" s="29"/>
      <c r="AC21" s="29"/>
    </row>
    <row r="22" spans="1:29" s="50" customFormat="1">
      <c r="A22" s="117"/>
      <c r="B22" s="138" t="s">
        <v>67</v>
      </c>
      <c r="C22" s="114"/>
      <c r="D22" s="139"/>
      <c r="E22" s="140"/>
      <c r="F22" s="141"/>
      <c r="X22" s="29"/>
      <c r="Y22" s="29"/>
      <c r="Z22" s="29"/>
      <c r="AA22" s="29"/>
      <c r="AB22" s="29"/>
      <c r="AC22" s="29"/>
    </row>
    <row r="23" spans="1:29" s="50" customFormat="1" ht="42" customHeight="1">
      <c r="A23" s="142"/>
      <c r="B23" s="143" t="s">
        <v>70</v>
      </c>
      <c r="C23" s="144"/>
      <c r="D23" s="145"/>
      <c r="E23" s="146"/>
      <c r="F23" s="147"/>
      <c r="X23" s="29"/>
      <c r="Y23" s="29"/>
      <c r="Z23" s="29"/>
      <c r="AA23" s="29"/>
      <c r="AB23" s="29"/>
      <c r="AC23" s="29"/>
    </row>
    <row r="24" spans="1:29" s="52" customFormat="1" ht="132" customHeight="1">
      <c r="A24" s="117"/>
      <c r="B24" s="143" t="s">
        <v>71</v>
      </c>
      <c r="C24" s="114"/>
      <c r="D24" s="148"/>
      <c r="E24" s="149"/>
      <c r="F24" s="150"/>
      <c r="G24" s="50"/>
      <c r="H24" s="50"/>
      <c r="I24" s="50"/>
      <c r="J24" s="50"/>
      <c r="K24" s="50"/>
      <c r="L24" s="50"/>
      <c r="M24" s="50"/>
      <c r="N24" s="50"/>
      <c r="O24" s="50"/>
      <c r="P24" s="50"/>
      <c r="Q24" s="50"/>
      <c r="R24" s="50"/>
      <c r="S24" s="50"/>
      <c r="T24" s="50"/>
      <c r="U24" s="50"/>
      <c r="V24" s="50"/>
      <c r="W24" s="50"/>
      <c r="X24" s="29"/>
      <c r="Y24" s="29"/>
      <c r="Z24" s="29"/>
      <c r="AA24" s="29"/>
      <c r="AB24" s="29"/>
      <c r="AC24" s="29"/>
    </row>
    <row r="25" spans="1:29" s="52" customFormat="1" ht="195" customHeight="1">
      <c r="A25" s="117"/>
      <c r="B25" s="143" t="s">
        <v>72</v>
      </c>
      <c r="C25" s="114"/>
      <c r="D25" s="148"/>
      <c r="E25" s="149"/>
      <c r="F25" s="150"/>
      <c r="G25" s="50"/>
      <c r="H25" s="50"/>
      <c r="I25" s="50"/>
      <c r="J25" s="50"/>
      <c r="K25" s="50"/>
      <c r="L25" s="50"/>
      <c r="M25" s="50"/>
      <c r="N25" s="50"/>
      <c r="O25" s="50"/>
      <c r="P25" s="50"/>
      <c r="Q25" s="50"/>
      <c r="R25" s="50"/>
      <c r="S25" s="50"/>
      <c r="T25" s="50"/>
      <c r="U25" s="50"/>
      <c r="V25" s="50"/>
      <c r="W25" s="50"/>
      <c r="X25" s="29"/>
      <c r="Y25" s="29"/>
      <c r="Z25" s="29"/>
      <c r="AA25" s="29"/>
      <c r="AB25" s="29"/>
      <c r="AC25" s="29"/>
    </row>
    <row r="26" spans="1:29" s="52" customFormat="1">
      <c r="A26" s="103"/>
      <c r="B26" s="151" t="s">
        <v>73</v>
      </c>
      <c r="C26" s="114"/>
      <c r="D26" s="148"/>
      <c r="E26" s="149"/>
      <c r="F26" s="150"/>
      <c r="G26" s="50"/>
      <c r="H26" s="50"/>
      <c r="I26" s="50"/>
      <c r="J26" s="50"/>
      <c r="K26" s="50"/>
      <c r="L26" s="50"/>
      <c r="M26" s="50"/>
      <c r="N26" s="50"/>
      <c r="O26" s="50"/>
      <c r="P26" s="50"/>
      <c r="Q26" s="50"/>
      <c r="R26" s="50"/>
      <c r="S26" s="50"/>
      <c r="T26" s="50"/>
      <c r="U26" s="50"/>
      <c r="V26" s="50"/>
      <c r="W26" s="50"/>
      <c r="X26" s="29"/>
      <c r="Y26" s="29"/>
      <c r="Z26" s="29"/>
      <c r="AA26" s="29"/>
      <c r="AB26" s="29"/>
      <c r="AC26" s="29"/>
    </row>
    <row r="27" spans="1:29" s="52" customFormat="1" ht="172.5" customHeight="1">
      <c r="A27" s="103"/>
      <c r="B27" s="151" t="s">
        <v>74</v>
      </c>
      <c r="C27" s="114"/>
      <c r="D27" s="148"/>
      <c r="E27" s="149"/>
      <c r="F27" s="150"/>
      <c r="G27" s="50"/>
      <c r="H27" s="50"/>
      <c r="I27" s="50"/>
      <c r="J27" s="50"/>
      <c r="K27" s="50"/>
      <c r="L27" s="50"/>
      <c r="M27" s="50"/>
      <c r="N27" s="50"/>
      <c r="O27" s="50"/>
      <c r="P27" s="50"/>
      <c r="Q27" s="50"/>
      <c r="R27" s="50"/>
      <c r="S27" s="50"/>
      <c r="T27" s="50"/>
      <c r="U27" s="50"/>
      <c r="V27" s="50"/>
      <c r="W27" s="50"/>
      <c r="X27" s="29"/>
      <c r="Y27" s="29"/>
      <c r="Z27" s="29"/>
      <c r="AA27" s="29"/>
      <c r="AB27" s="29"/>
      <c r="AC27" s="29"/>
    </row>
    <row r="28" spans="1:29" s="52" customFormat="1" ht="57.75" customHeight="1">
      <c r="A28" s="103"/>
      <c r="B28" s="151" t="s">
        <v>75</v>
      </c>
      <c r="C28" s="114"/>
      <c r="D28" s="148"/>
      <c r="E28" s="149"/>
      <c r="F28" s="150"/>
      <c r="G28" s="50"/>
      <c r="H28" s="50"/>
      <c r="I28" s="50"/>
      <c r="J28" s="50"/>
      <c r="K28" s="50"/>
      <c r="L28" s="50"/>
      <c r="M28" s="50"/>
      <c r="N28" s="50"/>
      <c r="O28" s="50"/>
      <c r="P28" s="50"/>
      <c r="Q28" s="50"/>
      <c r="R28" s="50"/>
      <c r="S28" s="50"/>
      <c r="T28" s="50"/>
      <c r="U28" s="50"/>
      <c r="V28" s="50"/>
      <c r="W28" s="50"/>
      <c r="X28" s="29"/>
      <c r="Y28" s="29"/>
      <c r="Z28" s="29"/>
      <c r="AA28" s="29"/>
      <c r="AB28" s="29"/>
      <c r="AC28" s="29"/>
    </row>
    <row r="29" spans="1:29" s="52" customFormat="1" ht="54.75" customHeight="1">
      <c r="A29" s="103"/>
      <c r="B29" s="151" t="s">
        <v>76</v>
      </c>
      <c r="C29" s="114"/>
      <c r="D29" s="148"/>
      <c r="E29" s="149"/>
      <c r="F29" s="150"/>
      <c r="G29" s="50"/>
      <c r="H29" s="50"/>
      <c r="I29" s="50"/>
      <c r="J29" s="50"/>
      <c r="K29" s="50"/>
      <c r="L29" s="50"/>
      <c r="M29" s="50"/>
      <c r="N29" s="50"/>
      <c r="O29" s="50"/>
      <c r="P29" s="50"/>
      <c r="Q29" s="50"/>
      <c r="R29" s="50"/>
      <c r="S29" s="50"/>
      <c r="T29" s="50"/>
      <c r="U29" s="50"/>
      <c r="V29" s="50"/>
      <c r="W29" s="50"/>
      <c r="X29" s="29"/>
      <c r="Y29" s="29"/>
      <c r="Z29" s="29"/>
      <c r="AA29" s="29"/>
      <c r="AB29" s="29"/>
      <c r="AC29" s="29"/>
    </row>
    <row r="30" spans="1:29" s="52" customFormat="1" ht="35.25" customHeight="1">
      <c r="A30" s="103"/>
      <c r="B30" s="151" t="s">
        <v>77</v>
      </c>
      <c r="C30" s="114"/>
      <c r="D30" s="148"/>
      <c r="E30" s="149"/>
      <c r="F30" s="150"/>
      <c r="G30" s="50"/>
      <c r="H30" s="50"/>
      <c r="I30" s="50"/>
      <c r="J30" s="50"/>
      <c r="K30" s="50"/>
      <c r="L30" s="50"/>
      <c r="M30" s="50"/>
      <c r="N30" s="50"/>
      <c r="O30" s="50"/>
      <c r="P30" s="50"/>
      <c r="Q30" s="50"/>
      <c r="R30" s="50"/>
      <c r="S30" s="50"/>
      <c r="T30" s="50"/>
      <c r="U30" s="50"/>
      <c r="V30" s="50"/>
      <c r="W30" s="50"/>
      <c r="X30" s="29"/>
      <c r="Y30" s="29"/>
      <c r="Z30" s="29"/>
      <c r="AA30" s="29"/>
      <c r="AB30" s="29"/>
      <c r="AC30" s="29"/>
    </row>
    <row r="31" spans="1:29" s="52" customFormat="1" ht="32.25" customHeight="1">
      <c r="A31" s="103"/>
      <c r="B31" s="151" t="s">
        <v>78</v>
      </c>
      <c r="C31" s="114"/>
      <c r="D31" s="148"/>
      <c r="E31" s="149"/>
      <c r="F31" s="150"/>
      <c r="G31" s="50"/>
      <c r="H31" s="50"/>
      <c r="I31" s="50"/>
      <c r="J31" s="50"/>
      <c r="K31" s="50"/>
      <c r="L31" s="50"/>
      <c r="M31" s="50"/>
      <c r="N31" s="50"/>
      <c r="O31" s="50"/>
      <c r="P31" s="50"/>
      <c r="Q31" s="50"/>
      <c r="R31" s="50"/>
      <c r="S31" s="50"/>
      <c r="T31" s="50"/>
      <c r="U31" s="50"/>
      <c r="V31" s="50"/>
      <c r="W31" s="50"/>
      <c r="X31" s="29"/>
      <c r="Y31" s="29"/>
      <c r="Z31" s="29"/>
      <c r="AA31" s="29"/>
      <c r="AB31" s="29"/>
      <c r="AC31" s="29"/>
    </row>
    <row r="32" spans="1:29" s="52" customFormat="1" ht="147" customHeight="1">
      <c r="A32" s="103"/>
      <c r="B32" s="151" t="s">
        <v>79</v>
      </c>
      <c r="C32" s="114"/>
      <c r="D32" s="148"/>
      <c r="E32" s="149"/>
      <c r="F32" s="150"/>
      <c r="G32" s="50"/>
      <c r="H32" s="50"/>
      <c r="I32" s="50"/>
      <c r="J32" s="50"/>
      <c r="K32" s="50"/>
      <c r="L32" s="50"/>
      <c r="M32" s="50"/>
      <c r="N32" s="50"/>
      <c r="O32" s="50"/>
      <c r="P32" s="50"/>
      <c r="Q32" s="50"/>
      <c r="R32" s="50"/>
      <c r="S32" s="50"/>
      <c r="T32" s="50"/>
      <c r="U32" s="50"/>
      <c r="V32" s="50"/>
      <c r="W32" s="50"/>
      <c r="X32" s="29"/>
      <c r="Y32" s="29"/>
      <c r="Z32" s="29"/>
      <c r="AA32" s="29"/>
      <c r="AB32" s="29"/>
      <c r="AC32" s="29"/>
    </row>
    <row r="33" spans="1:29" s="52" customFormat="1" ht="245.25" customHeight="1">
      <c r="A33" s="103"/>
      <c r="B33" s="143" t="s">
        <v>80</v>
      </c>
      <c r="C33" s="114"/>
      <c r="D33" s="148"/>
      <c r="E33" s="149"/>
      <c r="F33" s="150"/>
      <c r="G33" s="50"/>
      <c r="H33" s="50"/>
      <c r="I33" s="50"/>
      <c r="J33" s="50"/>
      <c r="K33" s="50"/>
      <c r="L33" s="50"/>
      <c r="M33" s="50"/>
      <c r="N33" s="50"/>
      <c r="O33" s="50"/>
      <c r="P33" s="50"/>
      <c r="Q33" s="50"/>
      <c r="R33" s="50"/>
      <c r="S33" s="50"/>
      <c r="T33" s="50"/>
      <c r="U33" s="50"/>
      <c r="V33" s="50"/>
      <c r="W33" s="50"/>
      <c r="X33" s="29"/>
      <c r="Y33" s="29"/>
      <c r="Z33" s="29"/>
      <c r="AA33" s="29"/>
      <c r="AB33" s="29"/>
      <c r="AC33" s="29"/>
    </row>
    <row r="34" spans="1:29" s="52" customFormat="1" ht="105.75" customHeight="1">
      <c r="A34" s="103"/>
      <c r="B34" s="151" t="s">
        <v>81</v>
      </c>
      <c r="C34" s="114"/>
      <c r="D34" s="148"/>
      <c r="E34" s="149"/>
      <c r="F34" s="150"/>
      <c r="G34" s="50"/>
      <c r="H34" s="50"/>
      <c r="I34" s="50"/>
      <c r="J34" s="50"/>
      <c r="K34" s="50"/>
      <c r="L34" s="50"/>
      <c r="M34" s="50"/>
      <c r="N34" s="50"/>
      <c r="O34" s="50"/>
      <c r="P34" s="50"/>
      <c r="Q34" s="50"/>
      <c r="R34" s="50"/>
      <c r="S34" s="50"/>
      <c r="T34" s="50"/>
      <c r="U34" s="50"/>
      <c r="V34" s="50"/>
      <c r="W34" s="50"/>
      <c r="X34" s="29"/>
      <c r="Y34" s="29"/>
      <c r="Z34" s="29"/>
      <c r="AA34" s="29"/>
      <c r="AB34" s="29"/>
      <c r="AC34" s="29"/>
    </row>
    <row r="35" spans="1:29" s="52" customFormat="1" ht="70.5" customHeight="1">
      <c r="A35" s="103"/>
      <c r="B35" s="151" t="s">
        <v>82</v>
      </c>
      <c r="C35" s="114"/>
      <c r="D35" s="148"/>
      <c r="E35" s="149"/>
      <c r="F35" s="150"/>
      <c r="G35" s="50"/>
      <c r="H35" s="50"/>
      <c r="I35" s="50"/>
      <c r="J35" s="50"/>
      <c r="K35" s="50"/>
      <c r="L35" s="50"/>
      <c r="M35" s="50"/>
      <c r="N35" s="50"/>
      <c r="O35" s="50"/>
      <c r="P35" s="50"/>
      <c r="Q35" s="50"/>
      <c r="R35" s="50"/>
      <c r="S35" s="50"/>
      <c r="T35" s="50"/>
      <c r="U35" s="50"/>
      <c r="V35" s="50"/>
      <c r="W35" s="50"/>
      <c r="X35" s="29"/>
      <c r="Y35" s="29"/>
      <c r="Z35" s="29"/>
      <c r="AA35" s="29"/>
      <c r="AB35" s="29"/>
      <c r="AC35" s="29"/>
    </row>
    <row r="36" spans="1:29" s="52" customFormat="1" ht="68.25" customHeight="1">
      <c r="A36" s="103"/>
      <c r="B36" s="151" t="s">
        <v>83</v>
      </c>
      <c r="C36" s="114"/>
      <c r="D36" s="148"/>
      <c r="E36" s="149"/>
      <c r="F36" s="150"/>
      <c r="G36" s="50"/>
      <c r="H36" s="50"/>
      <c r="I36" s="50"/>
      <c r="J36" s="50"/>
      <c r="K36" s="50"/>
      <c r="L36" s="50"/>
      <c r="M36" s="50"/>
      <c r="N36" s="50"/>
      <c r="O36" s="50"/>
      <c r="P36" s="50"/>
      <c r="Q36" s="50"/>
      <c r="R36" s="50"/>
      <c r="S36" s="50"/>
      <c r="T36" s="50"/>
      <c r="U36" s="50"/>
      <c r="V36" s="50"/>
      <c r="W36" s="50"/>
      <c r="X36" s="29"/>
      <c r="Y36" s="29"/>
      <c r="Z36" s="29"/>
      <c r="AA36" s="29"/>
      <c r="AB36" s="29"/>
      <c r="AC36" s="29"/>
    </row>
    <row r="37" spans="1:29" s="52" customFormat="1">
      <c r="A37" s="103"/>
      <c r="B37" s="152"/>
      <c r="C37" s="114"/>
      <c r="D37" s="148"/>
      <c r="E37" s="149"/>
      <c r="F37" s="150"/>
      <c r="G37" s="50"/>
      <c r="H37" s="50"/>
      <c r="I37" s="50"/>
      <c r="J37" s="50"/>
      <c r="K37" s="50"/>
      <c r="L37" s="50"/>
      <c r="M37" s="50"/>
      <c r="N37" s="50"/>
      <c r="O37" s="50"/>
      <c r="P37" s="50"/>
      <c r="Q37" s="50"/>
      <c r="R37" s="50"/>
      <c r="S37" s="50"/>
      <c r="T37" s="50"/>
      <c r="U37" s="50"/>
      <c r="V37" s="50"/>
      <c r="W37" s="50"/>
      <c r="X37" s="29"/>
      <c r="Y37" s="29"/>
      <c r="Z37" s="29"/>
      <c r="AA37" s="29"/>
      <c r="AB37" s="29"/>
      <c r="AC37" s="29"/>
    </row>
    <row r="38" spans="1:29" s="52" customFormat="1">
      <c r="A38" s="103"/>
      <c r="B38" s="151" t="s">
        <v>84</v>
      </c>
      <c r="C38" s="153"/>
      <c r="D38" s="106"/>
      <c r="E38" s="70"/>
      <c r="F38" s="107"/>
      <c r="G38" s="50"/>
      <c r="H38" s="50"/>
      <c r="I38" s="50"/>
      <c r="J38" s="50"/>
      <c r="K38" s="50"/>
      <c r="L38" s="50"/>
      <c r="M38" s="50"/>
      <c r="N38" s="50"/>
      <c r="O38" s="50"/>
      <c r="P38" s="50"/>
      <c r="Q38" s="50"/>
      <c r="R38" s="50"/>
      <c r="S38" s="50"/>
      <c r="T38" s="50"/>
      <c r="U38" s="50"/>
      <c r="V38" s="50"/>
      <c r="W38" s="50"/>
      <c r="X38" s="29"/>
      <c r="Y38" s="29"/>
      <c r="Z38" s="29"/>
      <c r="AA38" s="29"/>
      <c r="AB38" s="29"/>
      <c r="AC38" s="29"/>
    </row>
    <row r="39" spans="1:29" s="52" customFormat="1" ht="87" customHeight="1">
      <c r="A39" s="103"/>
      <c r="B39" s="151" t="s">
        <v>85</v>
      </c>
      <c r="C39" s="114"/>
      <c r="D39" s="148"/>
      <c r="E39" s="149"/>
      <c r="F39" s="150"/>
      <c r="G39" s="50"/>
      <c r="H39" s="50"/>
      <c r="I39" s="50"/>
      <c r="J39" s="50"/>
      <c r="K39" s="50"/>
      <c r="L39" s="50"/>
      <c r="M39" s="50"/>
      <c r="N39" s="50"/>
      <c r="O39" s="50"/>
      <c r="P39" s="50"/>
      <c r="Q39" s="50"/>
      <c r="R39" s="50"/>
      <c r="S39" s="50"/>
      <c r="T39" s="50"/>
      <c r="U39" s="50"/>
      <c r="V39" s="50"/>
      <c r="W39" s="50"/>
      <c r="X39" s="29"/>
      <c r="Y39" s="29"/>
      <c r="Z39" s="29"/>
      <c r="AA39" s="29"/>
      <c r="AB39" s="29"/>
      <c r="AC39" s="29"/>
    </row>
    <row r="40" spans="1:29" s="52" customFormat="1" ht="169.5" customHeight="1">
      <c r="A40" s="103"/>
      <c r="B40" s="151" t="s">
        <v>86</v>
      </c>
      <c r="C40" s="114"/>
      <c r="D40" s="148"/>
      <c r="E40" s="149"/>
      <c r="F40" s="150"/>
      <c r="G40" s="50"/>
      <c r="H40" s="50"/>
      <c r="I40" s="50"/>
      <c r="J40" s="50"/>
      <c r="K40" s="50"/>
      <c r="L40" s="50"/>
      <c r="M40" s="50"/>
      <c r="N40" s="50"/>
      <c r="O40" s="50"/>
      <c r="P40" s="50"/>
      <c r="Q40" s="50"/>
      <c r="R40" s="50"/>
      <c r="S40" s="50"/>
      <c r="T40" s="50"/>
      <c r="U40" s="50"/>
      <c r="V40" s="50"/>
      <c r="W40" s="50"/>
      <c r="X40" s="29"/>
      <c r="Y40" s="29"/>
      <c r="Z40" s="29"/>
      <c r="AA40" s="29"/>
      <c r="AB40" s="29"/>
      <c r="AC40" s="29"/>
    </row>
    <row r="41" spans="1:29" s="52" customFormat="1" ht="96.75" customHeight="1">
      <c r="A41" s="103"/>
      <c r="B41" s="151" t="s">
        <v>87</v>
      </c>
      <c r="C41" s="114"/>
      <c r="D41" s="139"/>
      <c r="E41" s="140"/>
      <c r="F41" s="141"/>
      <c r="G41" s="50"/>
      <c r="H41" s="50"/>
      <c r="I41" s="50"/>
      <c r="J41" s="50"/>
      <c r="K41" s="50"/>
      <c r="L41" s="50"/>
      <c r="M41" s="50"/>
      <c r="N41" s="50"/>
      <c r="O41" s="50"/>
      <c r="P41" s="50"/>
      <c r="Q41" s="50"/>
      <c r="R41" s="50"/>
      <c r="S41" s="50"/>
      <c r="T41" s="50"/>
      <c r="U41" s="50"/>
      <c r="V41" s="50"/>
      <c r="W41" s="50"/>
      <c r="X41" s="29"/>
      <c r="Y41" s="29"/>
      <c r="Z41" s="29"/>
      <c r="AA41" s="29"/>
      <c r="AB41" s="29"/>
      <c r="AC41" s="29"/>
    </row>
    <row r="42" spans="1:29" s="52" customFormat="1" ht="66.75" customHeight="1">
      <c r="A42" s="103"/>
      <c r="B42" s="151" t="s">
        <v>88</v>
      </c>
      <c r="C42" s="114"/>
      <c r="D42" s="139"/>
      <c r="E42" s="140"/>
      <c r="F42" s="141"/>
      <c r="G42" s="50"/>
      <c r="H42" s="50"/>
      <c r="I42" s="50"/>
      <c r="J42" s="50"/>
      <c r="K42" s="50"/>
      <c r="L42" s="50"/>
      <c r="M42" s="50"/>
      <c r="N42" s="50"/>
      <c r="O42" s="50"/>
      <c r="P42" s="50"/>
      <c r="Q42" s="50"/>
      <c r="R42" s="50"/>
      <c r="S42" s="50"/>
      <c r="T42" s="50"/>
      <c r="U42" s="50"/>
      <c r="V42" s="50"/>
      <c r="W42" s="50"/>
      <c r="X42" s="29"/>
      <c r="Y42" s="29"/>
      <c r="Z42" s="29"/>
      <c r="AA42" s="29"/>
      <c r="AB42" s="29"/>
      <c r="AC42" s="29"/>
    </row>
    <row r="43" spans="1:29" s="52" customFormat="1" ht="79.2">
      <c r="A43" s="103"/>
      <c r="B43" s="151" t="s">
        <v>89</v>
      </c>
      <c r="C43" s="114"/>
      <c r="D43" s="139"/>
      <c r="E43" s="140"/>
      <c r="F43" s="141"/>
      <c r="G43" s="50"/>
      <c r="H43" s="50"/>
      <c r="I43" s="50"/>
      <c r="J43" s="50"/>
      <c r="K43" s="50"/>
      <c r="L43" s="50"/>
      <c r="M43" s="50"/>
      <c r="N43" s="50"/>
      <c r="O43" s="50"/>
      <c r="P43" s="50"/>
      <c r="Q43" s="50"/>
      <c r="R43" s="50"/>
      <c r="S43" s="50"/>
      <c r="T43" s="50"/>
      <c r="U43" s="50"/>
      <c r="V43" s="50"/>
      <c r="W43" s="50"/>
      <c r="X43" s="29"/>
      <c r="Y43" s="29"/>
      <c r="Z43" s="29"/>
      <c r="AA43" s="29"/>
      <c r="AB43" s="29"/>
      <c r="AC43" s="29"/>
    </row>
    <row r="44" spans="1:29" s="52" customFormat="1" ht="46.5" customHeight="1">
      <c r="A44" s="103"/>
      <c r="B44" s="151" t="s">
        <v>90</v>
      </c>
      <c r="C44" s="114"/>
      <c r="D44" s="139"/>
      <c r="E44" s="140"/>
      <c r="F44" s="141"/>
      <c r="G44" s="50"/>
      <c r="H44" s="50"/>
      <c r="I44" s="50"/>
      <c r="J44" s="50"/>
      <c r="K44" s="50"/>
      <c r="L44" s="50"/>
      <c r="M44" s="50"/>
      <c r="N44" s="50"/>
      <c r="O44" s="50"/>
      <c r="P44" s="50"/>
      <c r="Q44" s="50"/>
      <c r="R44" s="50"/>
      <c r="S44" s="50"/>
      <c r="T44" s="50"/>
      <c r="U44" s="50"/>
      <c r="V44" s="50"/>
      <c r="W44" s="50"/>
      <c r="X44" s="29"/>
      <c r="Y44" s="29"/>
      <c r="Z44" s="29"/>
      <c r="AA44" s="29"/>
      <c r="AB44" s="29"/>
      <c r="AC44" s="29"/>
    </row>
    <row r="45" spans="1:29" s="52" customFormat="1" ht="52.8">
      <c r="A45" s="103"/>
      <c r="B45" s="151" t="s">
        <v>91</v>
      </c>
      <c r="C45" s="114"/>
      <c r="D45" s="139"/>
      <c r="E45" s="140"/>
      <c r="F45" s="141"/>
      <c r="G45" s="50"/>
      <c r="H45" s="50"/>
      <c r="I45" s="50"/>
      <c r="J45" s="50"/>
      <c r="K45" s="50"/>
      <c r="L45" s="50"/>
      <c r="M45" s="50"/>
      <c r="N45" s="50"/>
      <c r="O45" s="50"/>
      <c r="P45" s="50"/>
      <c r="Q45" s="50"/>
      <c r="R45" s="50"/>
      <c r="S45" s="50"/>
      <c r="T45" s="50"/>
      <c r="U45" s="50"/>
      <c r="V45" s="50"/>
      <c r="W45" s="50"/>
      <c r="X45" s="29"/>
      <c r="Y45" s="29"/>
      <c r="Z45" s="29"/>
      <c r="AA45" s="29"/>
      <c r="AB45" s="29"/>
      <c r="AC45" s="29"/>
    </row>
    <row r="46" spans="1:29" s="52" customFormat="1" ht="6" customHeight="1">
      <c r="A46" s="103"/>
      <c r="B46" s="111"/>
      <c r="C46" s="114"/>
      <c r="D46" s="139"/>
      <c r="E46" s="140"/>
      <c r="F46" s="141"/>
      <c r="G46" s="50"/>
      <c r="H46" s="50"/>
      <c r="I46" s="50"/>
      <c r="J46" s="50"/>
      <c r="K46" s="50"/>
      <c r="L46" s="50"/>
      <c r="M46" s="50"/>
      <c r="N46" s="50"/>
      <c r="O46" s="50"/>
      <c r="P46" s="50"/>
      <c r="Q46" s="50"/>
      <c r="R46" s="50"/>
      <c r="S46" s="50"/>
      <c r="T46" s="50"/>
      <c r="U46" s="50"/>
      <c r="V46" s="50"/>
      <c r="W46" s="50"/>
      <c r="X46" s="29"/>
      <c r="Y46" s="29"/>
      <c r="Z46" s="29"/>
      <c r="AA46" s="29"/>
      <c r="AB46" s="29"/>
      <c r="AC46" s="29"/>
    </row>
    <row r="47" spans="1:29" s="52" customFormat="1" ht="57.75" customHeight="1">
      <c r="A47" s="103"/>
      <c r="B47" s="151" t="s">
        <v>92</v>
      </c>
      <c r="C47" s="114"/>
      <c r="D47" s="139"/>
      <c r="E47" s="140"/>
      <c r="F47" s="141"/>
      <c r="G47" s="50"/>
      <c r="H47" s="50"/>
      <c r="I47" s="50"/>
      <c r="J47" s="50"/>
      <c r="K47" s="50"/>
      <c r="L47" s="50"/>
      <c r="M47" s="50"/>
      <c r="N47" s="50"/>
      <c r="O47" s="50"/>
      <c r="P47" s="50"/>
      <c r="Q47" s="50"/>
      <c r="R47" s="50"/>
      <c r="S47" s="50"/>
      <c r="T47" s="50"/>
      <c r="U47" s="50"/>
      <c r="V47" s="50"/>
      <c r="W47" s="50"/>
      <c r="X47" s="29"/>
      <c r="Y47" s="29"/>
      <c r="Z47" s="29"/>
      <c r="AA47" s="29"/>
      <c r="AB47" s="29"/>
      <c r="AC47" s="29"/>
    </row>
    <row r="48" spans="1:29" s="52" customFormat="1" ht="54.75" customHeight="1">
      <c r="A48" s="103"/>
      <c r="B48" s="151" t="s">
        <v>93</v>
      </c>
      <c r="C48" s="114"/>
      <c r="D48" s="139"/>
      <c r="E48" s="140"/>
      <c r="F48" s="141"/>
      <c r="G48" s="50"/>
      <c r="H48" s="50"/>
      <c r="I48" s="50"/>
      <c r="J48" s="50"/>
      <c r="K48" s="50"/>
      <c r="L48" s="50"/>
      <c r="M48" s="50"/>
      <c r="N48" s="50"/>
      <c r="O48" s="50"/>
      <c r="P48" s="50"/>
      <c r="Q48" s="50"/>
      <c r="R48" s="50"/>
      <c r="S48" s="50"/>
      <c r="T48" s="50"/>
      <c r="U48" s="50"/>
      <c r="V48" s="50"/>
      <c r="W48" s="50"/>
      <c r="X48" s="29"/>
      <c r="Y48" s="29"/>
      <c r="Z48" s="29"/>
      <c r="AA48" s="29"/>
      <c r="AB48" s="29"/>
      <c r="AC48" s="29"/>
    </row>
    <row r="49" spans="1:29" s="52" customFormat="1">
      <c r="A49" s="103"/>
      <c r="B49" s="154"/>
      <c r="C49" s="114"/>
      <c r="D49" s="139"/>
      <c r="E49" s="140"/>
      <c r="F49" s="141"/>
      <c r="G49" s="50"/>
      <c r="H49" s="50"/>
      <c r="I49" s="50"/>
      <c r="J49" s="50"/>
      <c r="K49" s="50"/>
      <c r="L49" s="50"/>
      <c r="M49" s="50"/>
      <c r="N49" s="50"/>
      <c r="O49" s="50"/>
      <c r="P49" s="50"/>
      <c r="Q49" s="50"/>
      <c r="R49" s="50"/>
      <c r="S49" s="50"/>
      <c r="T49" s="50"/>
      <c r="U49" s="50"/>
      <c r="V49" s="50"/>
      <c r="W49" s="50"/>
      <c r="X49" s="29"/>
      <c r="Y49" s="29"/>
      <c r="Z49" s="29"/>
      <c r="AA49" s="29"/>
      <c r="AB49" s="29"/>
      <c r="AC49" s="29"/>
    </row>
    <row r="50" spans="1:29" s="52" customFormat="1" ht="93.75" customHeight="1">
      <c r="A50" s="103"/>
      <c r="B50" s="151" t="s">
        <v>94</v>
      </c>
      <c r="C50" s="114"/>
      <c r="D50" s="139"/>
      <c r="E50" s="140"/>
      <c r="F50" s="141"/>
      <c r="G50" s="50"/>
      <c r="H50" s="50"/>
      <c r="I50" s="50"/>
      <c r="J50" s="50"/>
      <c r="K50" s="50"/>
      <c r="L50" s="50"/>
      <c r="M50" s="50"/>
      <c r="N50" s="50"/>
      <c r="O50" s="50"/>
      <c r="P50" s="50"/>
      <c r="Q50" s="50"/>
      <c r="R50" s="50"/>
      <c r="S50" s="50"/>
      <c r="T50" s="50"/>
      <c r="U50" s="50"/>
      <c r="V50" s="50"/>
      <c r="W50" s="50"/>
      <c r="X50" s="29"/>
      <c r="Y50" s="29"/>
      <c r="Z50" s="29"/>
      <c r="AA50" s="29"/>
      <c r="AB50" s="29"/>
      <c r="AC50" s="29"/>
    </row>
    <row r="51" spans="1:29" s="52" customFormat="1" ht="144" customHeight="1">
      <c r="A51" s="103"/>
      <c r="B51" s="151" t="s">
        <v>95</v>
      </c>
      <c r="C51" s="114"/>
      <c r="D51" s="139"/>
      <c r="E51" s="140"/>
      <c r="F51" s="141"/>
      <c r="G51" s="50"/>
      <c r="H51" s="50"/>
      <c r="I51" s="50"/>
      <c r="J51" s="50"/>
      <c r="K51" s="50"/>
      <c r="L51" s="50"/>
      <c r="M51" s="50"/>
      <c r="N51" s="50"/>
      <c r="O51" s="50"/>
      <c r="P51" s="50"/>
      <c r="Q51" s="50"/>
      <c r="R51" s="50"/>
      <c r="S51" s="50"/>
      <c r="T51" s="50"/>
      <c r="U51" s="50"/>
      <c r="V51" s="50"/>
      <c r="W51" s="50"/>
      <c r="X51" s="29"/>
      <c r="Y51" s="29"/>
      <c r="Z51" s="29"/>
      <c r="AA51" s="29"/>
      <c r="AB51" s="29"/>
      <c r="AC51" s="29"/>
    </row>
    <row r="52" spans="1:29" s="52" customFormat="1">
      <c r="A52" s="103"/>
      <c r="B52" s="154"/>
      <c r="C52" s="114"/>
      <c r="D52" s="139"/>
      <c r="E52" s="140"/>
      <c r="F52" s="141"/>
      <c r="G52" s="50"/>
      <c r="H52" s="50"/>
      <c r="I52" s="50"/>
      <c r="J52" s="50"/>
      <c r="K52" s="50"/>
      <c r="L52" s="50"/>
      <c r="M52" s="50"/>
      <c r="N52" s="50"/>
      <c r="O52" s="50"/>
      <c r="P52" s="50"/>
      <c r="Q52" s="50"/>
      <c r="R52" s="50"/>
      <c r="S52" s="50"/>
      <c r="T52" s="50"/>
      <c r="U52" s="50"/>
      <c r="V52" s="50"/>
      <c r="W52" s="50"/>
      <c r="X52" s="29"/>
      <c r="Y52" s="29"/>
      <c r="Z52" s="29"/>
      <c r="AA52" s="29"/>
      <c r="AB52" s="29"/>
      <c r="AC52" s="29"/>
    </row>
    <row r="53" spans="1:29" s="52" customFormat="1" ht="109.5" customHeight="1">
      <c r="A53" s="103"/>
      <c r="B53" s="155" t="s">
        <v>96</v>
      </c>
      <c r="C53" s="114"/>
      <c r="D53" s="148"/>
      <c r="E53" s="149"/>
      <c r="F53" s="150"/>
      <c r="G53" s="50"/>
      <c r="H53" s="50"/>
      <c r="I53" s="50"/>
      <c r="J53" s="50"/>
      <c r="K53" s="50"/>
      <c r="L53" s="50"/>
      <c r="M53" s="50"/>
      <c r="N53" s="50"/>
      <c r="O53" s="50"/>
      <c r="P53" s="50"/>
      <c r="Q53" s="50"/>
      <c r="R53" s="50"/>
      <c r="S53" s="50"/>
      <c r="T53" s="50"/>
      <c r="U53" s="50"/>
      <c r="V53" s="50"/>
      <c r="W53" s="50"/>
      <c r="X53" s="29"/>
      <c r="Y53" s="29"/>
      <c r="Z53" s="29"/>
      <c r="AA53" s="29"/>
      <c r="AB53" s="29"/>
      <c r="AC53" s="29"/>
    </row>
    <row r="54" spans="1:29" s="52" customFormat="1" ht="57" customHeight="1">
      <c r="A54" s="103"/>
      <c r="B54" s="155" t="s">
        <v>97</v>
      </c>
      <c r="C54" s="114"/>
      <c r="D54" s="148"/>
      <c r="E54" s="149"/>
      <c r="F54" s="150"/>
      <c r="G54" s="50"/>
      <c r="H54" s="50"/>
      <c r="I54" s="50"/>
      <c r="J54" s="50"/>
      <c r="K54" s="50"/>
      <c r="L54" s="50"/>
      <c r="M54" s="50"/>
      <c r="N54" s="50"/>
      <c r="O54" s="50"/>
      <c r="P54" s="50"/>
      <c r="Q54" s="50"/>
      <c r="R54" s="50"/>
      <c r="S54" s="50"/>
      <c r="T54" s="50"/>
      <c r="U54" s="50"/>
      <c r="V54" s="50"/>
      <c r="W54" s="50"/>
      <c r="X54" s="29"/>
      <c r="Y54" s="29"/>
      <c r="Z54" s="29"/>
      <c r="AA54" s="29"/>
      <c r="AB54" s="29"/>
      <c r="AC54" s="29"/>
    </row>
    <row r="55" spans="1:29" s="52" customFormat="1" ht="51" customHeight="1">
      <c r="A55" s="113"/>
      <c r="B55" s="155" t="s">
        <v>98</v>
      </c>
      <c r="C55" s="114"/>
      <c r="D55" s="139"/>
      <c r="E55" s="140"/>
      <c r="F55" s="141"/>
      <c r="G55" s="50"/>
      <c r="H55" s="50"/>
      <c r="I55" s="50"/>
      <c r="J55" s="50"/>
      <c r="K55" s="50"/>
      <c r="L55" s="50"/>
      <c r="M55" s="50"/>
      <c r="N55" s="50"/>
      <c r="O55" s="50"/>
      <c r="P55" s="50"/>
      <c r="Q55" s="50"/>
      <c r="R55" s="50"/>
      <c r="S55" s="50"/>
      <c r="T55" s="50"/>
      <c r="U55" s="50"/>
      <c r="V55" s="50"/>
      <c r="W55" s="50"/>
      <c r="X55" s="29"/>
      <c r="Y55" s="29"/>
      <c r="Z55" s="29"/>
      <c r="AA55" s="29"/>
      <c r="AB55" s="29"/>
      <c r="AC55" s="29"/>
    </row>
    <row r="56" spans="1:29" s="50" customFormat="1">
      <c r="A56" s="113"/>
      <c r="B56" s="156"/>
      <c r="C56" s="157"/>
      <c r="D56" s="158"/>
      <c r="E56" s="159"/>
      <c r="F56" s="160"/>
      <c r="X56" s="29"/>
      <c r="Y56" s="29"/>
      <c r="Z56" s="29"/>
      <c r="AA56" s="29"/>
      <c r="AB56" s="29"/>
      <c r="AC56" s="29"/>
    </row>
    <row r="57" spans="1:29" s="50" customFormat="1" ht="15.75" customHeight="1">
      <c r="A57" s="113"/>
      <c r="B57" s="161"/>
      <c r="C57" s="162"/>
      <c r="D57" s="106"/>
      <c r="E57" s="70"/>
      <c r="F57" s="124"/>
      <c r="X57" s="29"/>
      <c r="Y57" s="29"/>
      <c r="Z57" s="29"/>
      <c r="AA57" s="29"/>
      <c r="AB57" s="29"/>
      <c r="AC57" s="29"/>
    </row>
    <row r="58" spans="1:29" s="50" customFormat="1" ht="41.25" customHeight="1">
      <c r="A58" s="113" t="s">
        <v>99</v>
      </c>
      <c r="B58" s="151" t="s">
        <v>100</v>
      </c>
      <c r="C58" s="163"/>
      <c r="D58" s="164"/>
      <c r="E58" s="165"/>
      <c r="F58" s="166"/>
      <c r="X58" s="29"/>
      <c r="Y58" s="29"/>
      <c r="Z58" s="29"/>
      <c r="AA58" s="29"/>
      <c r="AB58" s="29"/>
      <c r="AC58" s="29"/>
    </row>
    <row r="59" spans="1:29" s="50" customFormat="1" ht="27" customHeight="1">
      <c r="A59" s="113"/>
      <c r="B59" s="167" t="s">
        <v>101</v>
      </c>
      <c r="C59" s="163"/>
      <c r="D59" s="164"/>
      <c r="E59" s="165"/>
      <c r="F59" s="166"/>
      <c r="X59" s="29"/>
      <c r="Y59" s="29"/>
      <c r="Z59" s="29"/>
      <c r="AA59" s="29"/>
      <c r="AB59" s="29"/>
      <c r="AC59" s="29"/>
    </row>
    <row r="60" spans="1:29" s="50" customFormat="1" ht="26.4">
      <c r="A60" s="117"/>
      <c r="B60" s="151" t="s">
        <v>102</v>
      </c>
      <c r="C60" s="163"/>
      <c r="D60" s="164"/>
      <c r="E60" s="165"/>
      <c r="F60" s="166"/>
      <c r="X60" s="29"/>
      <c r="Y60" s="29"/>
      <c r="Z60" s="29"/>
      <c r="AA60" s="29"/>
      <c r="AB60" s="29"/>
      <c r="AC60" s="29"/>
    </row>
    <row r="61" spans="1:29" s="50" customFormat="1" ht="27">
      <c r="A61" s="117"/>
      <c r="B61" s="151" t="s">
        <v>103</v>
      </c>
      <c r="C61" s="163"/>
      <c r="D61" s="164"/>
      <c r="E61" s="165"/>
      <c r="F61" s="166"/>
      <c r="X61" s="29"/>
      <c r="Y61" s="29"/>
      <c r="Z61" s="29"/>
      <c r="AA61" s="29"/>
      <c r="AB61" s="29"/>
      <c r="AC61" s="29"/>
    </row>
    <row r="62" spans="1:29" s="50" customFormat="1">
      <c r="A62" s="117"/>
      <c r="B62" s="151" t="s">
        <v>104</v>
      </c>
      <c r="C62" s="168"/>
      <c r="D62" s="164"/>
      <c r="E62" s="169"/>
      <c r="F62" s="170"/>
      <c r="X62" s="29"/>
      <c r="Y62" s="29"/>
      <c r="Z62" s="29"/>
      <c r="AA62" s="29"/>
      <c r="AB62" s="29"/>
      <c r="AC62" s="29"/>
    </row>
    <row r="63" spans="1:29" s="50" customFormat="1" ht="28.5" customHeight="1">
      <c r="A63" s="117"/>
      <c r="B63" s="171" t="s">
        <v>105</v>
      </c>
      <c r="C63" s="163"/>
      <c r="D63" s="172"/>
      <c r="E63" s="165"/>
      <c r="F63" s="166"/>
      <c r="X63" s="29"/>
      <c r="Y63" s="29"/>
      <c r="Z63" s="29"/>
      <c r="AA63" s="29"/>
      <c r="AB63" s="29"/>
      <c r="AC63" s="29"/>
    </row>
    <row r="64" spans="1:29" s="50" customFormat="1" ht="68.400000000000006">
      <c r="A64" s="117"/>
      <c r="B64" s="151" t="s">
        <v>106</v>
      </c>
      <c r="C64" s="173"/>
      <c r="D64" s="174"/>
      <c r="E64" s="165"/>
      <c r="F64" s="116"/>
      <c r="X64" s="29"/>
      <c r="Y64" s="29"/>
      <c r="Z64" s="29"/>
      <c r="AA64" s="29"/>
      <c r="AB64" s="29"/>
      <c r="AC64" s="29"/>
    </row>
    <row r="65" spans="1:29" s="50" customFormat="1" ht="28.5" customHeight="1">
      <c r="A65" s="142"/>
      <c r="B65" s="151" t="s">
        <v>107</v>
      </c>
      <c r="C65" s="175"/>
      <c r="D65" s="174"/>
      <c r="E65" s="169"/>
      <c r="F65" s="176"/>
      <c r="X65" s="29"/>
      <c r="Y65" s="29"/>
      <c r="Z65" s="29"/>
      <c r="AA65" s="29"/>
      <c r="AB65" s="29"/>
      <c r="AC65" s="29"/>
    </row>
    <row r="66" spans="1:29" s="50" customFormat="1">
      <c r="A66" s="117"/>
      <c r="B66" s="151" t="s">
        <v>108</v>
      </c>
      <c r="C66" s="168"/>
      <c r="D66" s="164"/>
      <c r="E66" s="169"/>
      <c r="F66" s="170"/>
      <c r="X66" s="29"/>
      <c r="Y66" s="29"/>
      <c r="Z66" s="29"/>
      <c r="AA66" s="29"/>
      <c r="AB66" s="29"/>
      <c r="AC66" s="29"/>
    </row>
    <row r="67" spans="1:29" s="50" customFormat="1" ht="55.2">
      <c r="A67" s="117"/>
      <c r="B67" s="151" t="s">
        <v>109</v>
      </c>
      <c r="C67" s="163"/>
      <c r="D67" s="164"/>
      <c r="E67" s="165"/>
      <c r="F67" s="166"/>
      <c r="X67" s="29"/>
      <c r="Y67" s="29"/>
      <c r="Z67" s="29"/>
      <c r="AA67" s="29"/>
      <c r="AB67" s="29"/>
      <c r="AC67" s="29"/>
    </row>
    <row r="68" spans="1:29" s="50" customFormat="1">
      <c r="A68" s="117"/>
      <c r="B68" s="151" t="s">
        <v>104</v>
      </c>
      <c r="C68" s="168"/>
      <c r="D68" s="164"/>
      <c r="E68" s="169"/>
      <c r="F68" s="170"/>
      <c r="X68" s="29"/>
      <c r="Y68" s="29"/>
      <c r="Z68" s="29"/>
      <c r="AA68" s="29"/>
      <c r="AB68" s="29"/>
      <c r="AC68" s="29"/>
    </row>
    <row r="69" spans="1:29" s="50" customFormat="1" ht="52.8">
      <c r="A69" s="117"/>
      <c r="B69" s="143" t="s">
        <v>110</v>
      </c>
      <c r="C69" s="163"/>
      <c r="D69" s="164"/>
      <c r="E69" s="165"/>
      <c r="F69" s="166"/>
      <c r="X69" s="29"/>
      <c r="Y69" s="29"/>
      <c r="Z69" s="29"/>
      <c r="AA69" s="29"/>
      <c r="AB69" s="29"/>
      <c r="AC69" s="29"/>
    </row>
    <row r="70" spans="1:29" s="50" customFormat="1">
      <c r="A70" s="117"/>
      <c r="B70" s="151" t="s">
        <v>104</v>
      </c>
      <c r="C70" s="168"/>
      <c r="D70" s="164"/>
      <c r="E70" s="169"/>
      <c r="F70" s="170"/>
      <c r="X70" s="29"/>
      <c r="Y70" s="29"/>
      <c r="Z70" s="29"/>
      <c r="AA70" s="29"/>
      <c r="AB70" s="29"/>
      <c r="AC70" s="29"/>
    </row>
    <row r="71" spans="1:29" s="50" customFormat="1" ht="43.5" customHeight="1">
      <c r="A71" s="117"/>
      <c r="B71" s="151" t="s">
        <v>111</v>
      </c>
      <c r="C71" s="163"/>
      <c r="D71" s="164"/>
      <c r="E71" s="165"/>
      <c r="F71" s="166"/>
      <c r="X71" s="29"/>
      <c r="Y71" s="29"/>
      <c r="Z71" s="29"/>
      <c r="AA71" s="29"/>
      <c r="AB71" s="29"/>
      <c r="AC71" s="29"/>
    </row>
    <row r="72" spans="1:29" s="50" customFormat="1" ht="41.25" customHeight="1">
      <c r="A72" s="117"/>
      <c r="B72" s="151" t="s">
        <v>112</v>
      </c>
      <c r="C72" s="163"/>
      <c r="D72" s="164"/>
      <c r="E72" s="165"/>
      <c r="F72" s="166"/>
      <c r="X72" s="29"/>
      <c r="Y72" s="29"/>
      <c r="Z72" s="29"/>
      <c r="AA72" s="29"/>
      <c r="AB72" s="29"/>
      <c r="AC72" s="29"/>
    </row>
    <row r="73" spans="1:29" s="50" customFormat="1" ht="26.4">
      <c r="A73" s="117"/>
      <c r="B73" s="151" t="s">
        <v>113</v>
      </c>
      <c r="C73" s="163"/>
      <c r="D73" s="164"/>
      <c r="E73" s="165"/>
      <c r="F73" s="166"/>
      <c r="X73" s="29"/>
      <c r="Y73" s="29"/>
      <c r="Z73" s="29"/>
      <c r="AA73" s="29"/>
      <c r="AB73" s="29"/>
      <c r="AC73" s="29"/>
    </row>
    <row r="74" spans="1:29" s="50" customFormat="1" ht="26.4">
      <c r="A74" s="177"/>
      <c r="B74" s="151" t="s">
        <v>114</v>
      </c>
      <c r="C74" s="163"/>
      <c r="D74" s="164"/>
      <c r="E74" s="165"/>
      <c r="F74" s="166"/>
      <c r="X74" s="29"/>
      <c r="Y74" s="29"/>
      <c r="Z74" s="29"/>
      <c r="AA74" s="29"/>
      <c r="AB74" s="29"/>
      <c r="AC74" s="29"/>
    </row>
    <row r="75" spans="1:29" s="50" customFormat="1">
      <c r="A75" s="117"/>
      <c r="B75" s="151" t="s">
        <v>115</v>
      </c>
      <c r="C75" s="163"/>
      <c r="D75" s="164"/>
      <c r="E75" s="165"/>
      <c r="F75" s="166"/>
      <c r="X75" s="29"/>
      <c r="Y75" s="29"/>
      <c r="Z75" s="29"/>
      <c r="AA75" s="29"/>
      <c r="AB75" s="29"/>
      <c r="AC75" s="29"/>
    </row>
    <row r="76" spans="1:29" s="50" customFormat="1" ht="66.75" customHeight="1">
      <c r="A76" s="117"/>
      <c r="B76" s="151" t="s">
        <v>116</v>
      </c>
      <c r="C76" s="163"/>
      <c r="D76" s="164"/>
      <c r="E76" s="165"/>
      <c r="F76" s="166"/>
      <c r="X76" s="29"/>
      <c r="Y76" s="29"/>
      <c r="Z76" s="29"/>
      <c r="AA76" s="29"/>
      <c r="AB76" s="29"/>
      <c r="AC76" s="29"/>
    </row>
    <row r="77" spans="1:29" s="50" customFormat="1" ht="27" customHeight="1">
      <c r="A77" s="117"/>
      <c r="B77" s="143" t="s">
        <v>117</v>
      </c>
      <c r="C77" s="163"/>
      <c r="D77" s="178"/>
      <c r="E77" s="165"/>
      <c r="F77" s="166"/>
      <c r="X77" s="29"/>
      <c r="Y77" s="29"/>
      <c r="Z77" s="29"/>
      <c r="AA77" s="29"/>
      <c r="AB77" s="29"/>
      <c r="AC77" s="29"/>
    </row>
    <row r="78" spans="1:29" s="50" customFormat="1">
      <c r="A78" s="117"/>
      <c r="B78" s="143" t="s">
        <v>118</v>
      </c>
      <c r="C78" s="163"/>
      <c r="D78" s="178"/>
      <c r="E78" s="165"/>
      <c r="F78" s="166"/>
      <c r="X78" s="29"/>
      <c r="Y78" s="29"/>
      <c r="Z78" s="29"/>
      <c r="AA78" s="29"/>
      <c r="AB78" s="29"/>
      <c r="AC78" s="29"/>
    </row>
    <row r="79" spans="1:29" s="50" customFormat="1">
      <c r="A79" s="177"/>
      <c r="B79" s="151" t="s">
        <v>119</v>
      </c>
      <c r="C79" s="179"/>
      <c r="D79" s="179"/>
      <c r="E79" s="127"/>
      <c r="F79" s="180"/>
      <c r="X79" s="29"/>
      <c r="Y79" s="29"/>
      <c r="Z79" s="29"/>
      <c r="AA79" s="29"/>
      <c r="AB79" s="29"/>
      <c r="AC79" s="29"/>
    </row>
    <row r="80" spans="1:29" s="50" customFormat="1" ht="54" customHeight="1">
      <c r="A80" s="177"/>
      <c r="B80" s="143" t="s">
        <v>120</v>
      </c>
      <c r="C80" s="120" t="s">
        <v>121</v>
      </c>
      <c r="D80" s="121">
        <v>134.5</v>
      </c>
      <c r="E80" s="122">
        <v>74</v>
      </c>
      <c r="F80" s="123">
        <f>D80*E80</f>
        <v>9953</v>
      </c>
      <c r="X80" s="29"/>
      <c r="Y80" s="29"/>
      <c r="Z80" s="29"/>
      <c r="AA80" s="29"/>
      <c r="AB80" s="29"/>
      <c r="AC80" s="29"/>
    </row>
    <row r="81" spans="1:29" s="50" customFormat="1" ht="26.4">
      <c r="A81" s="177"/>
      <c r="B81" s="143" t="s">
        <v>122</v>
      </c>
      <c r="C81" s="120" t="s">
        <v>121</v>
      </c>
      <c r="D81" s="121">
        <v>1.45</v>
      </c>
      <c r="E81" s="122">
        <v>60</v>
      </c>
      <c r="F81" s="123">
        <f>D81*E81</f>
        <v>87</v>
      </c>
      <c r="X81" s="29"/>
      <c r="Y81" s="29"/>
      <c r="Z81" s="29"/>
      <c r="AA81" s="29"/>
      <c r="AB81" s="29"/>
      <c r="AC81" s="29"/>
    </row>
    <row r="82" spans="1:29" s="50" customFormat="1" ht="39" customHeight="1">
      <c r="A82" s="177"/>
      <c r="B82" s="143" t="s">
        <v>123</v>
      </c>
      <c r="C82" s="120" t="s">
        <v>121</v>
      </c>
      <c r="D82" s="121">
        <v>1.2</v>
      </c>
      <c r="E82" s="122">
        <v>57</v>
      </c>
      <c r="F82" s="123">
        <f>D82*E82</f>
        <v>68.399999999999991</v>
      </c>
      <c r="X82" s="29"/>
      <c r="Y82" s="29"/>
      <c r="Z82" s="29"/>
      <c r="AA82" s="29"/>
      <c r="AB82" s="29"/>
      <c r="AC82" s="29"/>
    </row>
    <row r="83" spans="1:29" s="50" customFormat="1" ht="52.8">
      <c r="A83" s="177"/>
      <c r="B83" s="143" t="s">
        <v>124</v>
      </c>
      <c r="C83" s="120" t="s">
        <v>121</v>
      </c>
      <c r="D83" s="121">
        <v>1.1000000000000001</v>
      </c>
      <c r="E83" s="122">
        <v>70</v>
      </c>
      <c r="F83" s="123">
        <f>D83*E83</f>
        <v>77</v>
      </c>
      <c r="X83" s="29"/>
      <c r="Y83" s="29"/>
      <c r="Z83" s="29"/>
      <c r="AA83" s="29"/>
      <c r="AB83" s="29"/>
      <c r="AC83" s="29"/>
    </row>
    <row r="84" spans="1:29" s="50" customFormat="1">
      <c r="A84" s="177"/>
      <c r="B84" s="143"/>
      <c r="C84" s="120"/>
      <c r="D84" s="121"/>
      <c r="E84" s="122"/>
      <c r="F84" s="123"/>
      <c r="X84" s="29"/>
      <c r="Y84" s="29"/>
      <c r="Z84" s="29"/>
      <c r="AA84" s="29"/>
      <c r="AB84" s="29"/>
      <c r="AC84" s="29"/>
    </row>
    <row r="85" spans="1:29" s="50" customFormat="1">
      <c r="A85" s="125"/>
      <c r="B85" s="29"/>
      <c r="C85" s="29"/>
      <c r="D85" s="29"/>
      <c r="E85" s="118"/>
      <c r="F85" s="119"/>
      <c r="X85" s="29"/>
      <c r="Y85" s="29"/>
      <c r="Z85" s="29"/>
      <c r="AA85" s="29"/>
      <c r="AB85" s="29"/>
      <c r="AC85" s="29"/>
    </row>
    <row r="86" spans="1:29" s="50" customFormat="1">
      <c r="A86" s="125"/>
      <c r="B86" s="171"/>
      <c r="C86" s="181"/>
      <c r="D86" s="182"/>
      <c r="E86" s="169"/>
      <c r="F86" s="166"/>
      <c r="X86" s="29"/>
      <c r="Y86" s="29"/>
      <c r="Z86" s="29"/>
      <c r="AA86" s="29"/>
      <c r="AB86" s="29"/>
      <c r="AC86" s="29"/>
    </row>
    <row r="87" spans="1:29" s="50" customFormat="1" ht="26.25" customHeight="1">
      <c r="A87" s="183" t="s">
        <v>125</v>
      </c>
      <c r="B87" s="151" t="s">
        <v>126</v>
      </c>
      <c r="C87" s="173"/>
      <c r="D87" s="164"/>
      <c r="E87" s="169"/>
      <c r="F87" s="166"/>
      <c r="X87" s="29"/>
      <c r="Y87" s="29"/>
      <c r="Z87" s="29"/>
      <c r="AA87" s="29"/>
      <c r="AB87" s="29"/>
      <c r="AC87" s="29"/>
    </row>
    <row r="88" spans="1:29" s="50" customFormat="1" ht="26.4">
      <c r="A88" s="113"/>
      <c r="B88" s="151" t="s">
        <v>127</v>
      </c>
      <c r="C88" s="163"/>
      <c r="D88" s="164"/>
      <c r="E88" s="165"/>
      <c r="F88" s="166"/>
      <c r="X88" s="29"/>
      <c r="Y88" s="29"/>
      <c r="Z88" s="29"/>
      <c r="AA88" s="29"/>
      <c r="AB88" s="29"/>
      <c r="AC88" s="29"/>
    </row>
    <row r="89" spans="1:29" s="50" customFormat="1" ht="28.5" customHeight="1">
      <c r="A89" s="113"/>
      <c r="B89" s="151" t="s">
        <v>128</v>
      </c>
      <c r="C89" s="163"/>
      <c r="D89" s="164"/>
      <c r="E89" s="165"/>
      <c r="F89" s="166"/>
      <c r="X89" s="29"/>
      <c r="Y89" s="29"/>
      <c r="Z89" s="29"/>
      <c r="AA89" s="29"/>
      <c r="AB89" s="29"/>
      <c r="AC89" s="29"/>
    </row>
    <row r="90" spans="1:29" s="50" customFormat="1">
      <c r="A90" s="117"/>
      <c r="B90" s="151" t="s">
        <v>104</v>
      </c>
      <c r="C90" s="168"/>
      <c r="D90" s="164"/>
      <c r="E90" s="169"/>
      <c r="F90" s="170"/>
      <c r="X90" s="29"/>
      <c r="Y90" s="29"/>
      <c r="Z90" s="29"/>
      <c r="AA90" s="29"/>
      <c r="AB90" s="29"/>
      <c r="AC90" s="29"/>
    </row>
    <row r="91" spans="1:29" s="50" customFormat="1" ht="41.25" customHeight="1">
      <c r="A91" s="117"/>
      <c r="B91" s="151" t="s">
        <v>129</v>
      </c>
      <c r="C91" s="163"/>
      <c r="D91" s="164"/>
      <c r="E91" s="165"/>
      <c r="F91" s="166"/>
      <c r="X91" s="29"/>
      <c r="Y91" s="29"/>
      <c r="Z91" s="29"/>
      <c r="AA91" s="29"/>
      <c r="AB91" s="29"/>
      <c r="AC91" s="29"/>
    </row>
    <row r="92" spans="1:29" s="50" customFormat="1" ht="66">
      <c r="A92" s="117"/>
      <c r="B92" s="151" t="s">
        <v>130</v>
      </c>
      <c r="C92" s="163"/>
      <c r="D92" s="164"/>
      <c r="E92" s="165"/>
      <c r="F92" s="166"/>
      <c r="X92" s="29"/>
      <c r="Y92" s="29"/>
      <c r="Z92" s="29"/>
      <c r="AA92" s="29"/>
      <c r="AB92" s="29"/>
      <c r="AC92" s="29"/>
    </row>
    <row r="93" spans="1:29" s="50" customFormat="1" ht="27.75" customHeight="1">
      <c r="A93" s="117"/>
      <c r="B93" s="151" t="s">
        <v>131</v>
      </c>
      <c r="C93" s="163"/>
      <c r="D93" s="164"/>
      <c r="E93" s="165"/>
      <c r="F93" s="166"/>
      <c r="X93" s="29"/>
      <c r="Y93" s="29"/>
      <c r="Z93" s="29"/>
      <c r="AA93" s="29"/>
      <c r="AB93" s="29"/>
      <c r="AC93" s="29"/>
    </row>
    <row r="94" spans="1:29" s="50" customFormat="1" ht="26.4">
      <c r="A94" s="117"/>
      <c r="B94" s="151" t="s">
        <v>132</v>
      </c>
      <c r="C94" s="163"/>
      <c r="D94" s="164"/>
      <c r="E94" s="165"/>
      <c r="F94" s="166"/>
      <c r="X94" s="29"/>
      <c r="Y94" s="29"/>
      <c r="Z94" s="29"/>
      <c r="AA94" s="29"/>
      <c r="AB94" s="29"/>
      <c r="AC94" s="29"/>
    </row>
    <row r="95" spans="1:29" s="50" customFormat="1">
      <c r="A95" s="117"/>
      <c r="B95" s="151" t="s">
        <v>133</v>
      </c>
      <c r="C95" s="163"/>
      <c r="D95" s="164"/>
      <c r="E95" s="165"/>
      <c r="F95" s="166"/>
      <c r="X95" s="29"/>
      <c r="Y95" s="29"/>
      <c r="Z95" s="29"/>
      <c r="AA95" s="29"/>
      <c r="AB95" s="29"/>
      <c r="AC95" s="29"/>
    </row>
    <row r="96" spans="1:29" s="50" customFormat="1">
      <c r="A96" s="117"/>
      <c r="B96" s="184" t="s">
        <v>134</v>
      </c>
      <c r="C96" s="163"/>
      <c r="D96" s="164"/>
      <c r="E96" s="165"/>
      <c r="F96" s="166"/>
      <c r="X96" s="29"/>
      <c r="Y96" s="29"/>
      <c r="Z96" s="29"/>
      <c r="AA96" s="29"/>
      <c r="AB96" s="29"/>
      <c r="AC96" s="29"/>
    </row>
    <row r="97" spans="1:29" s="50" customFormat="1">
      <c r="A97" s="117"/>
      <c r="B97" s="151" t="s">
        <v>135</v>
      </c>
      <c r="C97" s="168"/>
      <c r="D97" s="164"/>
      <c r="E97" s="169"/>
      <c r="F97" s="170"/>
      <c r="X97" s="29"/>
      <c r="Y97" s="29"/>
      <c r="Z97" s="29"/>
      <c r="AA97" s="29"/>
      <c r="AB97" s="29"/>
      <c r="AC97" s="29"/>
    </row>
    <row r="98" spans="1:29" s="50" customFormat="1" ht="250.5" customHeight="1">
      <c r="A98" s="117"/>
      <c r="B98" s="151" t="s">
        <v>136</v>
      </c>
      <c r="C98" s="163"/>
      <c r="D98" s="164"/>
      <c r="E98" s="165"/>
      <c r="F98" s="166"/>
      <c r="X98" s="29"/>
      <c r="Y98" s="29"/>
      <c r="Z98" s="29"/>
      <c r="AA98" s="29"/>
      <c r="AB98" s="29"/>
      <c r="AC98" s="29"/>
    </row>
    <row r="99" spans="1:29" s="50" customFormat="1" ht="55.5" customHeight="1">
      <c r="A99" s="117"/>
      <c r="B99" s="151" t="s">
        <v>137</v>
      </c>
      <c r="C99" s="163"/>
      <c r="D99" s="164"/>
      <c r="E99" s="165"/>
      <c r="F99" s="166"/>
      <c r="X99" s="29"/>
      <c r="Y99" s="29"/>
      <c r="Z99" s="29"/>
      <c r="AA99" s="29"/>
      <c r="AB99" s="29"/>
      <c r="AC99" s="29"/>
    </row>
    <row r="100" spans="1:29" s="50" customFormat="1">
      <c r="A100" s="117"/>
      <c r="B100" s="143" t="s">
        <v>104</v>
      </c>
      <c r="C100" s="168"/>
      <c r="D100" s="164"/>
      <c r="E100" s="169"/>
      <c r="F100" s="170"/>
      <c r="X100" s="29"/>
      <c r="Y100" s="29"/>
      <c r="Z100" s="29"/>
      <c r="AA100" s="29"/>
      <c r="AB100" s="29"/>
      <c r="AC100" s="29"/>
    </row>
    <row r="101" spans="1:29" s="50" customFormat="1" ht="39.75" customHeight="1">
      <c r="A101" s="117"/>
      <c r="B101" s="143" t="s">
        <v>138</v>
      </c>
      <c r="C101" s="163"/>
      <c r="D101" s="164"/>
      <c r="E101" s="165"/>
      <c r="F101" s="166"/>
      <c r="X101" s="29"/>
      <c r="Y101" s="29"/>
      <c r="Z101" s="29"/>
      <c r="AA101" s="29"/>
      <c r="AB101" s="29"/>
      <c r="AC101" s="29"/>
    </row>
    <row r="102" spans="1:29" s="50" customFormat="1">
      <c r="A102" s="117"/>
      <c r="B102" s="143" t="s">
        <v>104</v>
      </c>
      <c r="C102" s="168"/>
      <c r="D102" s="164"/>
      <c r="E102" s="169"/>
      <c r="F102" s="170"/>
      <c r="X102" s="29"/>
      <c r="Y102" s="29"/>
      <c r="Z102" s="29"/>
      <c r="AA102" s="29"/>
      <c r="AB102" s="29"/>
      <c r="AC102" s="29"/>
    </row>
    <row r="103" spans="1:29" s="50" customFormat="1">
      <c r="A103" s="117"/>
      <c r="B103" s="143" t="s">
        <v>115</v>
      </c>
      <c r="C103" s="163"/>
      <c r="D103" s="164"/>
      <c r="E103" s="165"/>
      <c r="F103" s="166"/>
      <c r="X103" s="29"/>
      <c r="Y103" s="29"/>
      <c r="Z103" s="29"/>
      <c r="AA103" s="29"/>
      <c r="AB103" s="29"/>
      <c r="AC103" s="29"/>
    </row>
    <row r="104" spans="1:29" s="50" customFormat="1" ht="66">
      <c r="A104" s="117"/>
      <c r="B104" s="143" t="s">
        <v>139</v>
      </c>
      <c r="C104" s="163"/>
      <c r="D104" s="164"/>
      <c r="E104" s="165"/>
      <c r="F104" s="166"/>
      <c r="X104" s="29"/>
      <c r="Y104" s="29"/>
      <c r="Z104" s="29"/>
      <c r="AA104" s="29"/>
      <c r="AB104" s="29"/>
      <c r="AC104" s="29"/>
    </row>
    <row r="105" spans="1:29" s="50" customFormat="1" ht="45" customHeight="1">
      <c r="A105" s="117"/>
      <c r="B105" s="143" t="s">
        <v>140</v>
      </c>
      <c r="C105" s="163"/>
      <c r="D105" s="164"/>
      <c r="E105" s="165"/>
      <c r="F105" s="166"/>
      <c r="X105" s="29"/>
      <c r="Y105" s="29"/>
      <c r="Z105" s="29"/>
      <c r="AA105" s="29"/>
      <c r="AB105" s="29"/>
      <c r="AC105" s="29"/>
    </row>
    <row r="106" spans="1:29" s="50" customFormat="1" ht="42.75" customHeight="1">
      <c r="A106" s="117"/>
      <c r="B106" s="143" t="s">
        <v>141</v>
      </c>
      <c r="C106" s="163"/>
      <c r="D106" s="164"/>
      <c r="E106" s="165"/>
      <c r="F106" s="166"/>
      <c r="X106" s="29"/>
      <c r="Y106" s="29"/>
      <c r="Z106" s="29"/>
      <c r="AA106" s="29"/>
      <c r="AB106" s="29"/>
      <c r="AC106" s="29"/>
    </row>
    <row r="107" spans="1:29" s="50" customFormat="1" ht="40.5" customHeight="1">
      <c r="A107" s="117"/>
      <c r="B107" s="143" t="s">
        <v>113</v>
      </c>
      <c r="C107" s="185"/>
      <c r="D107" s="178"/>
      <c r="E107" s="186"/>
      <c r="F107" s="116"/>
      <c r="X107" s="29"/>
      <c r="Y107" s="29"/>
      <c r="Z107" s="29"/>
      <c r="AA107" s="29"/>
      <c r="AB107" s="29"/>
      <c r="AC107" s="29"/>
    </row>
    <row r="108" spans="1:29" s="50" customFormat="1" ht="26.4">
      <c r="A108" s="117"/>
      <c r="B108" s="143" t="s">
        <v>142</v>
      </c>
      <c r="C108" s="187"/>
      <c r="D108" s="178"/>
      <c r="E108" s="188"/>
      <c r="F108" s="123"/>
      <c r="X108" s="29"/>
      <c r="Y108" s="29"/>
      <c r="Z108" s="29"/>
      <c r="AA108" s="29"/>
      <c r="AB108" s="29"/>
      <c r="AC108" s="29"/>
    </row>
    <row r="109" spans="1:29" s="50" customFormat="1" ht="16.2">
      <c r="A109" s="117"/>
      <c r="B109" s="143" t="s">
        <v>119</v>
      </c>
      <c r="C109" s="120" t="s">
        <v>121</v>
      </c>
      <c r="D109" s="189">
        <v>1609</v>
      </c>
      <c r="E109" s="122">
        <v>67</v>
      </c>
      <c r="F109" s="123">
        <f>D109*E109</f>
        <v>107803</v>
      </c>
      <c r="X109" s="29"/>
      <c r="Y109" s="29"/>
      <c r="Z109" s="29"/>
      <c r="AA109" s="29"/>
      <c r="AB109" s="29"/>
      <c r="AC109" s="29"/>
    </row>
    <row r="110" spans="1:29" s="50" customFormat="1">
      <c r="A110" s="117"/>
      <c r="B110" s="143"/>
      <c r="C110" s="78"/>
      <c r="D110" s="71"/>
      <c r="E110" s="57"/>
      <c r="F110" s="126"/>
      <c r="X110" s="29"/>
      <c r="Y110" s="29"/>
      <c r="Z110" s="29"/>
      <c r="AA110" s="29"/>
      <c r="AB110" s="29"/>
      <c r="AC110" s="29"/>
    </row>
    <row r="111" spans="1:29" s="50" customFormat="1">
      <c r="A111" s="117"/>
      <c r="B111" s="190"/>
      <c r="C111" s="120"/>
      <c r="D111" s="191"/>
      <c r="E111" s="122"/>
      <c r="F111" s="123"/>
      <c r="X111" s="29"/>
      <c r="Y111" s="29"/>
      <c r="Z111" s="29"/>
      <c r="AA111" s="29"/>
      <c r="AB111" s="29"/>
      <c r="AC111" s="29"/>
    </row>
    <row r="112" spans="1:29" s="50" customFormat="1" ht="41.25" customHeight="1">
      <c r="A112" s="183" t="s">
        <v>143</v>
      </c>
      <c r="B112" s="151" t="s">
        <v>144</v>
      </c>
      <c r="C112" s="173"/>
      <c r="D112" s="164"/>
      <c r="E112" s="169"/>
      <c r="F112" s="166"/>
      <c r="X112" s="29"/>
      <c r="Y112" s="29"/>
      <c r="Z112" s="29"/>
      <c r="AA112" s="29"/>
      <c r="AB112" s="29"/>
      <c r="AC112" s="29"/>
    </row>
    <row r="113" spans="1:29" s="50" customFormat="1" ht="26.4">
      <c r="A113" s="113"/>
      <c r="B113" s="151" t="s">
        <v>127</v>
      </c>
      <c r="C113" s="163"/>
      <c r="D113" s="164"/>
      <c r="E113" s="165"/>
      <c r="F113" s="166"/>
      <c r="X113" s="29"/>
      <c r="Y113" s="29"/>
      <c r="Z113" s="29"/>
      <c r="AA113" s="29"/>
      <c r="AB113" s="29"/>
      <c r="AC113" s="29"/>
    </row>
    <row r="114" spans="1:29" s="50" customFormat="1" ht="28.5" customHeight="1">
      <c r="A114" s="113"/>
      <c r="B114" s="151" t="s">
        <v>128</v>
      </c>
      <c r="C114" s="163"/>
      <c r="D114" s="164"/>
      <c r="E114" s="165"/>
      <c r="F114" s="166"/>
      <c r="X114" s="29"/>
      <c r="Y114" s="29"/>
      <c r="Z114" s="29"/>
      <c r="AA114" s="29"/>
      <c r="AB114" s="29"/>
      <c r="AC114" s="29"/>
    </row>
    <row r="115" spans="1:29" s="50" customFormat="1">
      <c r="A115" s="117"/>
      <c r="B115" s="151" t="s">
        <v>104</v>
      </c>
      <c r="C115" s="168"/>
      <c r="D115" s="164"/>
      <c r="E115" s="169"/>
      <c r="F115" s="170"/>
      <c r="X115" s="29"/>
      <c r="Y115" s="29"/>
      <c r="Z115" s="29"/>
      <c r="AA115" s="29"/>
      <c r="AB115" s="29"/>
      <c r="AC115" s="29"/>
    </row>
    <row r="116" spans="1:29" s="50" customFormat="1" ht="41.25" customHeight="1">
      <c r="A116" s="117"/>
      <c r="B116" s="151" t="s">
        <v>129</v>
      </c>
      <c r="C116" s="163"/>
      <c r="D116" s="164"/>
      <c r="E116" s="165"/>
      <c r="F116" s="166"/>
      <c r="X116" s="29"/>
      <c r="Y116" s="29"/>
      <c r="Z116" s="29"/>
      <c r="AA116" s="29"/>
      <c r="AB116" s="29"/>
      <c r="AC116" s="29"/>
    </row>
    <row r="117" spans="1:29" s="50" customFormat="1" ht="66">
      <c r="A117" s="117"/>
      <c r="B117" s="151" t="s">
        <v>130</v>
      </c>
      <c r="C117" s="163"/>
      <c r="D117" s="164"/>
      <c r="E117" s="165"/>
      <c r="F117" s="166"/>
      <c r="X117" s="29"/>
      <c r="Y117" s="29"/>
      <c r="Z117" s="29"/>
      <c r="AA117" s="29"/>
      <c r="AB117" s="29"/>
      <c r="AC117" s="29"/>
    </row>
    <row r="118" spans="1:29" s="50" customFormat="1" ht="27.75" customHeight="1">
      <c r="A118" s="117"/>
      <c r="B118" s="151" t="s">
        <v>131</v>
      </c>
      <c r="C118" s="163"/>
      <c r="D118" s="164"/>
      <c r="E118" s="165"/>
      <c r="F118" s="166"/>
      <c r="X118" s="29"/>
      <c r="Y118" s="29"/>
      <c r="Z118" s="29"/>
      <c r="AA118" s="29"/>
      <c r="AB118" s="29"/>
      <c r="AC118" s="29"/>
    </row>
    <row r="119" spans="1:29" s="50" customFormat="1" ht="26.4">
      <c r="A119" s="117"/>
      <c r="B119" s="151" t="s">
        <v>132</v>
      </c>
      <c r="C119" s="163"/>
      <c r="D119" s="164"/>
      <c r="E119" s="165"/>
      <c r="F119" s="166"/>
      <c r="X119" s="29"/>
      <c r="Y119" s="29"/>
      <c r="Z119" s="29"/>
      <c r="AA119" s="29"/>
      <c r="AB119" s="29"/>
      <c r="AC119" s="29"/>
    </row>
    <row r="120" spans="1:29" s="50" customFormat="1">
      <c r="A120" s="117"/>
      <c r="B120" s="151" t="s">
        <v>133</v>
      </c>
      <c r="C120" s="163"/>
      <c r="D120" s="164"/>
      <c r="E120" s="165"/>
      <c r="F120" s="166"/>
      <c r="X120" s="29"/>
      <c r="Y120" s="29"/>
      <c r="Z120" s="29"/>
      <c r="AA120" s="29"/>
      <c r="AB120" s="29"/>
      <c r="AC120" s="29"/>
    </row>
    <row r="121" spans="1:29" s="50" customFormat="1">
      <c r="A121" s="117"/>
      <c r="B121" s="184" t="s">
        <v>145</v>
      </c>
      <c r="C121" s="163"/>
      <c r="D121" s="164"/>
      <c r="E121" s="165"/>
      <c r="F121" s="166"/>
      <c r="X121" s="29"/>
      <c r="Y121" s="29"/>
      <c r="Z121" s="29"/>
      <c r="AA121" s="29"/>
      <c r="AB121" s="29"/>
      <c r="AC121" s="29"/>
    </row>
    <row r="122" spans="1:29" s="50" customFormat="1">
      <c r="A122" s="117"/>
      <c r="B122" s="151" t="s">
        <v>135</v>
      </c>
      <c r="C122" s="168"/>
      <c r="D122" s="164"/>
      <c r="E122" s="169"/>
      <c r="F122" s="170"/>
      <c r="X122" s="29"/>
      <c r="Y122" s="29"/>
      <c r="Z122" s="29"/>
      <c r="AA122" s="29"/>
      <c r="AB122" s="29"/>
      <c r="AC122" s="29"/>
    </row>
    <row r="123" spans="1:29" s="50" customFormat="1" ht="250.5" customHeight="1">
      <c r="A123" s="117"/>
      <c r="B123" s="151" t="s">
        <v>136</v>
      </c>
      <c r="C123" s="163"/>
      <c r="D123" s="164"/>
      <c r="E123" s="165"/>
      <c r="F123" s="166"/>
      <c r="X123" s="29"/>
      <c r="Y123" s="29"/>
      <c r="Z123" s="29"/>
      <c r="AA123" s="29"/>
      <c r="AB123" s="29"/>
      <c r="AC123" s="29"/>
    </row>
    <row r="124" spans="1:29" s="50" customFormat="1" ht="55.5" customHeight="1">
      <c r="A124" s="117"/>
      <c r="B124" s="151" t="s">
        <v>137</v>
      </c>
      <c r="C124" s="163"/>
      <c r="D124" s="164"/>
      <c r="E124" s="165"/>
      <c r="F124" s="166"/>
      <c r="X124" s="29"/>
      <c r="Y124" s="29"/>
      <c r="Z124" s="29"/>
      <c r="AA124" s="29"/>
      <c r="AB124" s="29"/>
      <c r="AC124" s="29"/>
    </row>
    <row r="125" spans="1:29" s="50" customFormat="1">
      <c r="A125" s="117"/>
      <c r="B125" s="143" t="s">
        <v>104</v>
      </c>
      <c r="C125" s="168"/>
      <c r="D125" s="164"/>
      <c r="E125" s="169"/>
      <c r="F125" s="170"/>
      <c r="X125" s="29"/>
      <c r="Y125" s="29"/>
      <c r="Z125" s="29"/>
      <c r="AA125" s="29"/>
      <c r="AB125" s="29"/>
      <c r="AC125" s="29"/>
    </row>
    <row r="126" spans="1:29" s="50" customFormat="1" ht="39.75" customHeight="1">
      <c r="A126" s="117"/>
      <c r="B126" s="143" t="s">
        <v>138</v>
      </c>
      <c r="C126" s="163"/>
      <c r="D126" s="164"/>
      <c r="E126" s="165"/>
      <c r="F126" s="166"/>
      <c r="X126" s="29"/>
      <c r="Y126" s="29"/>
      <c r="Z126" s="29"/>
      <c r="AA126" s="29"/>
      <c r="AB126" s="29"/>
      <c r="AC126" s="29"/>
    </row>
    <row r="127" spans="1:29" s="50" customFormat="1">
      <c r="A127" s="117"/>
      <c r="B127" s="143" t="s">
        <v>104</v>
      </c>
      <c r="C127" s="168"/>
      <c r="D127" s="164"/>
      <c r="E127" s="169"/>
      <c r="F127" s="170"/>
      <c r="X127" s="29"/>
      <c r="Y127" s="29"/>
      <c r="Z127" s="29"/>
      <c r="AA127" s="29"/>
      <c r="AB127" s="29"/>
      <c r="AC127" s="29"/>
    </row>
    <row r="128" spans="1:29" s="50" customFormat="1">
      <c r="A128" s="117"/>
      <c r="B128" s="143" t="s">
        <v>115</v>
      </c>
      <c r="C128" s="163"/>
      <c r="D128" s="164"/>
      <c r="E128" s="165"/>
      <c r="F128" s="166"/>
      <c r="X128" s="29"/>
      <c r="Y128" s="29"/>
      <c r="Z128" s="29"/>
      <c r="AA128" s="29"/>
      <c r="AB128" s="29"/>
      <c r="AC128" s="29"/>
    </row>
    <row r="129" spans="1:29" s="50" customFormat="1" ht="66">
      <c r="A129" s="117"/>
      <c r="B129" s="143" t="s">
        <v>139</v>
      </c>
      <c r="C129" s="163"/>
      <c r="D129" s="164"/>
      <c r="E129" s="165"/>
      <c r="F129" s="166"/>
      <c r="X129" s="29"/>
      <c r="Y129" s="29"/>
      <c r="Z129" s="29"/>
      <c r="AA129" s="29"/>
      <c r="AB129" s="29"/>
      <c r="AC129" s="29"/>
    </row>
    <row r="130" spans="1:29" s="50" customFormat="1" ht="42.75" customHeight="1">
      <c r="A130" s="117"/>
      <c r="B130" s="143" t="s">
        <v>141</v>
      </c>
      <c r="C130" s="163"/>
      <c r="D130" s="164"/>
      <c r="E130" s="165"/>
      <c r="F130" s="166"/>
      <c r="X130" s="29"/>
      <c r="Y130" s="29"/>
      <c r="Z130" s="29"/>
      <c r="AA130" s="29"/>
      <c r="AB130" s="29"/>
      <c r="AC130" s="29"/>
    </row>
    <row r="131" spans="1:29" s="50" customFormat="1" ht="40.5" customHeight="1">
      <c r="A131" s="117"/>
      <c r="B131" s="143" t="s">
        <v>113</v>
      </c>
      <c r="C131" s="185"/>
      <c r="D131" s="178"/>
      <c r="E131" s="186"/>
      <c r="F131" s="116"/>
      <c r="X131" s="29"/>
      <c r="Y131" s="29"/>
      <c r="Z131" s="29"/>
      <c r="AA131" s="29"/>
      <c r="AB131" s="29"/>
      <c r="AC131" s="29"/>
    </row>
    <row r="132" spans="1:29" s="50" customFormat="1">
      <c r="A132" s="117"/>
      <c r="B132" s="143" t="s">
        <v>119</v>
      </c>
      <c r="C132" s="29"/>
      <c r="D132" s="29"/>
      <c r="E132" s="118"/>
      <c r="F132" s="119"/>
      <c r="X132" s="29"/>
      <c r="Y132" s="29"/>
      <c r="Z132" s="29"/>
      <c r="AA132" s="29"/>
      <c r="AB132" s="29"/>
      <c r="AC132" s="29"/>
    </row>
    <row r="133" spans="1:29" s="50" customFormat="1" ht="26.4">
      <c r="A133" s="117"/>
      <c r="B133" s="143" t="s">
        <v>146</v>
      </c>
      <c r="C133" s="120" t="s">
        <v>121</v>
      </c>
      <c r="D133" s="189">
        <v>15.3</v>
      </c>
      <c r="E133" s="122">
        <v>53</v>
      </c>
      <c r="F133" s="123">
        <f>D133*E133</f>
        <v>810.90000000000009</v>
      </c>
      <c r="X133" s="29"/>
      <c r="Y133" s="29"/>
      <c r="Z133" s="29"/>
      <c r="AA133" s="29"/>
      <c r="AB133" s="29"/>
      <c r="AC133" s="29"/>
    </row>
    <row r="134" spans="1:29" s="50" customFormat="1" ht="39.6">
      <c r="A134" s="117"/>
      <c r="B134" s="143" t="s">
        <v>147</v>
      </c>
      <c r="C134" s="120" t="s">
        <v>121</v>
      </c>
      <c r="D134" s="189">
        <v>20.85</v>
      </c>
      <c r="E134" s="122">
        <v>48</v>
      </c>
      <c r="F134" s="123">
        <f>D134*E134</f>
        <v>1000.8000000000001</v>
      </c>
      <c r="X134" s="29"/>
      <c r="Y134" s="29"/>
      <c r="Z134" s="29"/>
      <c r="AA134" s="29"/>
      <c r="AB134" s="29"/>
      <c r="AC134" s="29"/>
    </row>
    <row r="135" spans="1:29" s="50" customFormat="1">
      <c r="A135" s="117"/>
      <c r="B135" s="190"/>
      <c r="C135" s="120"/>
      <c r="D135" s="191"/>
      <c r="E135" s="122"/>
      <c r="F135" s="123"/>
      <c r="X135" s="29"/>
      <c r="Y135" s="29"/>
      <c r="Z135" s="29"/>
      <c r="AA135" s="29"/>
      <c r="AB135" s="29"/>
      <c r="AC135" s="29"/>
    </row>
    <row r="136" spans="1:29" s="50" customFormat="1">
      <c r="A136" s="117"/>
      <c r="B136" s="190"/>
      <c r="C136" s="120"/>
      <c r="D136" s="191"/>
      <c r="E136" s="122"/>
      <c r="F136" s="123"/>
      <c r="X136" s="29"/>
      <c r="Y136" s="29"/>
      <c r="Z136" s="29"/>
      <c r="AA136" s="29"/>
      <c r="AB136" s="29"/>
      <c r="AC136" s="29"/>
    </row>
    <row r="137" spans="1:29" s="50" customFormat="1" ht="27.75" customHeight="1">
      <c r="A137" s="183" t="s">
        <v>148</v>
      </c>
      <c r="B137" s="151" t="s">
        <v>149</v>
      </c>
      <c r="C137" s="173"/>
      <c r="D137" s="164"/>
      <c r="E137" s="169"/>
      <c r="F137" s="166"/>
      <c r="X137" s="29"/>
      <c r="Y137" s="29"/>
      <c r="Z137" s="29"/>
      <c r="AA137" s="29"/>
      <c r="AB137" s="29"/>
      <c r="AC137" s="29"/>
    </row>
    <row r="138" spans="1:29" s="50" customFormat="1" ht="26.4">
      <c r="A138" s="113"/>
      <c r="B138" s="151" t="s">
        <v>127</v>
      </c>
      <c r="C138" s="163"/>
      <c r="D138" s="164"/>
      <c r="E138" s="165"/>
      <c r="F138" s="166"/>
      <c r="X138" s="29"/>
      <c r="Y138" s="29"/>
      <c r="Z138" s="29"/>
      <c r="AA138" s="29"/>
      <c r="AB138" s="29"/>
      <c r="AC138" s="29"/>
    </row>
    <row r="139" spans="1:29" s="50" customFormat="1" ht="28.5" customHeight="1">
      <c r="A139" s="113"/>
      <c r="B139" s="151" t="s">
        <v>128</v>
      </c>
      <c r="C139" s="163"/>
      <c r="D139" s="164"/>
      <c r="E139" s="165"/>
      <c r="F139" s="166"/>
      <c r="X139" s="29"/>
      <c r="Y139" s="29"/>
      <c r="Z139" s="29"/>
      <c r="AA139" s="29"/>
      <c r="AB139" s="29"/>
      <c r="AC139" s="29"/>
    </row>
    <row r="140" spans="1:29" s="50" customFormat="1">
      <c r="A140" s="117"/>
      <c r="B140" s="151" t="s">
        <v>104</v>
      </c>
      <c r="C140" s="168"/>
      <c r="D140" s="164"/>
      <c r="E140" s="169"/>
      <c r="F140" s="170"/>
      <c r="X140" s="29"/>
      <c r="Y140" s="29"/>
      <c r="Z140" s="29"/>
      <c r="AA140" s="29"/>
      <c r="AB140" s="29"/>
      <c r="AC140" s="29"/>
    </row>
    <row r="141" spans="1:29" s="50" customFormat="1" ht="41.25" customHeight="1">
      <c r="A141" s="117"/>
      <c r="B141" s="151" t="s">
        <v>129</v>
      </c>
      <c r="C141" s="163"/>
      <c r="D141" s="164"/>
      <c r="E141" s="165"/>
      <c r="F141" s="166"/>
      <c r="X141" s="29"/>
      <c r="Y141" s="29"/>
      <c r="Z141" s="29"/>
      <c r="AA141" s="29"/>
      <c r="AB141" s="29"/>
      <c r="AC141" s="29"/>
    </row>
    <row r="142" spans="1:29" s="50" customFormat="1" ht="64.5" customHeight="1">
      <c r="A142" s="117"/>
      <c r="B142" s="151" t="s">
        <v>130</v>
      </c>
      <c r="C142" s="163"/>
      <c r="D142" s="164"/>
      <c r="E142" s="165"/>
      <c r="F142" s="166"/>
      <c r="X142" s="29"/>
      <c r="Y142" s="29"/>
      <c r="Z142" s="29"/>
      <c r="AA142" s="29"/>
      <c r="AB142" s="29"/>
      <c r="AC142" s="29"/>
    </row>
    <row r="143" spans="1:29" s="50" customFormat="1" ht="27.75" customHeight="1">
      <c r="A143" s="117"/>
      <c r="B143" s="151" t="s">
        <v>131</v>
      </c>
      <c r="C143" s="163"/>
      <c r="D143" s="164"/>
      <c r="E143" s="165"/>
      <c r="F143" s="166"/>
      <c r="X143" s="29"/>
      <c r="Y143" s="29"/>
      <c r="Z143" s="29"/>
      <c r="AA143" s="29"/>
      <c r="AB143" s="29"/>
      <c r="AC143" s="29"/>
    </row>
    <row r="144" spans="1:29" s="50" customFormat="1" ht="26.4">
      <c r="A144" s="117"/>
      <c r="B144" s="151" t="s">
        <v>132</v>
      </c>
      <c r="C144" s="163"/>
      <c r="D144" s="164"/>
      <c r="E144" s="165"/>
      <c r="F144" s="166"/>
      <c r="X144" s="29"/>
      <c r="Y144" s="29"/>
      <c r="Z144" s="29"/>
      <c r="AA144" s="29"/>
      <c r="AB144" s="29"/>
      <c r="AC144" s="29"/>
    </row>
    <row r="145" spans="1:29" s="50" customFormat="1">
      <c r="A145" s="117"/>
      <c r="B145" s="151" t="s">
        <v>133</v>
      </c>
      <c r="C145" s="163"/>
      <c r="D145" s="164"/>
      <c r="E145" s="165"/>
      <c r="F145" s="166"/>
      <c r="X145" s="29"/>
      <c r="Y145" s="29"/>
      <c r="Z145" s="29"/>
      <c r="AA145" s="29"/>
      <c r="AB145" s="29"/>
      <c r="AC145" s="29"/>
    </row>
    <row r="146" spans="1:29" s="50" customFormat="1" ht="27.75" customHeight="1">
      <c r="A146" s="117"/>
      <c r="B146" s="184" t="s">
        <v>150</v>
      </c>
      <c r="C146" s="163"/>
      <c r="D146" s="164"/>
      <c r="E146" s="165"/>
      <c r="F146" s="166"/>
      <c r="X146" s="29"/>
      <c r="Y146" s="29"/>
      <c r="Z146" s="29"/>
      <c r="AA146" s="29"/>
      <c r="AB146" s="29"/>
      <c r="AC146" s="29"/>
    </row>
    <row r="147" spans="1:29" s="50" customFormat="1">
      <c r="A147" s="117"/>
      <c r="B147" s="151" t="s">
        <v>135</v>
      </c>
      <c r="C147" s="168"/>
      <c r="D147" s="164"/>
      <c r="E147" s="169"/>
      <c r="F147" s="170"/>
      <c r="X147" s="29"/>
      <c r="Y147" s="29"/>
      <c r="Z147" s="29"/>
      <c r="AA147" s="29"/>
      <c r="AB147" s="29"/>
      <c r="AC147" s="29"/>
    </row>
    <row r="148" spans="1:29" s="50" customFormat="1" ht="250.5" customHeight="1">
      <c r="A148" s="117"/>
      <c r="B148" s="151" t="s">
        <v>136</v>
      </c>
      <c r="C148" s="163"/>
      <c r="D148" s="164"/>
      <c r="E148" s="165"/>
      <c r="F148" s="166"/>
      <c r="X148" s="29"/>
      <c r="Y148" s="29"/>
      <c r="Z148" s="29"/>
      <c r="AA148" s="29"/>
      <c r="AB148" s="29"/>
      <c r="AC148" s="29"/>
    </row>
    <row r="149" spans="1:29" s="50" customFormat="1" ht="55.5" customHeight="1">
      <c r="A149" s="117"/>
      <c r="B149" s="151" t="s">
        <v>137</v>
      </c>
      <c r="C149" s="163"/>
      <c r="D149" s="164"/>
      <c r="E149" s="165"/>
      <c r="F149" s="166"/>
      <c r="X149" s="29"/>
      <c r="Y149" s="29"/>
      <c r="Z149" s="29"/>
      <c r="AA149" s="29"/>
      <c r="AB149" s="29"/>
      <c r="AC149" s="29"/>
    </row>
    <row r="150" spans="1:29" s="50" customFormat="1">
      <c r="A150" s="117"/>
      <c r="B150" s="143" t="s">
        <v>104</v>
      </c>
      <c r="C150" s="168"/>
      <c r="D150" s="164"/>
      <c r="E150" s="169"/>
      <c r="F150" s="170"/>
      <c r="X150" s="29"/>
      <c r="Y150" s="29"/>
      <c r="Z150" s="29"/>
      <c r="AA150" s="29"/>
      <c r="AB150" s="29"/>
      <c r="AC150" s="29"/>
    </row>
    <row r="151" spans="1:29" s="50" customFormat="1" ht="39.75" customHeight="1">
      <c r="A151" s="117"/>
      <c r="B151" s="143" t="s">
        <v>138</v>
      </c>
      <c r="C151" s="163"/>
      <c r="D151" s="164"/>
      <c r="E151" s="165"/>
      <c r="F151" s="166"/>
      <c r="X151" s="29"/>
      <c r="Y151" s="29"/>
      <c r="Z151" s="29"/>
      <c r="AA151" s="29"/>
      <c r="AB151" s="29"/>
      <c r="AC151" s="29"/>
    </row>
    <row r="152" spans="1:29" s="50" customFormat="1">
      <c r="A152" s="117"/>
      <c r="B152" s="143" t="s">
        <v>104</v>
      </c>
      <c r="C152" s="168"/>
      <c r="D152" s="164"/>
      <c r="E152" s="169"/>
      <c r="F152" s="170"/>
      <c r="X152" s="29"/>
      <c r="Y152" s="29"/>
      <c r="Z152" s="29"/>
      <c r="AA152" s="29"/>
      <c r="AB152" s="29"/>
      <c r="AC152" s="29"/>
    </row>
    <row r="153" spans="1:29" s="50" customFormat="1">
      <c r="A153" s="117"/>
      <c r="B153" s="143" t="s">
        <v>115</v>
      </c>
      <c r="C153" s="163"/>
      <c r="D153" s="164"/>
      <c r="E153" s="165"/>
      <c r="F153" s="166"/>
      <c r="X153" s="29"/>
      <c r="Y153" s="29"/>
      <c r="Z153" s="29"/>
      <c r="AA153" s="29"/>
      <c r="AB153" s="29"/>
      <c r="AC153" s="29"/>
    </row>
    <row r="154" spans="1:29" s="50" customFormat="1" ht="66.75" customHeight="1">
      <c r="A154" s="117"/>
      <c r="B154" s="143" t="s">
        <v>139</v>
      </c>
      <c r="C154" s="163"/>
      <c r="D154" s="164"/>
      <c r="E154" s="165"/>
      <c r="F154" s="166"/>
      <c r="X154" s="29"/>
      <c r="Y154" s="29"/>
      <c r="Z154" s="29"/>
      <c r="AA154" s="29"/>
      <c r="AB154" s="29"/>
      <c r="AC154" s="29"/>
    </row>
    <row r="155" spans="1:29" s="50" customFormat="1" ht="42.75" customHeight="1">
      <c r="A155" s="117"/>
      <c r="B155" s="143" t="s">
        <v>141</v>
      </c>
      <c r="C155" s="163"/>
      <c r="D155" s="164"/>
      <c r="E155" s="165"/>
      <c r="F155" s="166"/>
      <c r="X155" s="29"/>
      <c r="Y155" s="29"/>
      <c r="Z155" s="29"/>
      <c r="AA155" s="29"/>
      <c r="AB155" s="29"/>
      <c r="AC155" s="29"/>
    </row>
    <row r="156" spans="1:29" s="50" customFormat="1" ht="40.5" customHeight="1">
      <c r="A156" s="117"/>
      <c r="B156" s="143" t="s">
        <v>113</v>
      </c>
      <c r="C156" s="185"/>
      <c r="D156" s="178"/>
      <c r="E156" s="186"/>
      <c r="F156" s="116"/>
      <c r="X156" s="29"/>
      <c r="Y156" s="29"/>
      <c r="Z156" s="29"/>
      <c r="AA156" s="29"/>
      <c r="AB156" s="29"/>
      <c r="AC156" s="29"/>
    </row>
    <row r="157" spans="1:29" s="50" customFormat="1" ht="66" customHeight="1">
      <c r="A157" s="117"/>
      <c r="B157" s="192" t="s">
        <v>151</v>
      </c>
      <c r="C157" s="187"/>
      <c r="D157" s="178"/>
      <c r="E157" s="188"/>
      <c r="F157" s="123"/>
      <c r="X157" s="29"/>
      <c r="Y157" s="29"/>
      <c r="Z157" s="29"/>
      <c r="AA157" s="29"/>
      <c r="AB157" s="29"/>
      <c r="AC157" s="29"/>
    </row>
    <row r="158" spans="1:29" s="50" customFormat="1">
      <c r="A158" s="117"/>
      <c r="B158" s="143" t="s">
        <v>119</v>
      </c>
      <c r="C158" s="29"/>
      <c r="D158" s="29"/>
      <c r="E158" s="118"/>
      <c r="F158" s="119"/>
      <c r="X158" s="29"/>
      <c r="Y158" s="29"/>
      <c r="Z158" s="29"/>
      <c r="AA158" s="29"/>
      <c r="AB158" s="29"/>
      <c r="AC158" s="29"/>
    </row>
    <row r="159" spans="1:29" s="50" customFormat="1" ht="16.2">
      <c r="A159" s="117"/>
      <c r="B159" s="143" t="s">
        <v>152</v>
      </c>
      <c r="C159" s="120" t="s">
        <v>121</v>
      </c>
      <c r="D159" s="189">
        <v>35.6</v>
      </c>
      <c r="E159" s="122">
        <v>53</v>
      </c>
      <c r="F159" s="123">
        <f>D159*E159</f>
        <v>1886.8000000000002</v>
      </c>
      <c r="X159" s="29"/>
      <c r="Y159" s="29"/>
      <c r="Z159" s="29"/>
      <c r="AA159" s="29"/>
      <c r="AB159" s="29"/>
      <c r="AC159" s="29"/>
    </row>
    <row r="160" spans="1:29" s="50" customFormat="1" ht="16.2">
      <c r="A160" s="117"/>
      <c r="B160" s="143" t="s">
        <v>153</v>
      </c>
      <c r="C160" s="120" t="s">
        <v>121</v>
      </c>
      <c r="D160" s="189">
        <v>28.8</v>
      </c>
      <c r="E160" s="122">
        <v>55</v>
      </c>
      <c r="F160" s="123">
        <f>D160*E160</f>
        <v>1584</v>
      </c>
      <c r="X160" s="29"/>
      <c r="Y160" s="29"/>
      <c r="Z160" s="29"/>
      <c r="AA160" s="29"/>
      <c r="AB160" s="29"/>
      <c r="AC160" s="29"/>
    </row>
    <row r="161" spans="1:29" s="50" customFormat="1">
      <c r="A161" s="117"/>
      <c r="B161" s="190"/>
      <c r="C161" s="120"/>
      <c r="D161" s="191"/>
      <c r="E161" s="122"/>
      <c r="F161" s="123"/>
      <c r="X161" s="29"/>
      <c r="Y161" s="29"/>
      <c r="Z161" s="29"/>
      <c r="AA161" s="29"/>
      <c r="AB161" s="29"/>
      <c r="AC161" s="29"/>
    </row>
    <row r="162" spans="1:29" s="50" customFormat="1">
      <c r="A162" s="117"/>
      <c r="B162" s="190"/>
      <c r="C162" s="120"/>
      <c r="D162" s="191"/>
      <c r="E162" s="122"/>
      <c r="F162" s="123"/>
      <c r="X162" s="29"/>
      <c r="Y162" s="29"/>
      <c r="Z162" s="29"/>
      <c r="AA162" s="29"/>
      <c r="AB162" s="29"/>
      <c r="AC162" s="29"/>
    </row>
    <row r="163" spans="1:29" s="50" customFormat="1" ht="56.25" customHeight="1">
      <c r="A163" s="183" t="s">
        <v>154</v>
      </c>
      <c r="B163" s="143" t="s">
        <v>155</v>
      </c>
      <c r="C163" s="120"/>
      <c r="D163" s="191"/>
      <c r="E163" s="122"/>
      <c r="F163" s="123"/>
      <c r="X163" s="29"/>
      <c r="Y163" s="29"/>
      <c r="Z163" s="29"/>
      <c r="AA163" s="29"/>
      <c r="AB163" s="29"/>
      <c r="AC163" s="29"/>
    </row>
    <row r="164" spans="1:29" s="50" customFormat="1" ht="28.5" customHeight="1">
      <c r="A164" s="117"/>
      <c r="B164" s="143" t="s">
        <v>156</v>
      </c>
      <c r="C164" s="120"/>
      <c r="D164" s="191"/>
      <c r="E164" s="122"/>
      <c r="F164" s="123"/>
      <c r="X164" s="29"/>
      <c r="Y164" s="29"/>
      <c r="Z164" s="29"/>
      <c r="AA164" s="29"/>
      <c r="AB164" s="29"/>
      <c r="AC164" s="29"/>
    </row>
    <row r="165" spans="1:29" s="50" customFormat="1" ht="256.5" customHeight="1">
      <c r="A165" s="117"/>
      <c r="B165" s="151" t="s">
        <v>136</v>
      </c>
      <c r="C165" s="120"/>
      <c r="D165" s="191"/>
      <c r="E165" s="122"/>
      <c r="F165" s="123"/>
      <c r="X165" s="29"/>
      <c r="Y165" s="29"/>
      <c r="Z165" s="29"/>
      <c r="AA165" s="29"/>
      <c r="AB165" s="29"/>
      <c r="AC165" s="29"/>
    </row>
    <row r="166" spans="1:29" s="50" customFormat="1">
      <c r="A166" s="117"/>
      <c r="B166" s="143" t="s">
        <v>119</v>
      </c>
      <c r="C166" s="120"/>
      <c r="D166" s="189"/>
      <c r="E166" s="122"/>
      <c r="F166" s="123"/>
      <c r="X166" s="29"/>
      <c r="Y166" s="29"/>
      <c r="Z166" s="29"/>
      <c r="AA166" s="29"/>
      <c r="AB166" s="29"/>
      <c r="AC166" s="29"/>
    </row>
    <row r="167" spans="1:29" s="50" customFormat="1" ht="52.8">
      <c r="A167" s="117"/>
      <c r="B167" s="143" t="s">
        <v>157</v>
      </c>
      <c r="C167" s="120" t="s">
        <v>121</v>
      </c>
      <c r="D167" s="189">
        <v>79.3</v>
      </c>
      <c r="E167" s="122">
        <v>50</v>
      </c>
      <c r="F167" s="123">
        <f>D167*E167</f>
        <v>3965</v>
      </c>
      <c r="X167" s="29"/>
      <c r="Y167" s="29"/>
      <c r="Z167" s="29"/>
      <c r="AA167" s="29"/>
      <c r="AB167" s="29"/>
      <c r="AC167" s="29"/>
    </row>
    <row r="168" spans="1:29" s="50" customFormat="1" ht="52.5" customHeight="1">
      <c r="A168" s="117"/>
      <c r="B168" s="143" t="s">
        <v>158</v>
      </c>
      <c r="C168" s="120" t="s">
        <v>121</v>
      </c>
      <c r="D168" s="189">
        <v>12</v>
      </c>
      <c r="E168" s="122">
        <v>57.68</v>
      </c>
      <c r="F168" s="123">
        <f>D168*E168</f>
        <v>692.16</v>
      </c>
      <c r="X168" s="29"/>
      <c r="Y168" s="29"/>
      <c r="Z168" s="29"/>
      <c r="AA168" s="29"/>
      <c r="AB168" s="29"/>
      <c r="AC168" s="29"/>
    </row>
    <row r="169" spans="1:29" s="50" customFormat="1" ht="52.5" customHeight="1">
      <c r="A169" s="117"/>
      <c r="B169" s="143" t="s">
        <v>159</v>
      </c>
      <c r="C169" s="120" t="s">
        <v>121</v>
      </c>
      <c r="D169" s="189">
        <v>5.5</v>
      </c>
      <c r="E169" s="122">
        <v>45</v>
      </c>
      <c r="F169" s="123">
        <f>D169*E169</f>
        <v>247.5</v>
      </c>
      <c r="X169" s="29"/>
      <c r="Y169" s="29"/>
      <c r="Z169" s="29"/>
      <c r="AA169" s="29"/>
      <c r="AB169" s="29"/>
      <c r="AC169" s="29"/>
    </row>
    <row r="170" spans="1:29" s="50" customFormat="1">
      <c r="A170" s="117"/>
      <c r="B170" s="190"/>
      <c r="C170" s="120"/>
      <c r="D170" s="189"/>
      <c r="E170" s="122"/>
      <c r="F170" s="123"/>
      <c r="X170" s="29"/>
      <c r="Y170" s="29"/>
      <c r="Z170" s="29"/>
      <c r="AA170" s="29"/>
      <c r="AB170" s="29"/>
      <c r="AC170" s="29"/>
    </row>
    <row r="171" spans="1:29" s="50" customFormat="1">
      <c r="A171" s="183"/>
      <c r="B171" s="190"/>
      <c r="C171" s="120"/>
      <c r="D171" s="189"/>
      <c r="E171" s="122"/>
      <c r="F171" s="123"/>
      <c r="X171" s="29"/>
      <c r="Y171" s="29"/>
      <c r="Z171" s="29"/>
      <c r="AA171" s="29"/>
      <c r="AB171" s="29"/>
      <c r="AC171" s="29"/>
    </row>
    <row r="172" spans="1:29" s="50" customFormat="1" ht="15" customHeight="1">
      <c r="A172" s="183" t="s">
        <v>160</v>
      </c>
      <c r="B172" s="143" t="s">
        <v>161</v>
      </c>
      <c r="C172" s="120"/>
      <c r="D172" s="191"/>
      <c r="E172" s="122"/>
      <c r="F172" s="123"/>
      <c r="X172" s="29"/>
      <c r="Y172" s="29"/>
      <c r="Z172" s="29"/>
      <c r="AA172" s="29"/>
      <c r="AB172" s="29"/>
      <c r="AC172" s="29"/>
    </row>
    <row r="173" spans="1:29" s="50" customFormat="1" ht="26.4">
      <c r="A173" s="113"/>
      <c r="B173" s="151" t="s">
        <v>127</v>
      </c>
      <c r="C173" s="163"/>
      <c r="D173" s="164"/>
      <c r="E173" s="165"/>
      <c r="F173" s="166"/>
      <c r="X173" s="29"/>
      <c r="Y173" s="29"/>
      <c r="Z173" s="29"/>
      <c r="AA173" s="29"/>
      <c r="AB173" s="29"/>
      <c r="AC173" s="29"/>
    </row>
    <row r="174" spans="1:29" s="50" customFormat="1" ht="28.5" customHeight="1">
      <c r="A174" s="113"/>
      <c r="B174" s="151" t="s">
        <v>128</v>
      </c>
      <c r="C174" s="163"/>
      <c r="D174" s="164"/>
      <c r="E174" s="165"/>
      <c r="F174" s="166"/>
      <c r="X174" s="29"/>
      <c r="Y174" s="29"/>
      <c r="Z174" s="29"/>
      <c r="AA174" s="29"/>
      <c r="AB174" s="29"/>
      <c r="AC174" s="29"/>
    </row>
    <row r="175" spans="1:29" s="50" customFormat="1">
      <c r="A175" s="117"/>
      <c r="B175" s="151" t="s">
        <v>104</v>
      </c>
      <c r="C175" s="168"/>
      <c r="D175" s="164"/>
      <c r="E175" s="169"/>
      <c r="F175" s="170"/>
      <c r="X175" s="29"/>
      <c r="Y175" s="29"/>
      <c r="Z175" s="29"/>
      <c r="AA175" s="29"/>
      <c r="AB175" s="29"/>
      <c r="AC175" s="29"/>
    </row>
    <row r="176" spans="1:29" s="50" customFormat="1" ht="41.25" customHeight="1">
      <c r="A176" s="117"/>
      <c r="B176" s="151" t="s">
        <v>129</v>
      </c>
      <c r="C176" s="163"/>
      <c r="D176" s="164"/>
      <c r="E176" s="165"/>
      <c r="F176" s="166"/>
      <c r="X176" s="29"/>
      <c r="Y176" s="29"/>
      <c r="Z176" s="29"/>
      <c r="AA176" s="29"/>
      <c r="AB176" s="29"/>
      <c r="AC176" s="29"/>
    </row>
    <row r="177" spans="1:29" s="50" customFormat="1" ht="64.5" customHeight="1">
      <c r="A177" s="117"/>
      <c r="B177" s="151" t="s">
        <v>130</v>
      </c>
      <c r="C177" s="163"/>
      <c r="D177" s="164"/>
      <c r="E177" s="165"/>
      <c r="F177" s="166"/>
      <c r="X177" s="29"/>
      <c r="Y177" s="29"/>
      <c r="Z177" s="29"/>
      <c r="AA177" s="29"/>
      <c r="AB177" s="29"/>
      <c r="AC177" s="29"/>
    </row>
    <row r="178" spans="1:29" s="50" customFormat="1" ht="27.75" customHeight="1">
      <c r="A178" s="117"/>
      <c r="B178" s="151" t="s">
        <v>131</v>
      </c>
      <c r="C178" s="163"/>
      <c r="D178" s="164"/>
      <c r="E178" s="165"/>
      <c r="F178" s="166"/>
      <c r="X178" s="29"/>
      <c r="Y178" s="29"/>
      <c r="Z178" s="29"/>
      <c r="AA178" s="29"/>
      <c r="AB178" s="29"/>
      <c r="AC178" s="29"/>
    </row>
    <row r="179" spans="1:29" s="50" customFormat="1" ht="26.4">
      <c r="A179" s="117"/>
      <c r="B179" s="151" t="s">
        <v>132</v>
      </c>
      <c r="C179" s="163"/>
      <c r="D179" s="164"/>
      <c r="E179" s="165"/>
      <c r="F179" s="166"/>
      <c r="X179" s="29"/>
      <c r="Y179" s="29"/>
      <c r="Z179" s="29"/>
      <c r="AA179" s="29"/>
      <c r="AB179" s="29"/>
      <c r="AC179" s="29"/>
    </row>
    <row r="180" spans="1:29" s="50" customFormat="1">
      <c r="A180" s="117"/>
      <c r="B180" s="151" t="s">
        <v>133</v>
      </c>
      <c r="C180" s="163"/>
      <c r="D180" s="164"/>
      <c r="E180" s="165"/>
      <c r="F180" s="166"/>
      <c r="X180" s="29"/>
      <c r="Y180" s="29"/>
      <c r="Z180" s="29"/>
      <c r="AA180" s="29"/>
      <c r="AB180" s="29"/>
      <c r="AC180" s="29"/>
    </row>
    <row r="181" spans="1:29" s="50" customFormat="1" ht="15.75" customHeight="1">
      <c r="A181" s="117"/>
      <c r="B181" s="184" t="s">
        <v>162</v>
      </c>
      <c r="C181" s="163"/>
      <c r="D181" s="164"/>
      <c r="E181" s="165"/>
      <c r="F181" s="166"/>
      <c r="X181" s="29"/>
      <c r="Y181" s="29"/>
      <c r="Z181" s="29"/>
      <c r="AA181" s="29"/>
      <c r="AB181" s="29"/>
      <c r="AC181" s="29"/>
    </row>
    <row r="182" spans="1:29" s="50" customFormat="1">
      <c r="A182" s="117"/>
      <c r="B182" s="151" t="s">
        <v>135</v>
      </c>
      <c r="C182" s="168"/>
      <c r="D182" s="164"/>
      <c r="E182" s="169"/>
      <c r="F182" s="170"/>
      <c r="X182" s="29"/>
      <c r="Y182" s="29"/>
      <c r="Z182" s="29"/>
      <c r="AA182" s="29"/>
      <c r="AB182" s="29"/>
      <c r="AC182" s="29"/>
    </row>
    <row r="183" spans="1:29" s="50" customFormat="1" ht="250.5" customHeight="1">
      <c r="A183" s="117"/>
      <c r="B183" s="151" t="s">
        <v>136</v>
      </c>
      <c r="C183" s="163"/>
      <c r="D183" s="164"/>
      <c r="E183" s="165"/>
      <c r="F183" s="166"/>
      <c r="X183" s="29"/>
      <c r="Y183" s="29"/>
      <c r="Z183" s="29"/>
      <c r="AA183" s="29"/>
      <c r="AB183" s="29"/>
      <c r="AC183" s="29"/>
    </row>
    <row r="184" spans="1:29" ht="55.5" customHeight="1">
      <c r="A184" s="117"/>
      <c r="B184" s="151" t="s">
        <v>137</v>
      </c>
      <c r="C184" s="163"/>
      <c r="D184" s="164"/>
      <c r="E184" s="165"/>
      <c r="F184" s="166"/>
    </row>
    <row r="185" spans="1:29">
      <c r="A185" s="117"/>
      <c r="B185" s="143" t="s">
        <v>104</v>
      </c>
      <c r="C185" s="168"/>
      <c r="D185" s="164"/>
      <c r="E185" s="169"/>
      <c r="F185" s="170"/>
    </row>
    <row r="186" spans="1:29" ht="39.75" customHeight="1">
      <c r="A186" s="117"/>
      <c r="B186" s="143" t="s">
        <v>138</v>
      </c>
      <c r="C186" s="163"/>
      <c r="D186" s="164"/>
      <c r="E186" s="165"/>
      <c r="F186" s="166"/>
    </row>
    <row r="187" spans="1:29">
      <c r="A187" s="117"/>
      <c r="B187" s="143" t="s">
        <v>104</v>
      </c>
      <c r="C187" s="168"/>
      <c r="D187" s="164"/>
      <c r="E187" s="169"/>
      <c r="F187" s="170"/>
    </row>
    <row r="188" spans="1:29">
      <c r="A188" s="117"/>
      <c r="B188" s="143" t="s">
        <v>115</v>
      </c>
      <c r="C188" s="163"/>
      <c r="D188" s="164"/>
      <c r="E188" s="165"/>
      <c r="F188" s="166"/>
    </row>
    <row r="189" spans="1:29" ht="66.75" customHeight="1">
      <c r="A189" s="117"/>
      <c r="B189" s="143" t="s">
        <v>139</v>
      </c>
      <c r="C189" s="163"/>
      <c r="D189" s="164"/>
      <c r="E189" s="165"/>
      <c r="F189" s="166"/>
    </row>
    <row r="190" spans="1:29" ht="42.75" customHeight="1">
      <c r="A190" s="117"/>
      <c r="B190" s="143" t="s">
        <v>141</v>
      </c>
      <c r="C190" s="163"/>
      <c r="D190" s="164"/>
      <c r="E190" s="165"/>
      <c r="F190" s="166"/>
    </row>
    <row r="191" spans="1:29" ht="40.5" customHeight="1">
      <c r="A191" s="117"/>
      <c r="B191" s="143" t="s">
        <v>113</v>
      </c>
      <c r="C191" s="185"/>
      <c r="D191" s="178"/>
      <c r="E191" s="186"/>
      <c r="F191" s="116"/>
    </row>
    <row r="192" spans="1:29" ht="42" customHeight="1">
      <c r="A192" s="183"/>
      <c r="B192" s="143" t="s">
        <v>163</v>
      </c>
      <c r="C192" s="120"/>
      <c r="D192" s="189"/>
      <c r="E192" s="122"/>
      <c r="F192" s="123"/>
    </row>
    <row r="193" spans="1:23">
      <c r="A193" s="117"/>
      <c r="B193" s="143" t="s">
        <v>164</v>
      </c>
      <c r="C193" s="120"/>
      <c r="D193" s="189"/>
      <c r="E193" s="122"/>
      <c r="F193" s="123"/>
    </row>
    <row r="194" spans="1:23" ht="16.2">
      <c r="A194" s="117"/>
      <c r="B194" s="143" t="s">
        <v>165</v>
      </c>
      <c r="C194" s="120" t="s">
        <v>166</v>
      </c>
      <c r="D194" s="189">
        <v>6.4</v>
      </c>
      <c r="E194" s="122">
        <v>30</v>
      </c>
      <c r="F194" s="123">
        <f t="shared" ref="F194:F196" si="0">D194*E194</f>
        <v>192</v>
      </c>
    </row>
    <row r="195" spans="1:23" ht="16.2">
      <c r="A195" s="117"/>
      <c r="B195" s="143" t="s">
        <v>167</v>
      </c>
      <c r="C195" s="120" t="s">
        <v>166</v>
      </c>
      <c r="D195" s="189">
        <v>21</v>
      </c>
      <c r="E195" s="122">
        <v>23</v>
      </c>
      <c r="F195" s="123">
        <f t="shared" si="0"/>
        <v>483</v>
      </c>
    </row>
    <row r="196" spans="1:23" ht="16.2">
      <c r="A196" s="117"/>
      <c r="B196" s="143" t="s">
        <v>168</v>
      </c>
      <c r="C196" s="120" t="s">
        <v>166</v>
      </c>
      <c r="D196" s="189">
        <v>40.4</v>
      </c>
      <c r="E196" s="122">
        <v>28</v>
      </c>
      <c r="F196" s="123">
        <f t="shared" si="0"/>
        <v>1131.2</v>
      </c>
    </row>
    <row r="197" spans="1:23">
      <c r="A197" s="117"/>
      <c r="B197" s="29"/>
      <c r="C197" s="29"/>
      <c r="D197" s="29"/>
      <c r="E197" s="118"/>
      <c r="F197" s="123"/>
    </row>
    <row r="198" spans="1:23">
      <c r="A198" s="117"/>
      <c r="B198" s="190"/>
      <c r="C198" s="120"/>
      <c r="D198" s="189"/>
      <c r="E198" s="122"/>
      <c r="F198" s="123"/>
    </row>
    <row r="199" spans="1:23" s="179" customFormat="1" ht="94.5" customHeight="1">
      <c r="A199" s="193" t="s">
        <v>169</v>
      </c>
      <c r="B199" s="109" t="s">
        <v>170</v>
      </c>
      <c r="C199" s="162"/>
      <c r="D199" s="135"/>
      <c r="E199" s="76"/>
      <c r="F199" s="108"/>
      <c r="G199" s="50"/>
      <c r="H199" s="50"/>
      <c r="I199" s="50"/>
      <c r="J199" s="50"/>
      <c r="K199" s="50"/>
      <c r="L199" s="50"/>
      <c r="M199" s="50"/>
      <c r="N199" s="50"/>
      <c r="O199" s="50"/>
      <c r="P199" s="50"/>
      <c r="Q199" s="50"/>
      <c r="R199" s="50"/>
      <c r="S199" s="50"/>
      <c r="T199" s="50"/>
      <c r="U199" s="50"/>
      <c r="V199" s="50"/>
      <c r="W199" s="50"/>
    </row>
    <row r="200" spans="1:23" s="179" customFormat="1" ht="28.5" customHeight="1">
      <c r="A200" s="193"/>
      <c r="B200" s="109" t="s">
        <v>171</v>
      </c>
      <c r="C200" s="162"/>
      <c r="D200" s="135"/>
      <c r="E200" s="76"/>
      <c r="F200" s="108"/>
      <c r="G200" s="50"/>
      <c r="H200" s="50"/>
      <c r="I200" s="50"/>
      <c r="J200" s="50"/>
      <c r="K200" s="50"/>
      <c r="L200" s="50"/>
      <c r="M200" s="50"/>
      <c r="N200" s="50"/>
      <c r="O200" s="50"/>
      <c r="P200" s="50"/>
      <c r="Q200" s="50"/>
      <c r="R200" s="50"/>
      <c r="S200" s="50"/>
      <c r="T200" s="50"/>
      <c r="U200" s="50"/>
      <c r="V200" s="50"/>
      <c r="W200" s="50"/>
    </row>
    <row r="201" spans="1:23" s="179" customFormat="1" ht="27" customHeight="1">
      <c r="A201" s="193"/>
      <c r="B201" s="151" t="s">
        <v>102</v>
      </c>
      <c r="C201" s="162"/>
      <c r="D201" s="135"/>
      <c r="E201" s="76"/>
      <c r="F201" s="108"/>
      <c r="G201" s="50"/>
      <c r="H201" s="50"/>
      <c r="I201" s="50"/>
      <c r="J201" s="50"/>
      <c r="K201" s="50"/>
      <c r="L201" s="50"/>
      <c r="M201" s="50"/>
      <c r="N201" s="50"/>
      <c r="O201" s="50"/>
      <c r="P201" s="50"/>
      <c r="Q201" s="50"/>
      <c r="R201" s="50"/>
      <c r="S201" s="50"/>
      <c r="T201" s="50"/>
      <c r="U201" s="50"/>
      <c r="V201" s="50"/>
      <c r="W201" s="50"/>
    </row>
    <row r="202" spans="1:23" s="179" customFormat="1" ht="28.5" customHeight="1">
      <c r="A202" s="193"/>
      <c r="B202" s="151" t="s">
        <v>103</v>
      </c>
      <c r="C202" s="162"/>
      <c r="D202" s="135"/>
      <c r="E202" s="76"/>
      <c r="F202" s="108"/>
      <c r="G202" s="50"/>
      <c r="H202" s="50"/>
      <c r="I202" s="50"/>
      <c r="J202" s="50"/>
      <c r="K202" s="50"/>
      <c r="L202" s="50"/>
      <c r="M202" s="50"/>
      <c r="N202" s="50"/>
      <c r="O202" s="50"/>
      <c r="P202" s="50"/>
      <c r="Q202" s="50"/>
      <c r="R202" s="50"/>
      <c r="S202" s="50"/>
      <c r="T202" s="50"/>
      <c r="U202" s="50"/>
      <c r="V202" s="50"/>
      <c r="W202" s="50"/>
    </row>
    <row r="203" spans="1:23" s="179" customFormat="1" ht="17.25" customHeight="1">
      <c r="A203" s="193"/>
      <c r="B203" s="151" t="s">
        <v>104</v>
      </c>
      <c r="C203" s="162"/>
      <c r="D203" s="135"/>
      <c r="E203" s="76"/>
      <c r="F203" s="108"/>
      <c r="G203" s="50"/>
      <c r="H203" s="50"/>
      <c r="I203" s="50"/>
      <c r="J203" s="50"/>
      <c r="K203" s="50"/>
      <c r="L203" s="50"/>
      <c r="M203" s="50"/>
      <c r="N203" s="50"/>
      <c r="O203" s="50"/>
      <c r="P203" s="50"/>
      <c r="Q203" s="50"/>
      <c r="R203" s="50"/>
      <c r="S203" s="50"/>
      <c r="T203" s="50"/>
      <c r="U203" s="50"/>
      <c r="V203" s="50"/>
      <c r="W203" s="50"/>
    </row>
    <row r="204" spans="1:23" s="179" customFormat="1" ht="28.5" customHeight="1">
      <c r="A204" s="193"/>
      <c r="B204" s="151" t="s">
        <v>105</v>
      </c>
      <c r="C204" s="162"/>
      <c r="D204" s="135"/>
      <c r="E204" s="76"/>
      <c r="F204" s="108"/>
      <c r="G204" s="50"/>
      <c r="H204" s="50"/>
      <c r="I204" s="50"/>
      <c r="J204" s="50"/>
      <c r="K204" s="50"/>
      <c r="L204" s="50"/>
      <c r="M204" s="50"/>
      <c r="N204" s="50"/>
      <c r="O204" s="50"/>
      <c r="P204" s="50"/>
      <c r="Q204" s="50"/>
      <c r="R204" s="50"/>
      <c r="S204" s="50"/>
      <c r="T204" s="50"/>
      <c r="U204" s="50"/>
      <c r="V204" s="50"/>
      <c r="W204" s="50"/>
    </row>
    <row r="205" spans="1:23" s="179" customFormat="1" ht="15.75" customHeight="1">
      <c r="A205" s="193"/>
      <c r="B205" s="151" t="s">
        <v>172</v>
      </c>
      <c r="C205" s="162"/>
      <c r="D205" s="135"/>
      <c r="E205" s="76"/>
      <c r="F205" s="108"/>
      <c r="G205" s="50"/>
      <c r="H205" s="50"/>
      <c r="I205" s="50"/>
      <c r="J205" s="50"/>
      <c r="K205" s="50"/>
      <c r="L205" s="50"/>
      <c r="M205" s="50"/>
      <c r="N205" s="50"/>
      <c r="O205" s="50"/>
      <c r="P205" s="50"/>
      <c r="Q205" s="50"/>
      <c r="R205" s="50"/>
      <c r="S205" s="50"/>
      <c r="T205" s="50"/>
      <c r="U205" s="50"/>
      <c r="V205" s="50"/>
      <c r="W205" s="50"/>
    </row>
    <row r="206" spans="1:23" s="179" customFormat="1" ht="15" customHeight="1">
      <c r="A206" s="193"/>
      <c r="B206" s="151" t="s">
        <v>108</v>
      </c>
      <c r="C206" s="162"/>
      <c r="D206" s="135"/>
      <c r="E206" s="76"/>
      <c r="F206" s="108"/>
      <c r="G206" s="50"/>
      <c r="H206" s="50"/>
      <c r="I206" s="50"/>
      <c r="J206" s="50"/>
      <c r="K206" s="50"/>
      <c r="L206" s="50"/>
      <c r="M206" s="50"/>
      <c r="N206" s="50"/>
      <c r="O206" s="50"/>
      <c r="P206" s="50"/>
      <c r="Q206" s="50"/>
      <c r="R206" s="50"/>
      <c r="S206" s="50"/>
      <c r="T206" s="50"/>
      <c r="U206" s="50"/>
      <c r="V206" s="50"/>
      <c r="W206" s="50"/>
    </row>
    <row r="207" spans="1:23" s="179" customFormat="1" ht="42" customHeight="1">
      <c r="A207" s="193"/>
      <c r="B207" s="151" t="s">
        <v>173</v>
      </c>
      <c r="C207" s="162"/>
      <c r="D207" s="135"/>
      <c r="E207" s="76"/>
      <c r="F207" s="108"/>
      <c r="G207" s="50"/>
      <c r="H207" s="50"/>
      <c r="I207" s="50"/>
      <c r="J207" s="50"/>
      <c r="K207" s="50"/>
      <c r="L207" s="50"/>
      <c r="M207" s="50"/>
      <c r="N207" s="50"/>
      <c r="O207" s="50"/>
      <c r="P207" s="50"/>
      <c r="Q207" s="50"/>
      <c r="R207" s="50"/>
      <c r="S207" s="50"/>
      <c r="T207" s="50"/>
      <c r="U207" s="50"/>
      <c r="V207" s="50"/>
      <c r="W207" s="50"/>
    </row>
    <row r="208" spans="1:23" s="179" customFormat="1" ht="42" customHeight="1">
      <c r="A208" s="193"/>
      <c r="B208" s="109" t="s">
        <v>174</v>
      </c>
      <c r="C208" s="162"/>
      <c r="D208" s="135"/>
      <c r="E208" s="76"/>
      <c r="F208" s="108"/>
      <c r="G208" s="50"/>
      <c r="H208" s="50"/>
      <c r="I208" s="50"/>
      <c r="J208" s="50"/>
      <c r="K208" s="50"/>
      <c r="L208" s="50"/>
      <c r="M208" s="50"/>
      <c r="N208" s="50"/>
      <c r="O208" s="50"/>
      <c r="P208" s="50"/>
      <c r="Q208" s="50"/>
      <c r="R208" s="50"/>
      <c r="S208" s="50"/>
      <c r="T208" s="50"/>
      <c r="U208" s="50"/>
      <c r="V208" s="50"/>
      <c r="W208" s="50"/>
    </row>
    <row r="209" spans="1:29" s="179" customFormat="1" ht="42.75" customHeight="1">
      <c r="A209" s="193"/>
      <c r="B209" s="192" t="s">
        <v>175</v>
      </c>
      <c r="C209" s="162"/>
      <c r="D209" s="135"/>
      <c r="E209" s="76"/>
      <c r="F209" s="108"/>
      <c r="G209" s="50"/>
      <c r="H209" s="50"/>
      <c r="I209" s="50"/>
      <c r="J209" s="50"/>
      <c r="K209" s="50"/>
      <c r="L209" s="50"/>
      <c r="M209" s="50"/>
      <c r="N209" s="50"/>
      <c r="O209" s="50"/>
      <c r="P209" s="50"/>
      <c r="Q209" s="50"/>
      <c r="R209" s="50"/>
      <c r="S209" s="50"/>
      <c r="T209" s="50"/>
      <c r="U209" s="50"/>
      <c r="V209" s="50"/>
      <c r="W209" s="50"/>
    </row>
    <row r="210" spans="1:29" s="179" customFormat="1" ht="15.6">
      <c r="A210" s="194"/>
      <c r="B210" s="143" t="s">
        <v>176</v>
      </c>
      <c r="C210" s="162"/>
      <c r="D210" s="195"/>
      <c r="E210" s="76"/>
      <c r="F210" s="108"/>
      <c r="G210" s="50"/>
      <c r="H210" s="50"/>
      <c r="I210" s="50"/>
      <c r="J210" s="50"/>
      <c r="K210" s="50"/>
      <c r="L210" s="50"/>
      <c r="M210" s="50"/>
      <c r="N210" s="50"/>
      <c r="O210" s="50"/>
      <c r="P210" s="50"/>
      <c r="Q210" s="50"/>
      <c r="R210" s="50"/>
      <c r="S210" s="50"/>
      <c r="T210" s="50"/>
      <c r="U210" s="50"/>
      <c r="V210" s="50"/>
      <c r="W210" s="50"/>
    </row>
    <row r="211" spans="1:29" s="179" customFormat="1" ht="16.2">
      <c r="A211" s="194"/>
      <c r="B211" s="196" t="s">
        <v>177</v>
      </c>
      <c r="C211" s="197" t="s">
        <v>121</v>
      </c>
      <c r="D211" s="195">
        <v>6.8</v>
      </c>
      <c r="E211" s="76">
        <v>50</v>
      </c>
      <c r="F211" s="108">
        <f>D211*E211</f>
        <v>340</v>
      </c>
      <c r="G211" s="50"/>
      <c r="H211" s="50"/>
      <c r="I211" s="50"/>
      <c r="J211" s="50"/>
      <c r="K211" s="50"/>
      <c r="L211" s="50"/>
      <c r="M211" s="50"/>
      <c r="N211" s="50"/>
      <c r="O211" s="50"/>
      <c r="P211" s="50"/>
      <c r="Q211" s="50"/>
      <c r="R211" s="50"/>
      <c r="S211" s="50"/>
      <c r="T211" s="50"/>
      <c r="U211" s="50"/>
      <c r="V211" s="50"/>
      <c r="W211" s="50"/>
    </row>
    <row r="212" spans="1:29" s="179" customFormat="1" ht="16.2">
      <c r="A212" s="125"/>
      <c r="B212" s="196" t="s">
        <v>178</v>
      </c>
      <c r="C212" s="197" t="s">
        <v>121</v>
      </c>
      <c r="D212" s="195">
        <v>1.6</v>
      </c>
      <c r="E212" s="76">
        <v>50</v>
      </c>
      <c r="F212" s="108">
        <f>D212*E212</f>
        <v>80</v>
      </c>
      <c r="G212" s="50"/>
      <c r="H212" s="50"/>
      <c r="I212" s="50"/>
      <c r="J212" s="50"/>
      <c r="K212" s="50"/>
      <c r="L212" s="50"/>
      <c r="M212" s="50"/>
      <c r="N212" s="50"/>
      <c r="O212" s="50"/>
      <c r="P212" s="50"/>
      <c r="Q212" s="50"/>
      <c r="R212" s="50"/>
      <c r="S212" s="50"/>
      <c r="T212" s="50"/>
      <c r="U212" s="50"/>
      <c r="V212" s="50"/>
      <c r="W212" s="50"/>
    </row>
    <row r="213" spans="1:29" s="179" customFormat="1" ht="16.2">
      <c r="A213" s="125"/>
      <c r="B213" s="196" t="s">
        <v>179</v>
      </c>
      <c r="C213" s="197" t="s">
        <v>121</v>
      </c>
      <c r="D213" s="195">
        <v>2.2999999999999998</v>
      </c>
      <c r="E213" s="76">
        <v>40</v>
      </c>
      <c r="F213" s="108">
        <f>D213*E213</f>
        <v>92</v>
      </c>
      <c r="G213" s="50"/>
      <c r="H213" s="50"/>
      <c r="I213" s="50"/>
      <c r="J213" s="50"/>
      <c r="K213" s="50"/>
      <c r="L213" s="50"/>
      <c r="M213" s="50"/>
      <c r="N213" s="50"/>
      <c r="O213" s="50"/>
      <c r="P213" s="50"/>
      <c r="Q213" s="50"/>
      <c r="R213" s="50"/>
      <c r="S213" s="50"/>
      <c r="T213" s="50"/>
      <c r="U213" s="50"/>
      <c r="V213" s="50"/>
      <c r="W213" s="50"/>
    </row>
    <row r="214" spans="1:29" s="179" customFormat="1" ht="16.2">
      <c r="A214" s="125"/>
      <c r="B214" s="196" t="s">
        <v>180</v>
      </c>
      <c r="C214" s="197" t="s">
        <v>121</v>
      </c>
      <c r="D214" s="195">
        <v>3.2</v>
      </c>
      <c r="E214" s="76">
        <v>44</v>
      </c>
      <c r="F214" s="108">
        <f>D214*E214</f>
        <v>140.80000000000001</v>
      </c>
      <c r="G214" s="50"/>
      <c r="H214" s="50"/>
      <c r="I214" s="50"/>
      <c r="J214" s="50"/>
      <c r="K214" s="50"/>
      <c r="L214" s="50"/>
      <c r="M214" s="50"/>
      <c r="N214" s="50"/>
      <c r="O214" s="50"/>
      <c r="P214" s="50"/>
      <c r="Q214" s="50"/>
      <c r="R214" s="50"/>
      <c r="S214" s="50"/>
      <c r="T214" s="50"/>
      <c r="U214" s="50"/>
      <c r="V214" s="50"/>
      <c r="W214" s="50"/>
    </row>
    <row r="215" spans="1:29">
      <c r="A215" s="113"/>
      <c r="B215" s="143"/>
      <c r="C215" s="120"/>
      <c r="D215" s="191"/>
      <c r="E215" s="122"/>
      <c r="F215" s="123"/>
    </row>
    <row r="216" spans="1:29" s="50" customFormat="1">
      <c r="A216" s="125"/>
      <c r="B216" s="190"/>
      <c r="C216" s="198"/>
      <c r="D216" s="191"/>
      <c r="E216" s="115"/>
      <c r="F216" s="116"/>
      <c r="X216" s="29"/>
      <c r="Y216" s="29"/>
      <c r="Z216" s="29"/>
      <c r="AA216" s="29"/>
      <c r="AB216" s="29"/>
      <c r="AC216" s="29"/>
    </row>
    <row r="217" spans="1:29" s="50" customFormat="1" ht="54.75" customHeight="1">
      <c r="A217" s="125" t="s">
        <v>181</v>
      </c>
      <c r="B217" s="143" t="s">
        <v>182</v>
      </c>
      <c r="C217" s="181"/>
      <c r="D217" s="182"/>
      <c r="E217" s="169"/>
      <c r="F217" s="166"/>
      <c r="X217" s="29"/>
      <c r="Y217" s="29"/>
      <c r="Z217" s="29"/>
      <c r="AA217" s="29"/>
      <c r="AB217" s="29"/>
      <c r="AC217" s="29"/>
    </row>
    <row r="218" spans="1:29" s="50" customFormat="1" ht="26.4">
      <c r="A218" s="113"/>
      <c r="B218" s="151" t="s">
        <v>127</v>
      </c>
      <c r="C218" s="163"/>
      <c r="D218" s="164"/>
      <c r="E218" s="165"/>
      <c r="F218" s="166"/>
      <c r="X218" s="29"/>
      <c r="Y218" s="29"/>
      <c r="Z218" s="29"/>
      <c r="AA218" s="29"/>
      <c r="AB218" s="29"/>
      <c r="AC218" s="29"/>
    </row>
    <row r="219" spans="1:29" s="50" customFormat="1" ht="27">
      <c r="A219" s="117"/>
      <c r="B219" s="151" t="s">
        <v>128</v>
      </c>
      <c r="C219" s="163"/>
      <c r="D219" s="164"/>
      <c r="E219" s="165"/>
      <c r="F219" s="166"/>
      <c r="X219" s="29"/>
      <c r="Y219" s="29"/>
      <c r="Z219" s="29"/>
      <c r="AA219" s="29"/>
      <c r="AB219" s="29"/>
      <c r="AC219" s="29"/>
    </row>
    <row r="220" spans="1:29" s="50" customFormat="1">
      <c r="A220" s="117"/>
      <c r="B220" s="151" t="s">
        <v>104</v>
      </c>
      <c r="C220" s="168"/>
      <c r="D220" s="164"/>
      <c r="E220" s="169"/>
      <c r="F220" s="170"/>
      <c r="X220" s="29"/>
      <c r="Y220" s="29"/>
      <c r="Z220" s="29"/>
      <c r="AA220" s="29"/>
      <c r="AB220" s="29"/>
      <c r="AC220" s="29"/>
    </row>
    <row r="221" spans="1:29" s="50" customFormat="1" ht="42">
      <c r="A221" s="117"/>
      <c r="B221" s="143" t="s">
        <v>183</v>
      </c>
      <c r="C221" s="163"/>
      <c r="D221" s="164"/>
      <c r="E221" s="165"/>
      <c r="F221" s="166"/>
      <c r="X221" s="29"/>
      <c r="Y221" s="29"/>
      <c r="Z221" s="29"/>
      <c r="AA221" s="29"/>
      <c r="AB221" s="29"/>
      <c r="AC221" s="29"/>
    </row>
    <row r="222" spans="1:29" s="50" customFormat="1" ht="66">
      <c r="A222" s="117"/>
      <c r="B222" s="151" t="s">
        <v>130</v>
      </c>
      <c r="C222" s="163"/>
      <c r="D222" s="164"/>
      <c r="E222" s="165"/>
      <c r="F222" s="166"/>
      <c r="X222" s="29"/>
      <c r="Y222" s="29"/>
      <c r="Z222" s="29"/>
      <c r="AA222" s="29"/>
      <c r="AB222" s="29"/>
      <c r="AC222" s="29"/>
    </row>
    <row r="223" spans="1:29" s="50" customFormat="1" ht="27.75" customHeight="1">
      <c r="A223" s="117"/>
      <c r="B223" s="151" t="s">
        <v>131</v>
      </c>
      <c r="C223" s="163"/>
      <c r="D223" s="164"/>
      <c r="E223" s="165"/>
      <c r="F223" s="166"/>
      <c r="X223" s="29"/>
      <c r="Y223" s="29"/>
      <c r="Z223" s="29"/>
      <c r="AA223" s="29"/>
      <c r="AB223" s="29"/>
      <c r="AC223" s="29"/>
    </row>
    <row r="224" spans="1:29" s="50" customFormat="1" ht="26.4">
      <c r="A224" s="117"/>
      <c r="B224" s="151" t="s">
        <v>132</v>
      </c>
      <c r="C224" s="163"/>
      <c r="D224" s="164"/>
      <c r="E224" s="165"/>
      <c r="F224" s="166"/>
      <c r="X224" s="29"/>
      <c r="Y224" s="29"/>
      <c r="Z224" s="29"/>
      <c r="AA224" s="29"/>
      <c r="AB224" s="29"/>
      <c r="AC224" s="29"/>
    </row>
    <row r="225" spans="1:29" s="50" customFormat="1">
      <c r="A225" s="117"/>
      <c r="B225" s="151" t="s">
        <v>133</v>
      </c>
      <c r="C225" s="163"/>
      <c r="D225" s="164"/>
      <c r="E225" s="165"/>
      <c r="F225" s="166"/>
      <c r="X225" s="29"/>
      <c r="Y225" s="29"/>
      <c r="Z225" s="29"/>
      <c r="AA225" s="29"/>
      <c r="AB225" s="29"/>
      <c r="AC225" s="29"/>
    </row>
    <row r="226" spans="1:29" s="50" customFormat="1">
      <c r="A226" s="117"/>
      <c r="B226" s="184" t="s">
        <v>184</v>
      </c>
      <c r="C226" s="163"/>
      <c r="D226" s="164"/>
      <c r="E226" s="165"/>
      <c r="F226" s="166"/>
      <c r="X226" s="29"/>
      <c r="Y226" s="29"/>
      <c r="Z226" s="29"/>
      <c r="AA226" s="29"/>
      <c r="AB226" s="29"/>
      <c r="AC226" s="29"/>
    </row>
    <row r="227" spans="1:29" s="50" customFormat="1">
      <c r="A227" s="117"/>
      <c r="B227" s="151" t="s">
        <v>135</v>
      </c>
      <c r="C227" s="168"/>
      <c r="D227" s="164"/>
      <c r="E227" s="169"/>
      <c r="F227" s="170"/>
      <c r="X227" s="29"/>
      <c r="Y227" s="29"/>
      <c r="Z227" s="29"/>
      <c r="AA227" s="29"/>
      <c r="AB227" s="29"/>
      <c r="AC227" s="29"/>
    </row>
    <row r="228" spans="1:29" s="50" customFormat="1" ht="250.5" customHeight="1">
      <c r="A228" s="117"/>
      <c r="B228" s="151" t="s">
        <v>136</v>
      </c>
      <c r="C228" s="163"/>
      <c r="D228" s="164"/>
      <c r="E228" s="165"/>
      <c r="F228" s="166"/>
      <c r="X228" s="29"/>
      <c r="Y228" s="29"/>
      <c r="Z228" s="29"/>
      <c r="AA228" s="29"/>
      <c r="AB228" s="29"/>
      <c r="AC228" s="29"/>
    </row>
    <row r="229" spans="1:29" s="50" customFormat="1" ht="55.5" customHeight="1">
      <c r="A229" s="117"/>
      <c r="B229" s="143" t="s">
        <v>185</v>
      </c>
      <c r="C229" s="163"/>
      <c r="D229" s="164"/>
      <c r="E229" s="165"/>
      <c r="F229" s="166"/>
      <c r="X229" s="29"/>
      <c r="Y229" s="29"/>
      <c r="Z229" s="29"/>
      <c r="AA229" s="29"/>
      <c r="AB229" s="29"/>
      <c r="AC229" s="29"/>
    </row>
    <row r="230" spans="1:29" s="50" customFormat="1">
      <c r="A230" s="117"/>
      <c r="B230" s="143" t="s">
        <v>104</v>
      </c>
      <c r="C230" s="168"/>
      <c r="D230" s="164"/>
      <c r="E230" s="169"/>
      <c r="F230" s="170"/>
      <c r="X230" s="29"/>
      <c r="Y230" s="29"/>
      <c r="Z230" s="29"/>
      <c r="AA230" s="29"/>
      <c r="AB230" s="29"/>
      <c r="AC230" s="29"/>
    </row>
    <row r="231" spans="1:29" s="50" customFormat="1" ht="39.6">
      <c r="A231" s="117"/>
      <c r="B231" s="143" t="s">
        <v>186</v>
      </c>
      <c r="C231" s="163"/>
      <c r="D231" s="164"/>
      <c r="E231" s="165"/>
      <c r="F231" s="166"/>
      <c r="X231" s="29"/>
      <c r="Y231" s="29"/>
      <c r="Z231" s="29"/>
      <c r="AA231" s="29"/>
      <c r="AB231" s="29"/>
      <c r="AC231" s="29"/>
    </row>
    <row r="232" spans="1:29" s="50" customFormat="1">
      <c r="A232" s="117"/>
      <c r="B232" s="143" t="s">
        <v>104</v>
      </c>
      <c r="C232" s="168"/>
      <c r="D232" s="164"/>
      <c r="E232" s="169"/>
      <c r="F232" s="170"/>
      <c r="X232" s="29"/>
      <c r="Y232" s="29"/>
      <c r="Z232" s="29"/>
      <c r="AA232" s="29"/>
      <c r="AB232" s="29"/>
      <c r="AC232" s="29"/>
    </row>
    <row r="233" spans="1:29" s="50" customFormat="1">
      <c r="A233" s="117"/>
      <c r="B233" s="143" t="s">
        <v>115</v>
      </c>
      <c r="C233" s="163"/>
      <c r="D233" s="164"/>
      <c r="E233" s="165"/>
      <c r="F233" s="166"/>
      <c r="X233" s="29"/>
      <c r="Y233" s="29"/>
      <c r="Z233" s="29"/>
      <c r="AA233" s="29"/>
      <c r="AB233" s="29"/>
      <c r="AC233" s="29"/>
    </row>
    <row r="234" spans="1:29" s="50" customFormat="1" ht="66">
      <c r="A234" s="117"/>
      <c r="B234" s="143" t="s">
        <v>139</v>
      </c>
      <c r="C234" s="163"/>
      <c r="D234" s="178"/>
      <c r="E234" s="186"/>
      <c r="F234" s="116"/>
      <c r="X234" s="29"/>
      <c r="Y234" s="29"/>
      <c r="Z234" s="29"/>
      <c r="AA234" s="29"/>
      <c r="AB234" s="29"/>
      <c r="AC234" s="29"/>
    </row>
    <row r="235" spans="1:29" s="50" customFormat="1" ht="27.75" customHeight="1">
      <c r="A235" s="177"/>
      <c r="B235" s="143" t="s">
        <v>187</v>
      </c>
      <c r="C235" s="198"/>
      <c r="D235" s="199"/>
      <c r="E235" s="115"/>
      <c r="F235" s="116"/>
      <c r="X235" s="29"/>
      <c r="Y235" s="29"/>
      <c r="Z235" s="29"/>
      <c r="AA235" s="29"/>
      <c r="AB235" s="29"/>
      <c r="AC235" s="29"/>
    </row>
    <row r="236" spans="1:29" s="50" customFormat="1" ht="15" customHeight="1">
      <c r="A236" s="125"/>
      <c r="B236" s="143" t="s">
        <v>188</v>
      </c>
      <c r="C236" s="198"/>
      <c r="D236" s="199"/>
      <c r="E236" s="122"/>
      <c r="F236" s="123"/>
      <c r="X236" s="29"/>
      <c r="Y236" s="29"/>
      <c r="Z236" s="29"/>
      <c r="AA236" s="29"/>
      <c r="AB236" s="29"/>
      <c r="AC236" s="29"/>
    </row>
    <row r="237" spans="1:29" s="50" customFormat="1" ht="16.2">
      <c r="A237" s="125"/>
      <c r="B237" s="143" t="s">
        <v>119</v>
      </c>
      <c r="C237" s="120" t="s">
        <v>121</v>
      </c>
      <c r="D237" s="189">
        <v>109.4</v>
      </c>
      <c r="E237" s="122">
        <v>50</v>
      </c>
      <c r="F237" s="123">
        <f>D237*E237</f>
        <v>5470</v>
      </c>
      <c r="X237" s="29"/>
      <c r="Y237" s="29"/>
      <c r="Z237" s="29"/>
      <c r="AA237" s="29"/>
      <c r="AB237" s="29"/>
      <c r="AC237" s="29"/>
    </row>
    <row r="238" spans="1:29" s="50" customFormat="1">
      <c r="A238" s="125"/>
      <c r="B238" s="190"/>
      <c r="C238" s="198"/>
      <c r="D238" s="191"/>
      <c r="E238" s="115"/>
      <c r="F238" s="116"/>
      <c r="X238" s="29"/>
      <c r="Y238" s="29"/>
      <c r="Z238" s="29"/>
      <c r="AA238" s="29"/>
      <c r="AB238" s="29"/>
      <c r="AC238" s="29"/>
    </row>
    <row r="239" spans="1:29" s="50" customFormat="1">
      <c r="A239" s="125"/>
      <c r="B239" s="190"/>
      <c r="C239" s="198"/>
      <c r="D239" s="191"/>
      <c r="E239" s="115"/>
      <c r="F239" s="116"/>
      <c r="X239" s="29"/>
      <c r="Y239" s="29"/>
      <c r="Z239" s="29"/>
      <c r="AA239" s="29"/>
      <c r="AB239" s="29"/>
      <c r="AC239" s="29"/>
    </row>
    <row r="240" spans="1:29" s="50" customFormat="1" ht="39.6">
      <c r="A240" s="125" t="s">
        <v>189</v>
      </c>
      <c r="B240" s="143" t="s">
        <v>190</v>
      </c>
      <c r="C240" s="198"/>
      <c r="D240" s="191"/>
      <c r="E240" s="115"/>
      <c r="F240" s="116"/>
      <c r="X240" s="29"/>
      <c r="Y240" s="29"/>
      <c r="Z240" s="29"/>
      <c r="AA240" s="29"/>
      <c r="AB240" s="29"/>
      <c r="AC240" s="29"/>
    </row>
    <row r="241" spans="1:29" s="50" customFormat="1" ht="26.4">
      <c r="A241" s="29"/>
      <c r="B241" s="143" t="s">
        <v>191</v>
      </c>
      <c r="C241" s="29"/>
      <c r="D241" s="29"/>
      <c r="E241" s="118"/>
      <c r="F241" s="119"/>
      <c r="X241" s="29"/>
      <c r="Y241" s="29"/>
      <c r="Z241" s="29"/>
      <c r="AA241" s="29"/>
      <c r="AB241" s="29"/>
      <c r="AC241" s="29"/>
    </row>
    <row r="242" spans="1:29" s="50" customFormat="1">
      <c r="A242" s="125"/>
      <c r="B242" s="143" t="s">
        <v>192</v>
      </c>
      <c r="C242" s="198"/>
      <c r="D242" s="191"/>
      <c r="E242" s="115"/>
      <c r="F242" s="116"/>
      <c r="X242" s="29"/>
      <c r="Y242" s="29"/>
      <c r="Z242" s="29"/>
      <c r="AA242" s="29"/>
      <c r="AB242" s="29"/>
      <c r="AC242" s="29"/>
    </row>
    <row r="243" spans="1:29" s="50" customFormat="1" ht="16.5" customHeight="1">
      <c r="A243" s="125"/>
      <c r="B243" s="143" t="s">
        <v>119</v>
      </c>
      <c r="C243" s="120" t="s">
        <v>121</v>
      </c>
      <c r="D243" s="189">
        <v>4.2699999999999996</v>
      </c>
      <c r="E243" s="122">
        <v>65</v>
      </c>
      <c r="F243" s="123">
        <f>D243*E243</f>
        <v>277.54999999999995</v>
      </c>
      <c r="X243" s="29"/>
      <c r="Y243" s="29"/>
      <c r="Z243" s="29"/>
      <c r="AA243" s="29"/>
      <c r="AB243" s="29"/>
      <c r="AC243" s="29"/>
    </row>
    <row r="244" spans="1:29" s="50" customFormat="1">
      <c r="A244" s="177"/>
      <c r="B244" s="29"/>
      <c r="C244" s="29"/>
      <c r="D244" s="29"/>
      <c r="E244" s="118"/>
      <c r="F244" s="119"/>
      <c r="X244" s="29"/>
      <c r="Y244" s="29"/>
      <c r="Z244" s="29"/>
      <c r="AA244" s="29"/>
      <c r="AB244" s="29"/>
      <c r="AC244" s="29"/>
    </row>
    <row r="245" spans="1:29" s="50" customFormat="1">
      <c r="A245" s="177"/>
      <c r="B245" s="190"/>
      <c r="C245" s="198"/>
      <c r="D245" s="191"/>
      <c r="E245" s="115"/>
      <c r="F245" s="116"/>
      <c r="X245" s="29"/>
      <c r="Y245" s="29"/>
      <c r="Z245" s="29"/>
      <c r="AA245" s="29"/>
      <c r="AB245" s="29"/>
      <c r="AC245" s="29"/>
    </row>
    <row r="246" spans="1:29" s="50" customFormat="1" ht="67.5" customHeight="1">
      <c r="A246" s="125" t="s">
        <v>193</v>
      </c>
      <c r="B246" s="143" t="s">
        <v>194</v>
      </c>
      <c r="C246" s="10"/>
      <c r="D246" s="182"/>
      <c r="E246" s="200"/>
      <c r="F246" s="201"/>
      <c r="X246" s="29"/>
      <c r="Y246" s="29"/>
      <c r="Z246" s="29"/>
      <c r="AA246" s="29"/>
      <c r="AB246" s="29"/>
      <c r="AC246" s="29"/>
    </row>
    <row r="247" spans="1:29" s="50" customFormat="1" ht="26.4">
      <c r="A247" s="113"/>
      <c r="B247" s="151" t="s">
        <v>127</v>
      </c>
      <c r="C247" s="163"/>
      <c r="D247" s="164"/>
      <c r="E247" s="165"/>
      <c r="F247" s="166"/>
      <c r="X247" s="29"/>
      <c r="Y247" s="29"/>
      <c r="Z247" s="29"/>
      <c r="AA247" s="29"/>
      <c r="AB247" s="29"/>
      <c r="AC247" s="29"/>
    </row>
    <row r="248" spans="1:29" s="50" customFormat="1" ht="28.5" customHeight="1">
      <c r="A248" s="113"/>
      <c r="B248" s="151" t="s">
        <v>128</v>
      </c>
      <c r="C248" s="163"/>
      <c r="D248" s="164"/>
      <c r="E248" s="165"/>
      <c r="F248" s="166"/>
      <c r="X248" s="29"/>
      <c r="Y248" s="29"/>
      <c r="Z248" s="29"/>
      <c r="AA248" s="29"/>
      <c r="AB248" s="29"/>
      <c r="AC248" s="29"/>
    </row>
    <row r="249" spans="1:29" s="50" customFormat="1">
      <c r="A249" s="117"/>
      <c r="B249" s="151" t="s">
        <v>104</v>
      </c>
      <c r="C249" s="168"/>
      <c r="D249" s="164"/>
      <c r="E249" s="169"/>
      <c r="F249" s="170"/>
      <c r="X249" s="29"/>
      <c r="Y249" s="29"/>
      <c r="Z249" s="29"/>
      <c r="AA249" s="29"/>
      <c r="AB249" s="29"/>
      <c r="AC249" s="29"/>
    </row>
    <row r="250" spans="1:29" s="50" customFormat="1" ht="41.25" customHeight="1">
      <c r="A250" s="117"/>
      <c r="B250" s="151" t="s">
        <v>129</v>
      </c>
      <c r="C250" s="163"/>
      <c r="D250" s="164"/>
      <c r="E250" s="165"/>
      <c r="F250" s="166"/>
      <c r="X250" s="29"/>
      <c r="Y250" s="29"/>
      <c r="Z250" s="29"/>
      <c r="AA250" s="29"/>
      <c r="AB250" s="29"/>
      <c r="AC250" s="29"/>
    </row>
    <row r="251" spans="1:29" s="50" customFormat="1" ht="66">
      <c r="A251" s="117"/>
      <c r="B251" s="151" t="s">
        <v>130</v>
      </c>
      <c r="C251" s="163"/>
      <c r="D251" s="164"/>
      <c r="E251" s="165"/>
      <c r="F251" s="166"/>
      <c r="X251" s="29"/>
      <c r="Y251" s="29"/>
      <c r="Z251" s="29"/>
      <c r="AA251" s="29"/>
      <c r="AB251" s="29"/>
      <c r="AC251" s="29"/>
    </row>
    <row r="252" spans="1:29" s="50" customFormat="1" ht="27.75" customHeight="1">
      <c r="A252" s="117"/>
      <c r="B252" s="151" t="s">
        <v>131</v>
      </c>
      <c r="C252" s="163"/>
      <c r="D252" s="164"/>
      <c r="E252" s="165"/>
      <c r="F252" s="166"/>
      <c r="X252" s="29"/>
      <c r="Y252" s="29"/>
      <c r="Z252" s="29"/>
      <c r="AA252" s="29"/>
      <c r="AB252" s="29"/>
      <c r="AC252" s="29"/>
    </row>
    <row r="253" spans="1:29" s="50" customFormat="1" ht="26.4">
      <c r="A253" s="117"/>
      <c r="B253" s="151" t="s">
        <v>132</v>
      </c>
      <c r="C253" s="163"/>
      <c r="D253" s="164"/>
      <c r="E253" s="165"/>
      <c r="F253" s="166"/>
      <c r="X253" s="29"/>
      <c r="Y253" s="29"/>
      <c r="Z253" s="29"/>
      <c r="AA253" s="29"/>
      <c r="AB253" s="29"/>
      <c r="AC253" s="29"/>
    </row>
    <row r="254" spans="1:29" s="50" customFormat="1">
      <c r="A254" s="117"/>
      <c r="B254" s="151" t="s">
        <v>133</v>
      </c>
      <c r="C254" s="163"/>
      <c r="D254" s="164"/>
      <c r="E254" s="165"/>
      <c r="F254" s="166"/>
      <c r="X254" s="29"/>
      <c r="Y254" s="29"/>
      <c r="Z254" s="29"/>
      <c r="AA254" s="29"/>
      <c r="AB254" s="29"/>
      <c r="AC254" s="29"/>
    </row>
    <row r="255" spans="1:29" s="50" customFormat="1">
      <c r="A255" s="117"/>
      <c r="B255" s="184" t="s">
        <v>195</v>
      </c>
      <c r="C255" s="163"/>
      <c r="D255" s="164"/>
      <c r="E255" s="165"/>
      <c r="F255" s="166"/>
      <c r="X255" s="29"/>
      <c r="Y255" s="29"/>
      <c r="Z255" s="29"/>
      <c r="AA255" s="29"/>
      <c r="AB255" s="29"/>
      <c r="AC255" s="29"/>
    </row>
    <row r="256" spans="1:29" s="50" customFormat="1">
      <c r="A256" s="117"/>
      <c r="B256" s="151" t="s">
        <v>135</v>
      </c>
      <c r="C256" s="168"/>
      <c r="D256" s="164"/>
      <c r="E256" s="169"/>
      <c r="F256" s="170"/>
      <c r="X256" s="29"/>
      <c r="Y256" s="29"/>
      <c r="Z256" s="29"/>
      <c r="AA256" s="29"/>
      <c r="AB256" s="29"/>
      <c r="AC256" s="29"/>
    </row>
    <row r="257" spans="1:29" s="50" customFormat="1" ht="250.5" customHeight="1">
      <c r="A257" s="117"/>
      <c r="B257" s="151" t="s">
        <v>136</v>
      </c>
      <c r="C257" s="163"/>
      <c r="D257" s="164"/>
      <c r="E257" s="165"/>
      <c r="F257" s="166"/>
      <c r="X257" s="29"/>
      <c r="Y257" s="29"/>
      <c r="Z257" s="29"/>
      <c r="AA257" s="29"/>
      <c r="AB257" s="29"/>
      <c r="AC257" s="29"/>
    </row>
    <row r="258" spans="1:29" s="50" customFormat="1" ht="55.5" customHeight="1">
      <c r="A258" s="117"/>
      <c r="B258" s="151" t="s">
        <v>137</v>
      </c>
      <c r="C258" s="163"/>
      <c r="D258" s="164"/>
      <c r="E258" s="165"/>
      <c r="F258" s="166"/>
      <c r="X258" s="29"/>
      <c r="Y258" s="29"/>
      <c r="Z258" s="29"/>
      <c r="AA258" s="29"/>
      <c r="AB258" s="29"/>
      <c r="AC258" s="29"/>
    </row>
    <row r="259" spans="1:29" s="50" customFormat="1">
      <c r="A259" s="117"/>
      <c r="B259" s="143" t="s">
        <v>104</v>
      </c>
      <c r="C259" s="168"/>
      <c r="D259" s="164"/>
      <c r="E259" s="169"/>
      <c r="F259" s="170"/>
      <c r="X259" s="29"/>
      <c r="Y259" s="29"/>
      <c r="Z259" s="29"/>
      <c r="AA259" s="29"/>
      <c r="AB259" s="29"/>
      <c r="AC259" s="29"/>
    </row>
    <row r="260" spans="1:29" s="50" customFormat="1" ht="39.75" customHeight="1">
      <c r="A260" s="117"/>
      <c r="B260" s="143" t="s">
        <v>138</v>
      </c>
      <c r="C260" s="163"/>
      <c r="D260" s="164"/>
      <c r="E260" s="165"/>
      <c r="F260" s="166"/>
      <c r="X260" s="29"/>
      <c r="Y260" s="29"/>
      <c r="Z260" s="29"/>
      <c r="AA260" s="29"/>
      <c r="AB260" s="29"/>
      <c r="AC260" s="29"/>
    </row>
    <row r="261" spans="1:29" s="50" customFormat="1">
      <c r="A261" s="117"/>
      <c r="B261" s="143" t="s">
        <v>104</v>
      </c>
      <c r="C261" s="168"/>
      <c r="D261" s="164"/>
      <c r="E261" s="169"/>
      <c r="F261" s="170"/>
      <c r="X261" s="29"/>
      <c r="Y261" s="29"/>
      <c r="Z261" s="29"/>
      <c r="AA261" s="29"/>
      <c r="AB261" s="29"/>
      <c r="AC261" s="29"/>
    </row>
    <row r="262" spans="1:29" s="50" customFormat="1">
      <c r="A262" s="117"/>
      <c r="B262" s="143" t="s">
        <v>115</v>
      </c>
      <c r="C262" s="163"/>
      <c r="D262" s="164"/>
      <c r="E262" s="165"/>
      <c r="F262" s="166"/>
      <c r="X262" s="29"/>
      <c r="Y262" s="29"/>
      <c r="Z262" s="29"/>
      <c r="AA262" s="29"/>
      <c r="AB262" s="29"/>
      <c r="AC262" s="29"/>
    </row>
    <row r="263" spans="1:29" s="50" customFormat="1" ht="66" customHeight="1">
      <c r="A263" s="117"/>
      <c r="B263" s="143" t="s">
        <v>139</v>
      </c>
      <c r="C263" s="163"/>
      <c r="D263" s="164"/>
      <c r="E263" s="165"/>
      <c r="F263" s="166"/>
      <c r="X263" s="29"/>
      <c r="Y263" s="29"/>
      <c r="Z263" s="29"/>
      <c r="AA263" s="29"/>
      <c r="AB263" s="29"/>
      <c r="AC263" s="29"/>
    </row>
    <row r="264" spans="1:29" s="50" customFormat="1" ht="41.25" customHeight="1">
      <c r="A264" s="117"/>
      <c r="B264" s="143" t="s">
        <v>141</v>
      </c>
      <c r="C264" s="163"/>
      <c r="D264" s="164"/>
      <c r="E264" s="165"/>
      <c r="F264" s="166"/>
      <c r="X264" s="29"/>
      <c r="Y264" s="29"/>
      <c r="Z264" s="29"/>
      <c r="AA264" s="29"/>
      <c r="AB264" s="29"/>
      <c r="AC264" s="29"/>
    </row>
    <row r="265" spans="1:29" s="50" customFormat="1" ht="42.75" customHeight="1">
      <c r="A265" s="117"/>
      <c r="B265" s="143" t="s">
        <v>113</v>
      </c>
      <c r="C265" s="185"/>
      <c r="D265" s="178"/>
      <c r="E265" s="186"/>
      <c r="F265" s="116"/>
      <c r="X265" s="29"/>
      <c r="Y265" s="29"/>
      <c r="Z265" s="29"/>
      <c r="AA265" s="29"/>
      <c r="AB265" s="29"/>
      <c r="AC265" s="29"/>
    </row>
    <row r="266" spans="1:29" s="50" customFormat="1" ht="14.25" customHeight="1">
      <c r="A266" s="177"/>
      <c r="B266" s="143" t="s">
        <v>119</v>
      </c>
      <c r="C266" s="198"/>
      <c r="D266" s="191"/>
      <c r="E266" s="115"/>
      <c r="F266" s="116"/>
      <c r="X266" s="29"/>
      <c r="Y266" s="29"/>
      <c r="Z266" s="29"/>
      <c r="AA266" s="29"/>
      <c r="AB266" s="29"/>
      <c r="AC266" s="29"/>
    </row>
    <row r="267" spans="1:29" s="50" customFormat="1" ht="15" customHeight="1">
      <c r="A267" s="177"/>
      <c r="B267" s="143" t="s">
        <v>196</v>
      </c>
      <c r="C267" s="120" t="s">
        <v>121</v>
      </c>
      <c r="D267" s="189">
        <v>3.67</v>
      </c>
      <c r="E267" s="122">
        <v>44</v>
      </c>
      <c r="F267" s="123">
        <f>D267*E267</f>
        <v>161.47999999999999</v>
      </c>
      <c r="X267" s="29"/>
      <c r="Y267" s="29"/>
      <c r="Z267" s="29"/>
      <c r="AA267" s="29"/>
      <c r="AB267" s="29"/>
      <c r="AC267" s="29"/>
    </row>
    <row r="268" spans="1:29" s="50" customFormat="1" ht="27" customHeight="1">
      <c r="A268" s="125"/>
      <c r="B268" s="143" t="s">
        <v>197</v>
      </c>
      <c r="C268" s="120" t="s">
        <v>121</v>
      </c>
      <c r="D268" s="189">
        <v>14.27</v>
      </c>
      <c r="E268" s="122">
        <v>48</v>
      </c>
      <c r="F268" s="123">
        <f>D268*E268</f>
        <v>684.96</v>
      </c>
      <c r="X268" s="29"/>
      <c r="Y268" s="29"/>
      <c r="Z268" s="29"/>
      <c r="AA268" s="29"/>
      <c r="AB268" s="29"/>
      <c r="AC268" s="29"/>
    </row>
    <row r="269" spans="1:29" s="50" customFormat="1" ht="15" customHeight="1">
      <c r="A269" s="125"/>
      <c r="B269" s="29"/>
      <c r="C269" s="29"/>
      <c r="D269" s="29"/>
      <c r="E269" s="118"/>
      <c r="F269" s="119"/>
      <c r="X269" s="29"/>
      <c r="Y269" s="29"/>
      <c r="Z269" s="29"/>
      <c r="AA269" s="29"/>
      <c r="AB269" s="29"/>
      <c r="AC269" s="29"/>
    </row>
    <row r="270" spans="1:29" s="50" customFormat="1">
      <c r="A270" s="113"/>
      <c r="B270" s="202"/>
      <c r="C270" s="203"/>
      <c r="D270" s="182"/>
      <c r="E270" s="115"/>
      <c r="F270" s="166"/>
      <c r="X270" s="29"/>
      <c r="Y270" s="29"/>
      <c r="Z270" s="29"/>
      <c r="AA270" s="29"/>
      <c r="AB270" s="29"/>
      <c r="AC270" s="29"/>
    </row>
    <row r="271" spans="1:29" s="50" customFormat="1" ht="65.25" customHeight="1">
      <c r="A271" s="113" t="s">
        <v>198</v>
      </c>
      <c r="B271" s="151" t="s">
        <v>199</v>
      </c>
      <c r="C271" s="203"/>
      <c r="D271" s="121"/>
      <c r="E271" s="115"/>
      <c r="F271" s="166"/>
      <c r="X271" s="29"/>
      <c r="Y271" s="29"/>
      <c r="Z271" s="29"/>
      <c r="AA271" s="29"/>
      <c r="AB271" s="29"/>
      <c r="AC271" s="29"/>
    </row>
    <row r="272" spans="1:29" s="50" customFormat="1" ht="29.25" customHeight="1">
      <c r="A272" s="113"/>
      <c r="B272" s="151" t="s">
        <v>200</v>
      </c>
      <c r="C272" s="203"/>
      <c r="D272" s="121"/>
      <c r="E272" s="122"/>
      <c r="F272" s="123"/>
      <c r="X272" s="29"/>
      <c r="Y272" s="29"/>
      <c r="Z272" s="29"/>
      <c r="AA272" s="29"/>
      <c r="AB272" s="29"/>
      <c r="AC272" s="29"/>
    </row>
    <row r="273" spans="1:29" s="50" customFormat="1" ht="16.2">
      <c r="A273" s="113"/>
      <c r="B273" s="151" t="s">
        <v>164</v>
      </c>
      <c r="C273" s="204" t="s">
        <v>201</v>
      </c>
      <c r="D273" s="121">
        <v>8.4</v>
      </c>
      <c r="E273" s="122">
        <v>17</v>
      </c>
      <c r="F273" s="123">
        <f>D273*E273</f>
        <v>142.80000000000001</v>
      </c>
      <c r="X273" s="29"/>
      <c r="Y273" s="29"/>
      <c r="Z273" s="29"/>
      <c r="AA273" s="29"/>
      <c r="AB273" s="29"/>
      <c r="AC273" s="29"/>
    </row>
    <row r="274" spans="1:29" s="50" customFormat="1" ht="15.75" customHeight="1">
      <c r="A274" s="117"/>
      <c r="B274" s="111"/>
      <c r="C274" s="153"/>
      <c r="D274" s="93"/>
      <c r="E274" s="122"/>
      <c r="F274" s="205"/>
      <c r="X274" s="29"/>
      <c r="Y274" s="29"/>
      <c r="Z274" s="29"/>
      <c r="AA274" s="29"/>
      <c r="AB274" s="29"/>
      <c r="AC274" s="29"/>
    </row>
    <row r="275" spans="1:29" s="50" customFormat="1" ht="13.5" customHeight="1">
      <c r="A275" s="125"/>
      <c r="B275" s="143"/>
      <c r="C275" s="120"/>
      <c r="D275" s="199"/>
      <c r="E275" s="122"/>
      <c r="F275" s="123"/>
      <c r="X275" s="29"/>
      <c r="Y275" s="29"/>
      <c r="Z275" s="29"/>
      <c r="AA275" s="29"/>
      <c r="AB275" s="29"/>
      <c r="AC275" s="29"/>
    </row>
    <row r="276" spans="1:29" s="50" customFormat="1" ht="65.25" customHeight="1">
      <c r="A276" s="183" t="s">
        <v>202</v>
      </c>
      <c r="B276" s="143" t="s">
        <v>203</v>
      </c>
      <c r="C276" s="120"/>
      <c r="D276" s="199"/>
      <c r="E276" s="122"/>
      <c r="F276" s="123"/>
      <c r="X276" s="29"/>
      <c r="Y276" s="29"/>
      <c r="Z276" s="29"/>
      <c r="AA276" s="29"/>
      <c r="AB276" s="29"/>
      <c r="AC276" s="29"/>
    </row>
    <row r="277" spans="1:29" s="50" customFormat="1" ht="29.25" customHeight="1">
      <c r="A277" s="113"/>
      <c r="B277" s="143" t="s">
        <v>200</v>
      </c>
      <c r="C277" s="120"/>
      <c r="D277" s="199"/>
      <c r="E277" s="122"/>
      <c r="F277" s="123"/>
      <c r="X277" s="29"/>
      <c r="Y277" s="29"/>
      <c r="Z277" s="29"/>
      <c r="AA277" s="29"/>
      <c r="AB277" s="29"/>
      <c r="AC277" s="29"/>
    </row>
    <row r="278" spans="1:29" s="50" customFormat="1" ht="16.2">
      <c r="A278" s="113"/>
      <c r="B278" s="143" t="s">
        <v>164</v>
      </c>
      <c r="C278" s="197" t="s">
        <v>166</v>
      </c>
      <c r="D278" s="121">
        <v>20.149999999999999</v>
      </c>
      <c r="E278" s="122">
        <v>17</v>
      </c>
      <c r="F278" s="123">
        <f>D278*E278</f>
        <v>342.54999999999995</v>
      </c>
      <c r="X278" s="29"/>
      <c r="Y278" s="29"/>
      <c r="Z278" s="29"/>
      <c r="AA278" s="29"/>
      <c r="AB278" s="29"/>
      <c r="AC278" s="29"/>
    </row>
    <row r="279" spans="1:29" s="50" customFormat="1" ht="15" thickBot="1">
      <c r="A279" s="206"/>
      <c r="B279" s="207"/>
      <c r="C279" s="208"/>
      <c r="D279" s="209"/>
      <c r="E279" s="210"/>
      <c r="F279" s="211"/>
      <c r="X279" s="29"/>
      <c r="Y279" s="29"/>
      <c r="Z279" s="29"/>
      <c r="AA279" s="29"/>
      <c r="AB279" s="29"/>
      <c r="AC279" s="29"/>
    </row>
    <row r="280" spans="1:29" s="52" customFormat="1" ht="15.6">
      <c r="A280" s="212"/>
      <c r="B280" s="213" t="s">
        <v>204</v>
      </c>
      <c r="C280" s="265"/>
      <c r="D280" s="265"/>
      <c r="E280" s="214"/>
      <c r="F280" s="215">
        <f>SUM(F80:F279)</f>
        <v>137713.89999999997</v>
      </c>
      <c r="G280" s="50"/>
      <c r="H280" s="50"/>
      <c r="I280" s="50"/>
      <c r="J280" s="50"/>
      <c r="K280" s="50"/>
      <c r="L280" s="50"/>
      <c r="M280" s="50"/>
      <c r="N280" s="50"/>
      <c r="O280" s="50"/>
      <c r="P280" s="50"/>
      <c r="Q280" s="50"/>
      <c r="R280" s="50"/>
      <c r="S280" s="50"/>
      <c r="T280" s="50"/>
      <c r="U280" s="50"/>
      <c r="V280" s="50"/>
      <c r="W280" s="50"/>
      <c r="X280" s="29"/>
      <c r="Y280" s="29"/>
      <c r="Z280" s="29"/>
      <c r="AA280" s="29"/>
      <c r="AB280" s="29"/>
      <c r="AC280" s="29"/>
    </row>
    <row r="281" spans="1:29" s="52" customFormat="1" ht="15">
      <c r="A281" s="128"/>
      <c r="B281" s="216"/>
      <c r="C281" s="217"/>
      <c r="D281" s="218"/>
      <c r="E281" s="76"/>
      <c r="F281" s="124"/>
      <c r="G281" s="50"/>
      <c r="H281" s="50"/>
      <c r="I281" s="50"/>
      <c r="J281" s="50"/>
      <c r="K281" s="50"/>
      <c r="L281" s="50"/>
      <c r="M281" s="50"/>
      <c r="N281" s="50"/>
      <c r="O281" s="50"/>
      <c r="P281" s="50"/>
      <c r="Q281" s="50"/>
      <c r="R281" s="50"/>
      <c r="S281" s="50"/>
      <c r="T281" s="50"/>
      <c r="U281" s="50"/>
      <c r="V281" s="50"/>
      <c r="W281" s="50"/>
      <c r="X281" s="29"/>
      <c r="Y281" s="29"/>
      <c r="Z281" s="29"/>
      <c r="AA281" s="29"/>
      <c r="AB281" s="29"/>
      <c r="AC281" s="29"/>
    </row>
    <row r="282" spans="1:29" s="52" customFormat="1">
      <c r="A282" s="103"/>
      <c r="B282" s="110"/>
      <c r="C282" s="105"/>
      <c r="D282" s="106"/>
      <c r="E282" s="70"/>
      <c r="F282" s="124"/>
      <c r="G282" s="50"/>
      <c r="H282" s="50"/>
      <c r="I282" s="50"/>
      <c r="J282" s="50"/>
      <c r="K282" s="50"/>
      <c r="L282" s="50"/>
      <c r="M282" s="50"/>
      <c r="N282" s="50"/>
      <c r="O282" s="50"/>
      <c r="P282" s="50"/>
      <c r="Q282" s="50"/>
      <c r="R282" s="50"/>
      <c r="S282" s="50"/>
      <c r="T282" s="50"/>
      <c r="U282" s="50"/>
      <c r="V282" s="50"/>
      <c r="W282" s="50"/>
      <c r="X282" s="29"/>
      <c r="Y282" s="29"/>
      <c r="Z282" s="29"/>
      <c r="AA282" s="29"/>
      <c r="AB282" s="29"/>
      <c r="AC282" s="29"/>
    </row>
    <row r="283" spans="1:29" s="52" customFormat="1" ht="14.25" customHeight="1">
      <c r="A283" s="103"/>
      <c r="B283" s="110"/>
      <c r="C283" s="105"/>
      <c r="D283" s="106"/>
      <c r="E283" s="70"/>
      <c r="F283" s="124"/>
      <c r="G283" s="50"/>
      <c r="H283" s="50"/>
      <c r="I283" s="50"/>
      <c r="J283" s="50"/>
      <c r="K283" s="50"/>
      <c r="L283" s="50"/>
      <c r="M283" s="50"/>
      <c r="N283" s="50"/>
      <c r="O283" s="50"/>
      <c r="P283" s="50"/>
      <c r="Q283" s="50"/>
      <c r="R283" s="50"/>
      <c r="S283" s="50"/>
      <c r="T283" s="50"/>
      <c r="U283" s="50"/>
      <c r="V283" s="50"/>
      <c r="W283" s="50"/>
      <c r="X283" s="29"/>
      <c r="Y283" s="29"/>
      <c r="Z283" s="29"/>
      <c r="AA283" s="29"/>
      <c r="AB283" s="29"/>
      <c r="AC283" s="29"/>
    </row>
    <row r="284" spans="1:29" s="52" customFormat="1">
      <c r="A284" s="194"/>
      <c r="B284" s="110"/>
      <c r="C284" s="105"/>
      <c r="D284" s="228"/>
      <c r="E284" s="233"/>
      <c r="F284" s="234"/>
      <c r="G284" s="50"/>
      <c r="H284" s="50"/>
      <c r="I284" s="50"/>
      <c r="J284" s="50"/>
      <c r="K284" s="50"/>
      <c r="L284" s="50"/>
      <c r="M284" s="50"/>
      <c r="N284" s="50"/>
      <c r="O284" s="50"/>
      <c r="P284" s="50"/>
      <c r="Q284" s="50"/>
      <c r="R284" s="50"/>
      <c r="S284" s="50"/>
      <c r="T284" s="50"/>
      <c r="U284" s="50"/>
      <c r="V284" s="50"/>
      <c r="W284" s="50"/>
      <c r="X284" s="29"/>
      <c r="Y284" s="29"/>
      <c r="Z284" s="29"/>
      <c r="AA284" s="29"/>
      <c r="AB284" s="29"/>
      <c r="AC284" s="29"/>
    </row>
    <row r="285" spans="1:29" s="52" customFormat="1" ht="17.399999999999999">
      <c r="A285" s="113"/>
      <c r="B285" s="235" t="s">
        <v>205</v>
      </c>
      <c r="C285" s="80"/>
      <c r="D285" s="81"/>
      <c r="E285" s="82"/>
      <c r="F285" s="236" t="s">
        <v>206</v>
      </c>
      <c r="G285" s="50"/>
      <c r="H285" s="50"/>
      <c r="I285" s="50"/>
      <c r="J285" s="50"/>
      <c r="K285" s="50"/>
      <c r="L285" s="50"/>
      <c r="M285" s="50"/>
      <c r="N285" s="50"/>
      <c r="O285" s="50"/>
      <c r="P285" s="50"/>
      <c r="Q285" s="50"/>
      <c r="R285" s="50"/>
      <c r="S285" s="50"/>
      <c r="T285" s="50"/>
      <c r="U285" s="50"/>
      <c r="V285" s="50"/>
      <c r="W285" s="50"/>
      <c r="X285" s="29"/>
      <c r="Y285" s="29"/>
      <c r="Z285" s="29"/>
      <c r="AA285" s="29"/>
      <c r="AB285" s="29"/>
      <c r="AC285" s="29"/>
    </row>
    <row r="286" spans="1:29" s="52" customFormat="1" ht="17.399999999999999">
      <c r="A286" s="113"/>
      <c r="B286" s="235"/>
      <c r="C286" s="80"/>
      <c r="D286" s="81"/>
      <c r="E286" s="82"/>
      <c r="F286" s="236"/>
      <c r="G286" s="50"/>
      <c r="H286" s="50"/>
      <c r="I286" s="50"/>
      <c r="J286" s="50"/>
      <c r="K286" s="50"/>
      <c r="L286" s="50"/>
      <c r="M286" s="50"/>
      <c r="N286" s="50"/>
      <c r="O286" s="50"/>
      <c r="P286" s="50"/>
      <c r="Q286" s="50"/>
      <c r="R286" s="50"/>
      <c r="S286" s="50"/>
      <c r="T286" s="50"/>
      <c r="U286" s="50"/>
      <c r="V286" s="50"/>
      <c r="W286" s="50"/>
      <c r="X286" s="29"/>
      <c r="Y286" s="29"/>
      <c r="Z286" s="29"/>
      <c r="AA286" s="29"/>
      <c r="AB286" s="29"/>
      <c r="AC286" s="29"/>
    </row>
    <row r="287" spans="1:29" s="52" customFormat="1">
      <c r="A287" s="128"/>
      <c r="B287" s="219"/>
      <c r="C287" s="225"/>
      <c r="D287" s="218"/>
      <c r="E287" s="76"/>
      <c r="F287" s="227"/>
      <c r="G287" s="50"/>
      <c r="H287" s="50"/>
      <c r="I287" s="50"/>
      <c r="J287" s="50"/>
      <c r="K287" s="50"/>
      <c r="L287" s="50"/>
      <c r="M287" s="50"/>
      <c r="N287" s="50"/>
      <c r="O287" s="50"/>
      <c r="P287" s="50"/>
      <c r="Q287" s="50"/>
      <c r="R287" s="50"/>
      <c r="S287" s="50"/>
      <c r="T287" s="50"/>
      <c r="U287" s="50"/>
      <c r="V287" s="50"/>
      <c r="W287" s="50"/>
      <c r="X287" s="29"/>
      <c r="Y287" s="29"/>
      <c r="Z287" s="29"/>
      <c r="AA287" s="29"/>
      <c r="AB287" s="29"/>
      <c r="AC287" s="29"/>
    </row>
    <row r="288" spans="1:29">
      <c r="A288" s="212"/>
      <c r="B288" s="237"/>
      <c r="C288" s="105"/>
      <c r="D288" s="106"/>
      <c r="E288" s="136"/>
      <c r="F288" s="129"/>
    </row>
    <row r="289" spans="1:23">
      <c r="A289" s="212" t="s">
        <v>68</v>
      </c>
      <c r="B289" s="237" t="s">
        <v>207</v>
      </c>
      <c r="C289" s="105"/>
      <c r="D289" s="106"/>
      <c r="E289" s="136"/>
      <c r="F289" s="129">
        <f>F280</f>
        <v>137713.89999999997</v>
      </c>
    </row>
    <row r="290" spans="1:23" ht="15" customHeight="1">
      <c r="A290" s="220"/>
      <c r="B290" s="238"/>
      <c r="C290" s="105"/>
      <c r="D290" s="106"/>
      <c r="E290" s="136"/>
      <c r="F290" s="129"/>
    </row>
    <row r="291" spans="1:23" ht="15" thickBot="1">
      <c r="A291" s="239"/>
      <c r="B291" s="240"/>
      <c r="C291" s="222"/>
      <c r="D291" s="223"/>
      <c r="E291" s="229"/>
      <c r="F291" s="241"/>
    </row>
    <row r="292" spans="1:23">
      <c r="A292" s="128"/>
      <c r="B292" s="242"/>
      <c r="C292" s="203"/>
      <c r="D292" s="232"/>
      <c r="E292" s="224"/>
      <c r="F292" s="150"/>
    </row>
    <row r="293" spans="1:23" ht="16.8">
      <c r="A293" s="128"/>
      <c r="B293" s="243" t="s">
        <v>208</v>
      </c>
      <c r="C293" s="203"/>
      <c r="D293" s="232"/>
      <c r="E293" s="224"/>
      <c r="F293" s="230">
        <f>SUM(F288:F292)</f>
        <v>137713.89999999997</v>
      </c>
    </row>
    <row r="294" spans="1:23">
      <c r="A294" s="226"/>
      <c r="B294" s="29"/>
      <c r="C294" s="221"/>
      <c r="D294" s="77"/>
      <c r="E294" s="79"/>
      <c r="F294" s="195"/>
    </row>
    <row r="295" spans="1:23">
      <c r="A295" s="226"/>
      <c r="B295" s="29"/>
      <c r="C295" s="221"/>
      <c r="D295" s="77"/>
      <c r="E295" s="79"/>
      <c r="F295" s="195"/>
    </row>
    <row r="296" spans="1:23" s="250" customFormat="1">
      <c r="A296" s="244"/>
      <c r="B296" s="245"/>
      <c r="C296" s="246"/>
      <c r="D296" s="131"/>
      <c r="E296" s="247"/>
      <c r="F296" s="248"/>
      <c r="G296" s="50"/>
      <c r="H296" s="50"/>
      <c r="I296" s="50"/>
      <c r="J296" s="50"/>
      <c r="K296" s="50"/>
      <c r="L296" s="50"/>
      <c r="M296" s="50"/>
      <c r="N296" s="50"/>
      <c r="O296" s="50"/>
      <c r="P296" s="50"/>
      <c r="Q296" s="50"/>
      <c r="R296" s="50"/>
      <c r="S296" s="50"/>
      <c r="T296" s="50"/>
      <c r="U296" s="50"/>
      <c r="V296" s="50"/>
      <c r="W296" s="50"/>
    </row>
    <row r="297" spans="1:23" s="250" customFormat="1">
      <c r="A297" s="244"/>
      <c r="C297" s="244"/>
      <c r="D297" s="251"/>
      <c r="E297" s="252"/>
      <c r="F297" s="253"/>
      <c r="G297" s="50"/>
      <c r="H297" s="50"/>
      <c r="I297" s="50"/>
      <c r="J297" s="50"/>
      <c r="K297" s="50"/>
      <c r="L297" s="50"/>
      <c r="M297" s="50"/>
      <c r="N297" s="50"/>
      <c r="O297" s="50"/>
      <c r="P297" s="50"/>
      <c r="Q297" s="50"/>
      <c r="R297" s="50"/>
      <c r="S297" s="50"/>
      <c r="T297" s="50"/>
      <c r="U297" s="50"/>
      <c r="V297" s="50"/>
      <c r="W297" s="50"/>
    </row>
    <row r="298" spans="1:23" s="250" customFormat="1">
      <c r="A298" s="244"/>
      <c r="C298" s="244"/>
      <c r="D298" s="251"/>
      <c r="E298" s="252"/>
      <c r="F298" s="50"/>
      <c r="G298" s="50"/>
      <c r="H298" s="50"/>
      <c r="I298" s="50"/>
      <c r="J298" s="50"/>
      <c r="K298" s="50"/>
      <c r="L298" s="50"/>
      <c r="M298" s="50"/>
      <c r="N298" s="50"/>
      <c r="O298" s="50"/>
      <c r="P298" s="50"/>
      <c r="Q298" s="50"/>
      <c r="R298" s="50"/>
      <c r="S298" s="50"/>
      <c r="T298" s="50"/>
      <c r="U298" s="50"/>
      <c r="V298" s="50"/>
      <c r="W298" s="50"/>
    </row>
    <row r="299" spans="1:23" s="250" customFormat="1">
      <c r="A299" s="244"/>
      <c r="B299" s="254"/>
      <c r="C299" s="255"/>
      <c r="D299" s="256"/>
      <c r="E299" s="252"/>
      <c r="F299" s="50"/>
      <c r="G299" s="50"/>
      <c r="H299" s="50"/>
      <c r="I299" s="50"/>
      <c r="J299" s="50"/>
      <c r="K299" s="50"/>
      <c r="L299" s="50"/>
      <c r="M299" s="50"/>
      <c r="N299" s="50"/>
      <c r="O299" s="50"/>
      <c r="P299" s="50"/>
      <c r="Q299" s="50"/>
      <c r="R299" s="50"/>
      <c r="S299" s="50"/>
      <c r="T299" s="50"/>
      <c r="U299" s="50"/>
      <c r="V299" s="50"/>
      <c r="W299" s="50"/>
    </row>
    <row r="300" spans="1:23" s="250" customFormat="1">
      <c r="A300" s="244"/>
      <c r="B300" s="249"/>
      <c r="C300" s="249"/>
      <c r="D300" s="249"/>
      <c r="E300" s="257"/>
      <c r="F300" s="50"/>
      <c r="G300" s="50"/>
      <c r="H300" s="50"/>
      <c r="I300" s="50"/>
      <c r="J300" s="50"/>
      <c r="K300" s="50"/>
      <c r="L300" s="50"/>
      <c r="M300" s="50"/>
      <c r="N300" s="50"/>
      <c r="O300" s="50"/>
      <c r="P300" s="50"/>
      <c r="Q300" s="50"/>
      <c r="R300" s="50"/>
      <c r="S300" s="50"/>
      <c r="T300" s="50"/>
      <c r="U300" s="50"/>
      <c r="V300" s="50"/>
      <c r="W300" s="50"/>
    </row>
    <row r="301" spans="1:23" s="250" customFormat="1">
      <c r="A301" s="244"/>
      <c r="B301" s="249"/>
      <c r="C301" s="249"/>
      <c r="D301" s="249"/>
      <c r="E301" s="257"/>
      <c r="F301" s="50"/>
      <c r="G301" s="50"/>
      <c r="H301" s="50"/>
      <c r="I301" s="50"/>
      <c r="J301" s="50"/>
      <c r="K301" s="50"/>
      <c r="L301" s="50"/>
      <c r="M301" s="50"/>
      <c r="N301" s="50"/>
      <c r="O301" s="50"/>
      <c r="P301" s="50"/>
      <c r="Q301" s="50"/>
      <c r="R301" s="50"/>
      <c r="S301" s="50"/>
      <c r="T301" s="50"/>
      <c r="U301" s="50"/>
      <c r="V301" s="50"/>
      <c r="W301" s="50"/>
    </row>
    <row r="302" spans="1:23" s="250" customFormat="1">
      <c r="A302" s="244"/>
      <c r="B302" s="249"/>
      <c r="C302" s="249"/>
      <c r="D302" s="249"/>
      <c r="E302" s="257"/>
      <c r="F302" s="50"/>
      <c r="G302" s="50"/>
      <c r="H302" s="50"/>
      <c r="I302" s="50"/>
      <c r="J302" s="50"/>
      <c r="K302" s="50"/>
      <c r="L302" s="50"/>
      <c r="M302" s="50"/>
      <c r="N302" s="50"/>
      <c r="O302" s="50"/>
      <c r="P302" s="50"/>
      <c r="Q302" s="50"/>
      <c r="R302" s="50"/>
      <c r="S302" s="50"/>
      <c r="T302" s="50"/>
      <c r="U302" s="50"/>
      <c r="V302" s="50"/>
      <c r="W302" s="50"/>
    </row>
    <row r="303" spans="1:23" s="250" customFormat="1">
      <c r="A303" s="244"/>
      <c r="B303" s="249"/>
      <c r="C303" s="249"/>
      <c r="D303" s="249"/>
      <c r="E303" s="257"/>
      <c r="F303" s="50"/>
      <c r="G303" s="50"/>
      <c r="H303" s="50"/>
      <c r="I303" s="50"/>
      <c r="J303" s="50"/>
      <c r="K303" s="50"/>
      <c r="L303" s="50"/>
      <c r="M303" s="50"/>
      <c r="N303" s="50"/>
      <c r="O303" s="50"/>
      <c r="P303" s="50"/>
      <c r="Q303" s="50"/>
      <c r="R303" s="50"/>
      <c r="S303" s="50"/>
      <c r="T303" s="50"/>
      <c r="U303" s="50"/>
      <c r="V303" s="50"/>
      <c r="W303" s="50"/>
    </row>
    <row r="304" spans="1:23" s="250" customFormat="1">
      <c r="A304" s="244"/>
      <c r="B304" s="249"/>
      <c r="C304" s="249"/>
      <c r="D304" s="249"/>
      <c r="E304" s="257"/>
      <c r="F304" s="50"/>
      <c r="G304" s="50"/>
      <c r="H304" s="50"/>
      <c r="I304" s="50"/>
      <c r="J304" s="50"/>
      <c r="K304" s="50"/>
      <c r="L304" s="50"/>
      <c r="M304" s="50"/>
      <c r="N304" s="50"/>
      <c r="O304" s="50"/>
      <c r="P304" s="50"/>
      <c r="Q304" s="50"/>
      <c r="R304" s="50"/>
      <c r="S304" s="50"/>
      <c r="T304" s="50"/>
      <c r="U304" s="50"/>
      <c r="V304" s="50"/>
      <c r="W304" s="50"/>
    </row>
    <row r="305" spans="1:23" s="250" customFormat="1">
      <c r="A305" s="244"/>
      <c r="B305" s="249"/>
      <c r="C305" s="249"/>
      <c r="D305" s="249"/>
      <c r="E305" s="257"/>
      <c r="F305" s="50"/>
      <c r="G305" s="50"/>
      <c r="H305" s="50"/>
      <c r="I305" s="50"/>
      <c r="J305" s="50"/>
      <c r="K305" s="50"/>
      <c r="L305" s="50"/>
      <c r="M305" s="50"/>
      <c r="N305" s="50"/>
      <c r="O305" s="50"/>
      <c r="P305" s="50"/>
      <c r="Q305" s="50"/>
      <c r="R305" s="50"/>
      <c r="S305" s="50"/>
      <c r="T305" s="50"/>
      <c r="U305" s="50"/>
      <c r="V305" s="50"/>
      <c r="W305" s="50"/>
    </row>
    <row r="306" spans="1:23" s="250" customFormat="1">
      <c r="A306" s="244"/>
      <c r="B306" s="249"/>
      <c r="C306" s="249"/>
      <c r="D306" s="249"/>
      <c r="E306" s="257"/>
      <c r="F306" s="50"/>
      <c r="G306" s="50"/>
      <c r="H306" s="50"/>
      <c r="I306" s="50"/>
      <c r="J306" s="50"/>
      <c r="K306" s="50"/>
      <c r="L306" s="50"/>
      <c r="M306" s="50"/>
      <c r="N306" s="50"/>
      <c r="O306" s="50"/>
      <c r="P306" s="50"/>
      <c r="Q306" s="50"/>
      <c r="R306" s="50"/>
      <c r="S306" s="50"/>
      <c r="T306" s="50"/>
      <c r="U306" s="50"/>
      <c r="V306" s="50"/>
      <c r="W306" s="50"/>
    </row>
    <row r="307" spans="1:23" s="250" customFormat="1">
      <c r="A307" s="244"/>
      <c r="B307" s="249"/>
      <c r="C307" s="249"/>
      <c r="D307" s="249"/>
      <c r="E307" s="257"/>
      <c r="F307" s="50"/>
      <c r="G307" s="50"/>
      <c r="H307" s="50"/>
      <c r="I307" s="50"/>
      <c r="J307" s="50"/>
      <c r="K307" s="50"/>
      <c r="L307" s="50"/>
      <c r="M307" s="50"/>
      <c r="N307" s="50"/>
      <c r="O307" s="50"/>
      <c r="P307" s="50"/>
      <c r="Q307" s="50"/>
      <c r="R307" s="50"/>
      <c r="S307" s="50"/>
      <c r="T307" s="50"/>
      <c r="U307" s="50"/>
      <c r="V307" s="50"/>
      <c r="W307" s="50"/>
    </row>
    <row r="308" spans="1:23" s="250" customFormat="1">
      <c r="A308" s="244"/>
      <c r="B308" s="249"/>
      <c r="C308" s="249"/>
      <c r="D308" s="249"/>
      <c r="E308" s="257"/>
      <c r="F308" s="50"/>
      <c r="G308" s="50"/>
      <c r="H308" s="50"/>
      <c r="I308" s="50"/>
      <c r="J308" s="50"/>
      <c r="K308" s="50"/>
      <c r="L308" s="50"/>
      <c r="M308" s="50"/>
      <c r="N308" s="50"/>
      <c r="O308" s="50"/>
      <c r="P308" s="50"/>
      <c r="Q308" s="50"/>
      <c r="R308" s="50"/>
      <c r="S308" s="50"/>
      <c r="T308" s="50"/>
      <c r="U308" s="50"/>
      <c r="V308" s="50"/>
      <c r="W308" s="50"/>
    </row>
    <row r="309" spans="1:23" s="250" customFormat="1">
      <c r="A309" s="244"/>
      <c r="B309" s="249"/>
      <c r="C309" s="249"/>
      <c r="D309" s="249"/>
      <c r="E309" s="257"/>
      <c r="F309" s="50"/>
      <c r="G309" s="50"/>
      <c r="H309" s="50"/>
      <c r="I309" s="50"/>
      <c r="J309" s="50"/>
      <c r="K309" s="50"/>
      <c r="L309" s="50"/>
      <c r="M309" s="50"/>
      <c r="N309" s="50"/>
      <c r="O309" s="50"/>
      <c r="P309" s="50"/>
      <c r="Q309" s="50"/>
      <c r="R309" s="50"/>
      <c r="S309" s="50"/>
      <c r="T309" s="50"/>
      <c r="U309" s="50"/>
      <c r="V309" s="50"/>
      <c r="W309" s="50"/>
    </row>
    <row r="310" spans="1:23" s="250" customFormat="1">
      <c r="A310" s="244"/>
      <c r="B310" s="249"/>
      <c r="C310" s="249"/>
      <c r="D310" s="249"/>
      <c r="E310" s="257"/>
      <c r="F310" s="50"/>
      <c r="G310" s="50"/>
      <c r="H310" s="50"/>
      <c r="I310" s="50"/>
      <c r="J310" s="50"/>
      <c r="K310" s="50"/>
      <c r="L310" s="50"/>
      <c r="M310" s="50"/>
      <c r="N310" s="50"/>
      <c r="O310" s="50"/>
      <c r="P310" s="50"/>
      <c r="Q310" s="50"/>
      <c r="R310" s="50"/>
      <c r="S310" s="50"/>
      <c r="T310" s="50"/>
      <c r="U310" s="50"/>
      <c r="V310" s="50"/>
      <c r="W310" s="50"/>
    </row>
    <row r="311" spans="1:23" s="250" customFormat="1">
      <c r="A311" s="244"/>
      <c r="B311" s="249"/>
      <c r="C311" s="249"/>
      <c r="D311" s="249"/>
      <c r="E311" s="257"/>
      <c r="F311" s="50"/>
      <c r="G311" s="50"/>
      <c r="H311" s="50"/>
      <c r="I311" s="50"/>
      <c r="J311" s="50"/>
      <c r="K311" s="50"/>
      <c r="L311" s="50"/>
      <c r="M311" s="50"/>
      <c r="N311" s="50"/>
      <c r="O311" s="50"/>
      <c r="P311" s="50"/>
      <c r="Q311" s="50"/>
      <c r="R311" s="50"/>
      <c r="S311" s="50"/>
      <c r="T311" s="50"/>
      <c r="U311" s="50"/>
      <c r="V311" s="50"/>
      <c r="W311" s="50"/>
    </row>
    <row r="312" spans="1:23" s="250" customFormat="1">
      <c r="A312" s="244"/>
      <c r="B312" s="254"/>
      <c r="C312" s="256"/>
      <c r="D312" s="256"/>
      <c r="E312" s="257"/>
      <c r="F312" s="50"/>
      <c r="G312" s="50"/>
      <c r="H312" s="50"/>
      <c r="I312" s="50"/>
      <c r="J312" s="50"/>
      <c r="K312" s="50"/>
      <c r="L312" s="50"/>
      <c r="M312" s="50"/>
      <c r="N312" s="50"/>
      <c r="O312" s="50"/>
      <c r="P312" s="50"/>
      <c r="Q312" s="50"/>
      <c r="R312" s="50"/>
      <c r="S312" s="50"/>
      <c r="T312" s="50"/>
      <c r="U312" s="50"/>
      <c r="V312" s="50"/>
      <c r="W312" s="50"/>
    </row>
    <row r="313" spans="1:23" s="250" customFormat="1">
      <c r="A313" s="244"/>
      <c r="C313" s="244"/>
      <c r="D313" s="251"/>
      <c r="E313" s="252"/>
      <c r="F313" s="50"/>
      <c r="G313" s="50"/>
      <c r="H313" s="50"/>
      <c r="I313" s="50"/>
      <c r="J313" s="50"/>
      <c r="K313" s="50"/>
      <c r="L313" s="50"/>
      <c r="M313" s="50"/>
      <c r="N313" s="50"/>
      <c r="O313" s="50"/>
      <c r="P313" s="50"/>
      <c r="Q313" s="50"/>
      <c r="R313" s="50"/>
      <c r="S313" s="50"/>
      <c r="T313" s="50"/>
      <c r="U313" s="50"/>
      <c r="V313" s="50"/>
      <c r="W313" s="50"/>
    </row>
    <row r="314" spans="1:23" s="250" customFormat="1">
      <c r="A314" s="244"/>
      <c r="C314" s="244"/>
      <c r="D314" s="251"/>
      <c r="E314" s="252"/>
      <c r="F314" s="50"/>
      <c r="G314" s="50"/>
      <c r="H314" s="50"/>
      <c r="I314" s="50"/>
      <c r="J314" s="50"/>
      <c r="K314" s="50"/>
      <c r="L314" s="50"/>
      <c r="M314" s="50"/>
      <c r="N314" s="50"/>
      <c r="O314" s="50"/>
      <c r="P314" s="50"/>
      <c r="Q314" s="50"/>
      <c r="R314" s="50"/>
      <c r="S314" s="50"/>
      <c r="T314" s="50"/>
      <c r="U314" s="50"/>
      <c r="V314" s="50"/>
      <c r="W314" s="50"/>
    </row>
    <row r="315" spans="1:23" s="250" customFormat="1">
      <c r="A315" s="244"/>
      <c r="C315" s="244"/>
      <c r="D315" s="251"/>
      <c r="E315" s="252"/>
      <c r="F315" s="50"/>
      <c r="G315" s="50"/>
      <c r="H315" s="50"/>
      <c r="I315" s="50"/>
      <c r="J315" s="50"/>
      <c r="K315" s="50"/>
      <c r="L315" s="50"/>
      <c r="M315" s="50"/>
      <c r="N315" s="50"/>
      <c r="O315" s="50"/>
      <c r="P315" s="50"/>
      <c r="Q315" s="50"/>
      <c r="R315" s="50"/>
      <c r="S315" s="50"/>
      <c r="T315" s="50"/>
      <c r="U315" s="50"/>
      <c r="V315" s="50"/>
      <c r="W315" s="50"/>
    </row>
    <row r="316" spans="1:23" s="250" customFormat="1">
      <c r="A316" s="244"/>
      <c r="C316" s="244"/>
      <c r="D316" s="251"/>
      <c r="E316" s="252"/>
      <c r="F316" s="50"/>
      <c r="G316" s="50"/>
      <c r="H316" s="50"/>
      <c r="I316" s="50"/>
      <c r="J316" s="50"/>
      <c r="K316" s="50"/>
      <c r="L316" s="50"/>
      <c r="M316" s="50"/>
      <c r="N316" s="50"/>
      <c r="O316" s="50"/>
      <c r="P316" s="50"/>
      <c r="Q316" s="50"/>
      <c r="R316" s="50"/>
      <c r="S316" s="50"/>
      <c r="T316" s="50"/>
      <c r="U316" s="50"/>
      <c r="V316" s="50"/>
      <c r="W316" s="50"/>
    </row>
    <row r="317" spans="1:23" s="250" customFormat="1">
      <c r="A317" s="244"/>
      <c r="C317" s="244"/>
      <c r="D317" s="249"/>
      <c r="E317" s="257"/>
      <c r="F317" s="50"/>
      <c r="G317" s="50"/>
      <c r="H317" s="50"/>
      <c r="I317" s="50"/>
      <c r="J317" s="50"/>
      <c r="K317" s="50"/>
      <c r="L317" s="50"/>
      <c r="M317" s="50"/>
      <c r="N317" s="50"/>
      <c r="O317" s="50"/>
      <c r="P317" s="50"/>
      <c r="Q317" s="50"/>
      <c r="R317" s="50"/>
      <c r="S317" s="50"/>
      <c r="T317" s="50"/>
      <c r="U317" s="50"/>
      <c r="V317" s="50"/>
      <c r="W317" s="50"/>
    </row>
    <row r="318" spans="1:23" s="250" customFormat="1">
      <c r="A318" s="244"/>
      <c r="C318" s="244"/>
      <c r="D318" s="249"/>
      <c r="E318" s="257"/>
      <c r="F318" s="249"/>
      <c r="G318" s="50"/>
      <c r="H318" s="50"/>
      <c r="I318" s="50"/>
      <c r="J318" s="50"/>
      <c r="K318" s="50"/>
      <c r="L318" s="50"/>
      <c r="M318" s="50"/>
      <c r="N318" s="50"/>
      <c r="O318" s="50"/>
      <c r="P318" s="50"/>
      <c r="Q318" s="50"/>
      <c r="R318" s="50"/>
      <c r="S318" s="50"/>
      <c r="T318" s="50"/>
      <c r="U318" s="50"/>
      <c r="V318" s="50"/>
      <c r="W318" s="50"/>
    </row>
    <row r="319" spans="1:23" s="250" customFormat="1">
      <c r="A319" s="244"/>
      <c r="B319" s="249"/>
      <c r="C319" s="249"/>
      <c r="D319" s="249"/>
      <c r="E319" s="257"/>
      <c r="F319" s="249"/>
      <c r="G319" s="50"/>
      <c r="H319" s="50"/>
      <c r="I319" s="50"/>
      <c r="J319" s="50"/>
      <c r="K319" s="50"/>
      <c r="L319" s="50"/>
      <c r="M319" s="50"/>
      <c r="N319" s="50"/>
      <c r="O319" s="50"/>
      <c r="P319" s="50"/>
      <c r="Q319" s="50"/>
      <c r="R319" s="50"/>
      <c r="S319" s="50"/>
      <c r="T319" s="50"/>
      <c r="U319" s="50"/>
      <c r="V319" s="50"/>
      <c r="W319" s="50"/>
    </row>
    <row r="320" spans="1:23" s="250" customFormat="1">
      <c r="A320" s="244"/>
      <c r="B320" s="249"/>
      <c r="C320" s="249"/>
      <c r="D320" s="249"/>
      <c r="E320" s="257"/>
      <c r="F320" s="249"/>
      <c r="G320" s="50"/>
      <c r="H320" s="50"/>
      <c r="I320" s="50"/>
      <c r="J320" s="50"/>
      <c r="K320" s="50"/>
      <c r="L320" s="50"/>
      <c r="M320" s="50"/>
      <c r="N320" s="50"/>
      <c r="O320" s="50"/>
      <c r="P320" s="50"/>
      <c r="Q320" s="50"/>
      <c r="R320" s="50"/>
      <c r="S320" s="50"/>
      <c r="T320" s="50"/>
      <c r="U320" s="50"/>
      <c r="V320" s="50"/>
      <c r="W320" s="50"/>
    </row>
    <row r="321" spans="1:23" s="250" customFormat="1">
      <c r="A321" s="244"/>
      <c r="B321" s="249"/>
      <c r="C321" s="249"/>
      <c r="D321" s="249"/>
      <c r="E321" s="257"/>
      <c r="F321" s="249"/>
      <c r="G321" s="50"/>
      <c r="H321" s="50"/>
      <c r="I321" s="50"/>
      <c r="J321" s="50"/>
      <c r="K321" s="50"/>
      <c r="L321" s="50"/>
      <c r="M321" s="50"/>
      <c r="N321" s="50"/>
      <c r="O321" s="50"/>
      <c r="P321" s="50"/>
      <c r="Q321" s="50"/>
      <c r="R321" s="50"/>
      <c r="S321" s="50"/>
      <c r="T321" s="50"/>
      <c r="U321" s="50"/>
      <c r="V321" s="50"/>
      <c r="W321" s="50"/>
    </row>
    <row r="322" spans="1:23" s="250" customFormat="1">
      <c r="A322" s="244"/>
      <c r="B322" s="249"/>
      <c r="C322" s="249"/>
      <c r="D322" s="249"/>
      <c r="E322" s="257"/>
      <c r="F322" s="249"/>
      <c r="G322" s="50"/>
      <c r="H322" s="50"/>
      <c r="I322" s="50"/>
      <c r="J322" s="50"/>
      <c r="K322" s="50"/>
      <c r="L322" s="50"/>
      <c r="M322" s="50"/>
      <c r="N322" s="50"/>
      <c r="O322" s="50"/>
      <c r="P322" s="50"/>
      <c r="Q322" s="50"/>
      <c r="R322" s="50"/>
      <c r="S322" s="50"/>
      <c r="T322" s="50"/>
      <c r="U322" s="50"/>
      <c r="V322" s="50"/>
      <c r="W322" s="50"/>
    </row>
    <row r="323" spans="1:23" s="250" customFormat="1">
      <c r="A323" s="244"/>
      <c r="B323" s="249"/>
      <c r="C323" s="249"/>
      <c r="D323" s="249"/>
      <c r="E323" s="257"/>
      <c r="F323" s="249"/>
      <c r="G323" s="50"/>
      <c r="H323" s="50"/>
      <c r="I323" s="50"/>
      <c r="J323" s="50"/>
      <c r="K323" s="50"/>
      <c r="L323" s="50"/>
      <c r="M323" s="50"/>
      <c r="N323" s="50"/>
      <c r="O323" s="50"/>
      <c r="P323" s="50"/>
      <c r="Q323" s="50"/>
      <c r="R323" s="50"/>
      <c r="S323" s="50"/>
      <c r="T323" s="50"/>
      <c r="U323" s="50"/>
      <c r="V323" s="50"/>
      <c r="W323" s="50"/>
    </row>
    <row r="324" spans="1:23" s="250" customFormat="1">
      <c r="A324" s="244"/>
      <c r="B324" s="249"/>
      <c r="C324" s="249"/>
      <c r="D324" s="249"/>
      <c r="E324" s="257"/>
      <c r="F324" s="249"/>
      <c r="G324" s="50"/>
      <c r="H324" s="50"/>
      <c r="I324" s="50"/>
      <c r="J324" s="50"/>
      <c r="K324" s="50"/>
      <c r="L324" s="50"/>
      <c r="M324" s="50"/>
      <c r="N324" s="50"/>
      <c r="O324" s="50"/>
      <c r="P324" s="50"/>
      <c r="Q324" s="50"/>
      <c r="R324" s="50"/>
      <c r="S324" s="50"/>
      <c r="T324" s="50"/>
      <c r="U324" s="50"/>
      <c r="V324" s="50"/>
      <c r="W324" s="50"/>
    </row>
    <row r="325" spans="1:23">
      <c r="B325" s="258"/>
      <c r="C325" s="258"/>
      <c r="D325" s="50"/>
      <c r="E325" s="51"/>
      <c r="F325" s="50"/>
    </row>
    <row r="326" spans="1:23">
      <c r="B326" s="258"/>
      <c r="C326" s="258"/>
      <c r="D326" s="50"/>
      <c r="E326" s="51"/>
      <c r="F326" s="50"/>
    </row>
    <row r="327" spans="1:23">
      <c r="B327" s="258"/>
      <c r="C327" s="258"/>
      <c r="D327" s="50"/>
      <c r="E327" s="51"/>
      <c r="F327" s="50"/>
    </row>
    <row r="328" spans="1:23">
      <c r="B328" s="258"/>
      <c r="C328" s="258"/>
      <c r="D328" s="50"/>
      <c r="E328" s="51"/>
      <c r="F328" s="50"/>
    </row>
    <row r="329" spans="1:23">
      <c r="B329" s="258"/>
      <c r="D329" s="50"/>
      <c r="E329" s="51"/>
      <c r="F329" s="50"/>
    </row>
    <row r="330" spans="1:23">
      <c r="B330" s="258"/>
      <c r="C330" s="258"/>
      <c r="D330" s="50"/>
      <c r="E330" s="51"/>
      <c r="F330" s="50"/>
    </row>
    <row r="331" spans="1:23">
      <c r="B331" s="258"/>
      <c r="C331" s="258"/>
      <c r="D331" s="50"/>
      <c r="E331" s="51"/>
      <c r="F331" s="50"/>
    </row>
    <row r="332" spans="1:23">
      <c r="A332" s="259"/>
      <c r="B332" s="258"/>
      <c r="C332" s="258"/>
      <c r="D332" s="50"/>
      <c r="E332" s="51"/>
      <c r="F332" s="50"/>
    </row>
    <row r="333" spans="1:23">
      <c r="A333" s="259"/>
      <c r="B333" s="258"/>
      <c r="C333" s="31"/>
      <c r="D333" s="50"/>
      <c r="E333" s="51"/>
      <c r="F333" s="50"/>
    </row>
    <row r="334" spans="1:23">
      <c r="A334" s="259"/>
      <c r="B334" s="258"/>
      <c r="C334" s="258"/>
      <c r="D334" s="50"/>
      <c r="E334" s="51"/>
      <c r="F334" s="50"/>
    </row>
    <row r="335" spans="1:23">
      <c r="A335" s="259"/>
      <c r="B335" s="258"/>
      <c r="C335" s="258"/>
      <c r="D335" s="50"/>
      <c r="E335" s="51"/>
      <c r="F335" s="50"/>
    </row>
    <row r="336" spans="1:23">
      <c r="A336" s="259"/>
      <c r="D336" s="50"/>
      <c r="E336" s="51"/>
      <c r="F336" s="50"/>
    </row>
    <row r="337" spans="1:29">
      <c r="A337" s="259"/>
      <c r="D337" s="50"/>
      <c r="E337" s="51"/>
      <c r="F337" s="50"/>
    </row>
    <row r="338" spans="1:29" s="50" customFormat="1">
      <c r="A338" s="260"/>
      <c r="B338" s="31"/>
      <c r="C338" s="78"/>
      <c r="D338" s="71"/>
      <c r="E338" s="261"/>
      <c r="F338" s="262"/>
      <c r="X338" s="29"/>
      <c r="Y338" s="29"/>
      <c r="Z338" s="29"/>
      <c r="AA338" s="29"/>
      <c r="AB338" s="29"/>
      <c r="AC338" s="29"/>
    </row>
    <row r="339" spans="1:29" s="50" customFormat="1">
      <c r="A339" s="258"/>
      <c r="B339" s="258"/>
      <c r="C339" s="258"/>
      <c r="D339" s="258"/>
      <c r="E339" s="51"/>
      <c r="F339" s="71"/>
      <c r="X339" s="29"/>
      <c r="Y339" s="29"/>
      <c r="Z339" s="29"/>
      <c r="AA339" s="29"/>
      <c r="AB339" s="29"/>
      <c r="AC339" s="29"/>
    </row>
    <row r="340" spans="1:29" s="50" customFormat="1">
      <c r="A340" s="258"/>
      <c r="B340" s="258"/>
      <c r="C340" s="258"/>
      <c r="D340" s="258"/>
      <c r="E340" s="51"/>
      <c r="F340" s="71"/>
      <c r="X340" s="29"/>
      <c r="Y340" s="29"/>
      <c r="Z340" s="29"/>
      <c r="AA340" s="29"/>
      <c r="AB340" s="29"/>
      <c r="AC340" s="29"/>
    </row>
    <row r="341" spans="1:29" s="50" customFormat="1">
      <c r="A341" s="258"/>
      <c r="B341" s="258"/>
      <c r="C341" s="258"/>
      <c r="D341" s="258"/>
      <c r="E341" s="51"/>
      <c r="F341" s="71"/>
      <c r="X341" s="29"/>
      <c r="Y341" s="29"/>
      <c r="Z341" s="29"/>
      <c r="AA341" s="29"/>
      <c r="AB341" s="29"/>
      <c r="AC341" s="29"/>
    </row>
    <row r="342" spans="1:29" s="50" customFormat="1">
      <c r="A342" s="258"/>
      <c r="B342" s="258"/>
      <c r="C342" s="258"/>
      <c r="D342" s="258"/>
      <c r="E342" s="51"/>
      <c r="F342" s="71"/>
      <c r="X342" s="29"/>
      <c r="Y342" s="29"/>
      <c r="Z342" s="29"/>
      <c r="AA342" s="29"/>
      <c r="AB342" s="29"/>
      <c r="AC342" s="29"/>
    </row>
    <row r="343" spans="1:29" s="50" customFormat="1">
      <c r="A343" s="258"/>
      <c r="B343" s="258"/>
      <c r="C343" s="258"/>
      <c r="D343" s="258"/>
      <c r="E343" s="51"/>
      <c r="F343" s="71"/>
      <c r="X343" s="29"/>
      <c r="Y343" s="29"/>
      <c r="Z343" s="29"/>
      <c r="AA343" s="29"/>
      <c r="AB343" s="29"/>
      <c r="AC343" s="29"/>
    </row>
    <row r="344" spans="1:29" s="50" customFormat="1">
      <c r="A344" s="258"/>
      <c r="B344" s="258"/>
      <c r="C344" s="258"/>
      <c r="D344" s="258"/>
      <c r="E344" s="51"/>
      <c r="F344" s="71"/>
      <c r="X344" s="29"/>
      <c r="Y344" s="29"/>
      <c r="Z344" s="29"/>
      <c r="AA344" s="29"/>
      <c r="AB344" s="29"/>
      <c r="AC344" s="29"/>
    </row>
    <row r="345" spans="1:29" s="50" customFormat="1">
      <c r="A345" s="258"/>
      <c r="B345" s="258"/>
      <c r="C345" s="258"/>
      <c r="D345" s="258"/>
      <c r="E345" s="51"/>
      <c r="F345" s="71"/>
      <c r="X345" s="29"/>
      <c r="Y345" s="29"/>
      <c r="Z345" s="29"/>
      <c r="AA345" s="29"/>
      <c r="AB345" s="29"/>
      <c r="AC345" s="29"/>
    </row>
    <row r="346" spans="1:29" s="50" customFormat="1">
      <c r="A346" s="258"/>
      <c r="B346" s="258"/>
      <c r="C346" s="258"/>
      <c r="D346" s="258"/>
      <c r="E346" s="51"/>
      <c r="F346" s="71"/>
      <c r="X346" s="29"/>
      <c r="Y346" s="29"/>
      <c r="Z346" s="29"/>
      <c r="AA346" s="29"/>
      <c r="AB346" s="29"/>
      <c r="AC346" s="29"/>
    </row>
    <row r="347" spans="1:29" s="50" customFormat="1">
      <c r="A347" s="258"/>
      <c r="B347" s="258"/>
      <c r="C347" s="258"/>
      <c r="D347" s="258"/>
      <c r="E347" s="51"/>
      <c r="F347" s="71"/>
      <c r="X347" s="29"/>
      <c r="Y347" s="29"/>
      <c r="Z347" s="29"/>
      <c r="AA347" s="29"/>
      <c r="AB347" s="29"/>
      <c r="AC347" s="29"/>
    </row>
    <row r="348" spans="1:29" s="50" customFormat="1">
      <c r="A348" s="258"/>
      <c r="B348" s="258"/>
      <c r="C348" s="258"/>
      <c r="D348" s="258"/>
      <c r="E348" s="51"/>
      <c r="F348" s="71"/>
      <c r="X348" s="29"/>
      <c r="Y348" s="29"/>
      <c r="Z348" s="29"/>
      <c r="AA348" s="29"/>
      <c r="AB348" s="29"/>
      <c r="AC348" s="29"/>
    </row>
    <row r="349" spans="1:29" s="50" customFormat="1">
      <c r="A349" s="258"/>
      <c r="B349" s="258"/>
      <c r="C349" s="258"/>
      <c r="D349" s="258"/>
      <c r="E349" s="51"/>
      <c r="F349" s="71"/>
      <c r="X349" s="29"/>
      <c r="Y349" s="29"/>
      <c r="Z349" s="29"/>
      <c r="AA349" s="29"/>
      <c r="AB349" s="29"/>
      <c r="AC349" s="29"/>
    </row>
    <row r="350" spans="1:29" s="50" customFormat="1">
      <c r="A350" s="258"/>
      <c r="B350" s="258"/>
      <c r="C350" s="258"/>
      <c r="D350" s="258"/>
      <c r="E350" s="51"/>
      <c r="F350" s="71"/>
      <c r="X350" s="29"/>
      <c r="Y350" s="29"/>
      <c r="Z350" s="29"/>
      <c r="AA350" s="29"/>
      <c r="AB350" s="29"/>
      <c r="AC350" s="29"/>
    </row>
    <row r="351" spans="1:29" s="50" customFormat="1">
      <c r="A351" s="258"/>
      <c r="B351" s="258"/>
      <c r="C351" s="258"/>
      <c r="D351" s="258"/>
      <c r="E351" s="51"/>
      <c r="F351" s="71"/>
      <c r="X351" s="29"/>
      <c r="Y351" s="29"/>
      <c r="Z351" s="29"/>
      <c r="AA351" s="29"/>
      <c r="AB351" s="29"/>
      <c r="AC351" s="29"/>
    </row>
    <row r="352" spans="1:29" s="50" customFormat="1">
      <c r="A352" s="258"/>
      <c r="B352" s="258"/>
      <c r="C352" s="258"/>
      <c r="D352" s="258"/>
      <c r="E352" s="51"/>
      <c r="F352" s="71"/>
      <c r="X352" s="29"/>
      <c r="Y352" s="29"/>
      <c r="Z352" s="29"/>
      <c r="AA352" s="29"/>
      <c r="AB352" s="29"/>
      <c r="AC352" s="29"/>
    </row>
    <row r="353" spans="1:29" s="50" customFormat="1">
      <c r="A353" s="258"/>
      <c r="B353" s="258"/>
      <c r="C353" s="258"/>
      <c r="D353" s="258"/>
      <c r="E353" s="51"/>
      <c r="F353" s="71"/>
      <c r="X353" s="29"/>
      <c r="Y353" s="29"/>
      <c r="Z353" s="29"/>
      <c r="AA353" s="29"/>
      <c r="AB353" s="29"/>
      <c r="AC353" s="29"/>
    </row>
    <row r="354" spans="1:29" s="71" customFormat="1">
      <c r="A354" s="258"/>
      <c r="B354" s="258"/>
      <c r="C354" s="258"/>
      <c r="D354" s="258"/>
      <c r="E354" s="51"/>
      <c r="G354" s="50"/>
      <c r="H354" s="50"/>
      <c r="I354" s="50"/>
      <c r="J354" s="50"/>
      <c r="K354" s="50"/>
      <c r="L354" s="50"/>
      <c r="M354" s="50"/>
      <c r="N354" s="50"/>
      <c r="O354" s="50"/>
      <c r="P354" s="50"/>
      <c r="Q354" s="50"/>
      <c r="R354" s="50"/>
      <c r="S354" s="50"/>
      <c r="T354" s="50"/>
      <c r="U354" s="50"/>
      <c r="V354" s="50"/>
      <c r="W354" s="50"/>
      <c r="X354" s="29"/>
      <c r="Y354" s="29"/>
      <c r="Z354" s="29"/>
      <c r="AA354" s="29"/>
      <c r="AB354" s="29"/>
      <c r="AC354" s="29"/>
    </row>
    <row r="355" spans="1:29" s="71" customFormat="1">
      <c r="A355" s="258"/>
      <c r="B355" s="258"/>
      <c r="C355" s="258"/>
      <c r="D355" s="258"/>
      <c r="E355" s="51"/>
      <c r="G355" s="50"/>
      <c r="H355" s="50"/>
      <c r="I355" s="50"/>
      <c r="J355" s="50"/>
      <c r="K355" s="50"/>
      <c r="L355" s="50"/>
      <c r="M355" s="50"/>
      <c r="N355" s="50"/>
      <c r="O355" s="50"/>
      <c r="P355" s="50"/>
      <c r="Q355" s="50"/>
      <c r="R355" s="50"/>
      <c r="S355" s="50"/>
      <c r="T355" s="50"/>
      <c r="U355" s="50"/>
      <c r="V355" s="50"/>
      <c r="W355" s="50"/>
      <c r="X355" s="29"/>
      <c r="Y355" s="29"/>
      <c r="Z355" s="29"/>
      <c r="AA355" s="29"/>
      <c r="AB355" s="29"/>
      <c r="AC355" s="29"/>
    </row>
    <row r="356" spans="1:29" s="71" customFormat="1">
      <c r="A356" s="258"/>
      <c r="B356" s="258"/>
      <c r="C356" s="258"/>
      <c r="D356" s="258"/>
      <c r="E356" s="51"/>
      <c r="G356" s="50"/>
      <c r="H356" s="50"/>
      <c r="I356" s="50"/>
      <c r="J356" s="50"/>
      <c r="K356" s="50"/>
      <c r="L356" s="50"/>
      <c r="M356" s="50"/>
      <c r="N356" s="50"/>
      <c r="O356" s="50"/>
      <c r="P356" s="50"/>
      <c r="Q356" s="50"/>
      <c r="R356" s="50"/>
      <c r="S356" s="50"/>
      <c r="T356" s="50"/>
      <c r="U356" s="50"/>
      <c r="V356" s="50"/>
      <c r="W356" s="50"/>
      <c r="X356" s="29"/>
      <c r="Y356" s="29"/>
      <c r="Z356" s="29"/>
      <c r="AA356" s="29"/>
      <c r="AB356" s="29"/>
      <c r="AC356" s="29"/>
    </row>
    <row r="357" spans="1:29" s="71" customFormat="1">
      <c r="A357" s="258"/>
      <c r="B357" s="258"/>
      <c r="C357" s="258"/>
      <c r="D357" s="258"/>
      <c r="E357" s="51"/>
      <c r="G357" s="50"/>
      <c r="H357" s="50"/>
      <c r="I357" s="50"/>
      <c r="J357" s="50"/>
      <c r="K357" s="50"/>
      <c r="L357" s="50"/>
      <c r="M357" s="50"/>
      <c r="N357" s="50"/>
      <c r="O357" s="50"/>
      <c r="P357" s="50"/>
      <c r="Q357" s="50"/>
      <c r="R357" s="50"/>
      <c r="S357" s="50"/>
      <c r="T357" s="50"/>
      <c r="U357" s="50"/>
      <c r="V357" s="50"/>
      <c r="W357" s="50"/>
      <c r="X357" s="29"/>
      <c r="Y357" s="29"/>
      <c r="Z357" s="29"/>
      <c r="AA357" s="29"/>
      <c r="AB357" s="29"/>
      <c r="AC357" s="29"/>
    </row>
    <row r="358" spans="1:29" s="71" customFormat="1">
      <c r="A358" s="258"/>
      <c r="B358" s="258"/>
      <c r="C358" s="258"/>
      <c r="D358" s="258"/>
      <c r="E358" s="51"/>
      <c r="G358" s="50"/>
      <c r="H358" s="50"/>
      <c r="I358" s="50"/>
      <c r="J358" s="50"/>
      <c r="K358" s="50"/>
      <c r="L358" s="50"/>
      <c r="M358" s="50"/>
      <c r="N358" s="50"/>
      <c r="O358" s="50"/>
      <c r="P358" s="50"/>
      <c r="Q358" s="50"/>
      <c r="R358" s="50"/>
      <c r="S358" s="50"/>
      <c r="T358" s="50"/>
      <c r="U358" s="50"/>
      <c r="V358" s="50"/>
      <c r="W358" s="50"/>
      <c r="X358" s="29"/>
      <c r="Y358" s="29"/>
      <c r="Z358" s="29"/>
      <c r="AA358" s="29"/>
      <c r="AB358" s="29"/>
      <c r="AC358" s="29"/>
    </row>
    <row r="359" spans="1:29" s="71" customFormat="1">
      <c r="A359" s="258"/>
      <c r="B359" s="258"/>
      <c r="C359" s="258"/>
      <c r="D359" s="258"/>
      <c r="E359" s="51"/>
      <c r="G359" s="50"/>
      <c r="H359" s="50"/>
      <c r="I359" s="50"/>
      <c r="J359" s="50"/>
      <c r="K359" s="50"/>
      <c r="L359" s="50"/>
      <c r="M359" s="50"/>
      <c r="N359" s="50"/>
      <c r="O359" s="50"/>
      <c r="P359" s="50"/>
      <c r="Q359" s="50"/>
      <c r="R359" s="50"/>
      <c r="S359" s="50"/>
      <c r="T359" s="50"/>
      <c r="U359" s="50"/>
      <c r="V359" s="50"/>
      <c r="W359" s="50"/>
      <c r="X359" s="29"/>
      <c r="Y359" s="29"/>
      <c r="Z359" s="29"/>
      <c r="AA359" s="29"/>
      <c r="AB359" s="29"/>
      <c r="AC359" s="29"/>
    </row>
    <row r="360" spans="1:29" s="71" customFormat="1">
      <c r="A360" s="258"/>
      <c r="B360" s="258"/>
      <c r="C360" s="258"/>
      <c r="D360" s="258"/>
      <c r="E360" s="51"/>
      <c r="G360" s="50"/>
      <c r="H360" s="50"/>
      <c r="I360" s="50"/>
      <c r="J360" s="50"/>
      <c r="K360" s="50"/>
      <c r="L360" s="50"/>
      <c r="M360" s="50"/>
      <c r="N360" s="50"/>
      <c r="O360" s="50"/>
      <c r="P360" s="50"/>
      <c r="Q360" s="50"/>
      <c r="R360" s="50"/>
      <c r="S360" s="50"/>
      <c r="T360" s="50"/>
      <c r="U360" s="50"/>
      <c r="V360" s="50"/>
      <c r="W360" s="50"/>
      <c r="X360" s="29"/>
      <c r="Y360" s="29"/>
      <c r="Z360" s="29"/>
      <c r="AA360" s="29"/>
      <c r="AB360" s="29"/>
      <c r="AC360" s="29"/>
    </row>
    <row r="361" spans="1:29" s="71" customFormat="1">
      <c r="A361" s="258"/>
      <c r="B361" s="258"/>
      <c r="C361" s="258"/>
      <c r="D361" s="258"/>
      <c r="E361" s="51"/>
      <c r="G361" s="50"/>
      <c r="H361" s="50"/>
      <c r="I361" s="50"/>
      <c r="J361" s="50"/>
      <c r="K361" s="50"/>
      <c r="L361" s="50"/>
      <c r="M361" s="50"/>
      <c r="N361" s="50"/>
      <c r="O361" s="50"/>
      <c r="P361" s="50"/>
      <c r="Q361" s="50"/>
      <c r="R361" s="50"/>
      <c r="S361" s="50"/>
      <c r="T361" s="50"/>
      <c r="U361" s="50"/>
      <c r="V361" s="50"/>
      <c r="W361" s="50"/>
      <c r="X361" s="29"/>
      <c r="Y361" s="29"/>
      <c r="Z361" s="29"/>
      <c r="AA361" s="29"/>
      <c r="AB361" s="29"/>
      <c r="AC361" s="29"/>
    </row>
    <row r="362" spans="1:29" s="71" customFormat="1">
      <c r="A362" s="258"/>
      <c r="B362" s="258"/>
      <c r="C362" s="258"/>
      <c r="D362" s="258"/>
      <c r="E362" s="51"/>
      <c r="G362" s="50"/>
      <c r="H362" s="50"/>
      <c r="I362" s="50"/>
      <c r="J362" s="50"/>
      <c r="K362" s="50"/>
      <c r="L362" s="50"/>
      <c r="M362" s="50"/>
      <c r="N362" s="50"/>
      <c r="O362" s="50"/>
      <c r="P362" s="50"/>
      <c r="Q362" s="50"/>
      <c r="R362" s="50"/>
      <c r="S362" s="50"/>
      <c r="T362" s="50"/>
      <c r="U362" s="50"/>
      <c r="V362" s="50"/>
      <c r="W362" s="50"/>
      <c r="X362" s="29"/>
      <c r="Y362" s="29"/>
      <c r="Z362" s="29"/>
      <c r="AA362" s="29"/>
      <c r="AB362" s="29"/>
      <c r="AC362" s="29"/>
    </row>
    <row r="363" spans="1:29" s="71" customFormat="1">
      <c r="A363" s="258"/>
      <c r="B363" s="258"/>
      <c r="C363" s="258"/>
      <c r="D363" s="258"/>
      <c r="E363" s="51"/>
      <c r="G363" s="50"/>
      <c r="H363" s="50"/>
      <c r="I363" s="50"/>
      <c r="J363" s="50"/>
      <c r="K363" s="50"/>
      <c r="L363" s="50"/>
      <c r="M363" s="50"/>
      <c r="N363" s="50"/>
      <c r="O363" s="50"/>
      <c r="P363" s="50"/>
      <c r="Q363" s="50"/>
      <c r="R363" s="50"/>
      <c r="S363" s="50"/>
      <c r="T363" s="50"/>
      <c r="U363" s="50"/>
      <c r="V363" s="50"/>
      <c r="W363" s="50"/>
      <c r="X363" s="29"/>
      <c r="Y363" s="29"/>
      <c r="Z363" s="29"/>
      <c r="AA363" s="29"/>
      <c r="AB363" s="29"/>
      <c r="AC363" s="29"/>
    </row>
    <row r="364" spans="1:29" s="71" customFormat="1">
      <c r="A364" s="258"/>
      <c r="B364" s="258"/>
      <c r="C364" s="258"/>
      <c r="D364" s="258"/>
      <c r="E364" s="51"/>
      <c r="G364" s="50"/>
      <c r="H364" s="50"/>
      <c r="I364" s="50"/>
      <c r="J364" s="50"/>
      <c r="K364" s="50"/>
      <c r="L364" s="50"/>
      <c r="M364" s="50"/>
      <c r="N364" s="50"/>
      <c r="O364" s="50"/>
      <c r="P364" s="50"/>
      <c r="Q364" s="50"/>
      <c r="R364" s="50"/>
      <c r="S364" s="50"/>
      <c r="T364" s="50"/>
      <c r="U364" s="50"/>
      <c r="V364" s="50"/>
      <c r="W364" s="50"/>
      <c r="X364" s="29"/>
      <c r="Y364" s="29"/>
      <c r="Z364" s="29"/>
      <c r="AA364" s="29"/>
      <c r="AB364" s="29"/>
      <c r="AC364" s="29"/>
    </row>
    <row r="365" spans="1:29" s="71" customFormat="1">
      <c r="A365" s="258"/>
      <c r="B365" s="258"/>
      <c r="C365" s="258"/>
      <c r="D365" s="258"/>
      <c r="E365" s="51"/>
      <c r="G365" s="50"/>
      <c r="H365" s="50"/>
      <c r="I365" s="50"/>
      <c r="J365" s="50"/>
      <c r="K365" s="50"/>
      <c r="L365" s="50"/>
      <c r="M365" s="50"/>
      <c r="N365" s="50"/>
      <c r="O365" s="50"/>
      <c r="P365" s="50"/>
      <c r="Q365" s="50"/>
      <c r="R365" s="50"/>
      <c r="S365" s="50"/>
      <c r="T365" s="50"/>
      <c r="U365" s="50"/>
      <c r="V365" s="50"/>
      <c r="W365" s="50"/>
      <c r="X365" s="29"/>
      <c r="Y365" s="29"/>
      <c r="Z365" s="29"/>
      <c r="AA365" s="29"/>
      <c r="AB365" s="29"/>
      <c r="AC365" s="29"/>
    </row>
    <row r="366" spans="1:29" s="71" customFormat="1">
      <c r="A366" s="258"/>
      <c r="B366" s="258"/>
      <c r="C366" s="258"/>
      <c r="D366" s="258"/>
      <c r="E366" s="51"/>
      <c r="G366" s="50"/>
      <c r="H366" s="50"/>
      <c r="I366" s="50"/>
      <c r="J366" s="50"/>
      <c r="K366" s="50"/>
      <c r="L366" s="50"/>
      <c r="M366" s="50"/>
      <c r="N366" s="50"/>
      <c r="O366" s="50"/>
      <c r="P366" s="50"/>
      <c r="Q366" s="50"/>
      <c r="R366" s="50"/>
      <c r="S366" s="50"/>
      <c r="T366" s="50"/>
      <c r="U366" s="50"/>
      <c r="V366" s="50"/>
      <c r="W366" s="50"/>
      <c r="X366" s="29"/>
      <c r="Y366" s="29"/>
      <c r="Z366" s="29"/>
      <c r="AA366" s="29"/>
      <c r="AB366" s="29"/>
      <c r="AC366" s="29"/>
    </row>
    <row r="367" spans="1:29" s="71" customFormat="1">
      <c r="A367" s="258"/>
      <c r="B367" s="258"/>
      <c r="C367" s="258"/>
      <c r="D367" s="258"/>
      <c r="E367" s="51"/>
      <c r="G367" s="50"/>
      <c r="H367" s="50"/>
      <c r="I367" s="50"/>
      <c r="J367" s="50"/>
      <c r="K367" s="50"/>
      <c r="L367" s="50"/>
      <c r="M367" s="50"/>
      <c r="N367" s="50"/>
      <c r="O367" s="50"/>
      <c r="P367" s="50"/>
      <c r="Q367" s="50"/>
      <c r="R367" s="50"/>
      <c r="S367" s="50"/>
      <c r="T367" s="50"/>
      <c r="U367" s="50"/>
      <c r="V367" s="50"/>
      <c r="W367" s="50"/>
      <c r="X367" s="29"/>
      <c r="Y367" s="29"/>
      <c r="Z367" s="29"/>
      <c r="AA367" s="29"/>
      <c r="AB367" s="29"/>
      <c r="AC367" s="29"/>
    </row>
    <row r="368" spans="1:29" s="71" customFormat="1">
      <c r="A368" s="258"/>
      <c r="B368" s="258"/>
      <c r="C368" s="258"/>
      <c r="D368" s="258"/>
      <c r="E368" s="51"/>
      <c r="G368" s="50"/>
      <c r="H368" s="50"/>
      <c r="I368" s="50"/>
      <c r="J368" s="50"/>
      <c r="K368" s="50"/>
      <c r="L368" s="50"/>
      <c r="M368" s="50"/>
      <c r="N368" s="50"/>
      <c r="O368" s="50"/>
      <c r="P368" s="50"/>
      <c r="Q368" s="50"/>
      <c r="R368" s="50"/>
      <c r="S368" s="50"/>
      <c r="T368" s="50"/>
      <c r="U368" s="50"/>
      <c r="V368" s="50"/>
      <c r="W368" s="50"/>
      <c r="X368" s="29"/>
      <c r="Y368" s="29"/>
      <c r="Z368" s="29"/>
      <c r="AA368" s="29"/>
      <c r="AB368" s="29"/>
      <c r="AC368" s="29"/>
    </row>
    <row r="369" spans="1:29" s="71" customFormat="1">
      <c r="A369" s="258"/>
      <c r="B369" s="258"/>
      <c r="C369" s="258"/>
      <c r="D369" s="258"/>
      <c r="E369" s="51"/>
      <c r="G369" s="50"/>
      <c r="H369" s="50"/>
      <c r="I369" s="50"/>
      <c r="J369" s="50"/>
      <c r="K369" s="50"/>
      <c r="L369" s="50"/>
      <c r="M369" s="50"/>
      <c r="N369" s="50"/>
      <c r="O369" s="50"/>
      <c r="P369" s="50"/>
      <c r="Q369" s="50"/>
      <c r="R369" s="50"/>
      <c r="S369" s="50"/>
      <c r="T369" s="50"/>
      <c r="U369" s="50"/>
      <c r="V369" s="50"/>
      <c r="W369" s="50"/>
      <c r="X369" s="29"/>
      <c r="Y369" s="29"/>
      <c r="Z369" s="29"/>
      <c r="AA369" s="29"/>
      <c r="AB369" s="29"/>
      <c r="AC369" s="29"/>
    </row>
    <row r="370" spans="1:29" s="71" customFormat="1">
      <c r="A370" s="258"/>
      <c r="B370" s="258"/>
      <c r="C370" s="258"/>
      <c r="D370" s="258"/>
      <c r="E370" s="51"/>
      <c r="G370" s="50"/>
      <c r="H370" s="50"/>
      <c r="I370" s="50"/>
      <c r="J370" s="50"/>
      <c r="K370" s="50"/>
      <c r="L370" s="50"/>
      <c r="M370" s="50"/>
      <c r="N370" s="50"/>
      <c r="O370" s="50"/>
      <c r="P370" s="50"/>
      <c r="Q370" s="50"/>
      <c r="R370" s="50"/>
      <c r="S370" s="50"/>
      <c r="T370" s="50"/>
      <c r="U370" s="50"/>
      <c r="V370" s="50"/>
      <c r="W370" s="50"/>
      <c r="X370" s="29"/>
      <c r="Y370" s="29"/>
      <c r="Z370" s="29"/>
      <c r="AA370" s="29"/>
      <c r="AB370" s="29"/>
      <c r="AC370" s="29"/>
    </row>
    <row r="371" spans="1:29" s="71" customFormat="1">
      <c r="A371" s="258"/>
      <c r="B371" s="258"/>
      <c r="C371" s="258"/>
      <c r="D371" s="258"/>
      <c r="E371" s="51"/>
      <c r="G371" s="50"/>
      <c r="H371" s="50"/>
      <c r="I371" s="50"/>
      <c r="J371" s="50"/>
      <c r="K371" s="50"/>
      <c r="L371" s="50"/>
      <c r="M371" s="50"/>
      <c r="N371" s="50"/>
      <c r="O371" s="50"/>
      <c r="P371" s="50"/>
      <c r="Q371" s="50"/>
      <c r="R371" s="50"/>
      <c r="S371" s="50"/>
      <c r="T371" s="50"/>
      <c r="U371" s="50"/>
      <c r="V371" s="50"/>
      <c r="W371" s="50"/>
      <c r="X371" s="29"/>
      <c r="Y371" s="29"/>
      <c r="Z371" s="29"/>
      <c r="AA371" s="29"/>
      <c r="AB371" s="29"/>
      <c r="AC371" s="29"/>
    </row>
    <row r="372" spans="1:29" s="71" customFormat="1">
      <c r="A372" s="258"/>
      <c r="B372" s="258"/>
      <c r="C372" s="258"/>
      <c r="D372" s="258"/>
      <c r="E372" s="51"/>
      <c r="G372" s="50"/>
      <c r="H372" s="50"/>
      <c r="I372" s="50"/>
      <c r="J372" s="50"/>
      <c r="K372" s="50"/>
      <c r="L372" s="50"/>
      <c r="M372" s="50"/>
      <c r="N372" s="50"/>
      <c r="O372" s="50"/>
      <c r="P372" s="50"/>
      <c r="Q372" s="50"/>
      <c r="R372" s="50"/>
      <c r="S372" s="50"/>
      <c r="T372" s="50"/>
      <c r="U372" s="50"/>
      <c r="V372" s="50"/>
      <c r="W372" s="50"/>
      <c r="X372" s="29"/>
      <c r="Y372" s="29"/>
      <c r="Z372" s="29"/>
      <c r="AA372" s="29"/>
      <c r="AB372" s="29"/>
      <c r="AC372" s="29"/>
    </row>
    <row r="373" spans="1:29" s="71" customFormat="1">
      <c r="A373" s="258"/>
      <c r="B373" s="258"/>
      <c r="C373" s="258"/>
      <c r="D373" s="258"/>
      <c r="E373" s="51"/>
      <c r="G373" s="50"/>
      <c r="H373" s="50"/>
      <c r="I373" s="50"/>
      <c r="J373" s="50"/>
      <c r="K373" s="50"/>
      <c r="L373" s="50"/>
      <c r="M373" s="50"/>
      <c r="N373" s="50"/>
      <c r="O373" s="50"/>
      <c r="P373" s="50"/>
      <c r="Q373" s="50"/>
      <c r="R373" s="50"/>
      <c r="S373" s="50"/>
      <c r="T373" s="50"/>
      <c r="U373" s="50"/>
      <c r="V373" s="50"/>
      <c r="W373" s="50"/>
      <c r="X373" s="29"/>
      <c r="Y373" s="29"/>
      <c r="Z373" s="29"/>
      <c r="AA373" s="29"/>
      <c r="AB373" s="29"/>
      <c r="AC373" s="29"/>
    </row>
    <row r="374" spans="1:29" s="71" customFormat="1">
      <c r="A374" s="258"/>
      <c r="B374" s="258"/>
      <c r="C374" s="258"/>
      <c r="D374" s="258"/>
      <c r="E374" s="51"/>
      <c r="G374" s="50"/>
      <c r="H374" s="50"/>
      <c r="I374" s="50"/>
      <c r="J374" s="50"/>
      <c r="K374" s="50"/>
      <c r="L374" s="50"/>
      <c r="M374" s="50"/>
      <c r="N374" s="50"/>
      <c r="O374" s="50"/>
      <c r="P374" s="50"/>
      <c r="Q374" s="50"/>
      <c r="R374" s="50"/>
      <c r="S374" s="50"/>
      <c r="T374" s="50"/>
      <c r="U374" s="50"/>
      <c r="V374" s="50"/>
      <c r="W374" s="50"/>
      <c r="X374" s="29"/>
      <c r="Y374" s="29"/>
      <c r="Z374" s="29"/>
      <c r="AA374" s="29"/>
      <c r="AB374" s="29"/>
      <c r="AC374" s="29"/>
    </row>
    <row r="375" spans="1:29" s="71" customFormat="1">
      <c r="A375" s="258"/>
      <c r="B375" s="258"/>
      <c r="C375" s="258"/>
      <c r="D375" s="258"/>
      <c r="E375" s="51"/>
      <c r="G375" s="50"/>
      <c r="H375" s="50"/>
      <c r="I375" s="50"/>
      <c r="J375" s="50"/>
      <c r="K375" s="50"/>
      <c r="L375" s="50"/>
      <c r="M375" s="50"/>
      <c r="N375" s="50"/>
      <c r="O375" s="50"/>
      <c r="P375" s="50"/>
      <c r="Q375" s="50"/>
      <c r="R375" s="50"/>
      <c r="S375" s="50"/>
      <c r="T375" s="50"/>
      <c r="U375" s="50"/>
      <c r="V375" s="50"/>
      <c r="W375" s="50"/>
      <c r="X375" s="29"/>
      <c r="Y375" s="29"/>
      <c r="Z375" s="29"/>
      <c r="AA375" s="29"/>
      <c r="AB375" s="29"/>
      <c r="AC375" s="29"/>
    </row>
    <row r="376" spans="1:29" s="71" customFormat="1">
      <c r="A376" s="258"/>
      <c r="B376" s="258"/>
      <c r="C376" s="258"/>
      <c r="D376" s="258"/>
      <c r="E376" s="51"/>
      <c r="G376" s="50"/>
      <c r="H376" s="50"/>
      <c r="I376" s="50"/>
      <c r="J376" s="50"/>
      <c r="K376" s="50"/>
      <c r="L376" s="50"/>
      <c r="M376" s="50"/>
      <c r="N376" s="50"/>
      <c r="O376" s="50"/>
      <c r="P376" s="50"/>
      <c r="Q376" s="50"/>
      <c r="R376" s="50"/>
      <c r="S376" s="50"/>
      <c r="T376" s="50"/>
      <c r="U376" s="50"/>
      <c r="V376" s="50"/>
      <c r="W376" s="50"/>
      <c r="X376" s="29"/>
      <c r="Y376" s="29"/>
      <c r="Z376" s="29"/>
      <c r="AA376" s="29"/>
      <c r="AB376" s="29"/>
      <c r="AC376" s="29"/>
    </row>
    <row r="377" spans="1:29" s="71" customFormat="1">
      <c r="A377" s="263"/>
      <c r="B377" s="264"/>
      <c r="C377" s="78"/>
      <c r="E377" s="231"/>
      <c r="G377" s="50"/>
      <c r="H377" s="50"/>
      <c r="I377" s="50"/>
      <c r="J377" s="50"/>
      <c r="K377" s="50"/>
      <c r="L377" s="50"/>
      <c r="M377" s="50"/>
      <c r="N377" s="50"/>
      <c r="O377" s="50"/>
      <c r="P377" s="50"/>
      <c r="Q377" s="50"/>
      <c r="R377" s="50"/>
      <c r="S377" s="50"/>
      <c r="T377" s="50"/>
      <c r="U377" s="50"/>
      <c r="V377" s="50"/>
      <c r="W377" s="50"/>
      <c r="X377" s="29"/>
      <c r="Y377" s="29"/>
      <c r="Z377" s="29"/>
      <c r="AA377" s="29"/>
      <c r="AB377" s="29"/>
      <c r="AC377" s="29"/>
    </row>
    <row r="378" spans="1:29" s="71" customFormat="1">
      <c r="A378" s="263"/>
      <c r="B378" s="264"/>
      <c r="C378" s="78"/>
      <c r="E378" s="231"/>
      <c r="G378" s="50"/>
      <c r="H378" s="50"/>
      <c r="I378" s="50"/>
      <c r="J378" s="50"/>
      <c r="K378" s="50"/>
      <c r="L378" s="50"/>
      <c r="M378" s="50"/>
      <c r="N378" s="50"/>
      <c r="O378" s="50"/>
      <c r="P378" s="50"/>
      <c r="Q378" s="50"/>
      <c r="R378" s="50"/>
      <c r="S378" s="50"/>
      <c r="T378" s="50"/>
      <c r="U378" s="50"/>
      <c r="V378" s="50"/>
      <c r="W378" s="50"/>
      <c r="X378" s="29"/>
      <c r="Y378" s="29"/>
      <c r="Z378" s="29"/>
      <c r="AA378" s="29"/>
      <c r="AB378" s="29"/>
      <c r="AC378" s="29"/>
    </row>
    <row r="379" spans="1:29" s="71" customFormat="1">
      <c r="A379" s="263"/>
      <c r="B379" s="31"/>
      <c r="C379" s="78"/>
      <c r="E379" s="231"/>
      <c r="G379" s="50"/>
      <c r="H379" s="50"/>
      <c r="I379" s="50"/>
      <c r="J379" s="50"/>
      <c r="K379" s="50"/>
      <c r="L379" s="50"/>
      <c r="M379" s="50"/>
      <c r="N379" s="50"/>
      <c r="O379" s="50"/>
      <c r="P379" s="50"/>
      <c r="Q379" s="50"/>
      <c r="R379" s="50"/>
      <c r="S379" s="50"/>
      <c r="T379" s="50"/>
      <c r="U379" s="50"/>
      <c r="V379" s="50"/>
      <c r="W379" s="50"/>
      <c r="X379" s="29"/>
      <c r="Y379" s="29"/>
      <c r="Z379" s="29"/>
      <c r="AA379" s="29"/>
      <c r="AB379" s="29"/>
      <c r="AC379" s="29"/>
    </row>
    <row r="380" spans="1:29" s="71" customFormat="1">
      <c r="A380" s="263"/>
      <c r="B380" s="31"/>
      <c r="C380" s="78"/>
      <c r="E380" s="231"/>
      <c r="G380" s="50"/>
      <c r="H380" s="50"/>
      <c r="I380" s="50"/>
      <c r="J380" s="50"/>
      <c r="K380" s="50"/>
      <c r="L380" s="50"/>
      <c r="M380" s="50"/>
      <c r="N380" s="50"/>
      <c r="O380" s="50"/>
      <c r="P380" s="50"/>
      <c r="Q380" s="50"/>
      <c r="R380" s="50"/>
      <c r="S380" s="50"/>
      <c r="T380" s="50"/>
      <c r="U380" s="50"/>
      <c r="V380" s="50"/>
      <c r="W380" s="50"/>
      <c r="X380" s="29"/>
      <c r="Y380" s="29"/>
      <c r="Z380" s="29"/>
      <c r="AA380" s="29"/>
      <c r="AB380" s="29"/>
      <c r="AC380" s="29"/>
    </row>
    <row r="381" spans="1:29" s="71" customFormat="1">
      <c r="A381" s="263"/>
      <c r="B381" s="31"/>
      <c r="C381" s="78"/>
      <c r="E381" s="57"/>
      <c r="G381" s="50"/>
      <c r="H381" s="50"/>
      <c r="I381" s="50"/>
      <c r="J381" s="50"/>
      <c r="K381" s="50"/>
      <c r="L381" s="50"/>
      <c r="M381" s="50"/>
      <c r="N381" s="50"/>
      <c r="O381" s="50"/>
      <c r="P381" s="50"/>
      <c r="Q381" s="50"/>
      <c r="R381" s="50"/>
      <c r="S381" s="50"/>
      <c r="T381" s="50"/>
      <c r="U381" s="50"/>
      <c r="V381" s="50"/>
      <c r="W381" s="50"/>
      <c r="X381" s="29"/>
      <c r="Y381" s="29"/>
      <c r="Z381" s="29"/>
      <c r="AA381" s="29"/>
      <c r="AB381" s="29"/>
      <c r="AC381" s="29"/>
    </row>
    <row r="382" spans="1:29" s="71" customFormat="1">
      <c r="A382" s="263"/>
      <c r="B382" s="31"/>
      <c r="C382" s="78"/>
      <c r="E382" s="57"/>
      <c r="G382" s="50"/>
      <c r="H382" s="50"/>
      <c r="I382" s="50"/>
      <c r="J382" s="50"/>
      <c r="K382" s="50"/>
      <c r="L382" s="50"/>
      <c r="M382" s="50"/>
      <c r="N382" s="50"/>
      <c r="O382" s="50"/>
      <c r="P382" s="50"/>
      <c r="Q382" s="50"/>
      <c r="R382" s="50"/>
      <c r="S382" s="50"/>
      <c r="T382" s="50"/>
      <c r="U382" s="50"/>
      <c r="V382" s="50"/>
      <c r="W382" s="50"/>
      <c r="X382" s="29"/>
      <c r="Y382" s="29"/>
      <c r="Z382" s="29"/>
      <c r="AA382" s="29"/>
      <c r="AB382" s="29"/>
      <c r="AC382" s="29"/>
    </row>
  </sheetData>
  <protectedRanges>
    <protectedRange sqref="E14" name="Raspon1_2_5_5_2"/>
    <protectedRange sqref="E14" name="Raspon2_2_5_5_2"/>
    <protectedRange sqref="E87:E109 E218:E234 E215 E247:E268 E111:E131 E133:E157 E198 E159:E196 E245 E237:E240 E242:E243" name="Raspon1_2_4_1_2"/>
    <protectedRange sqref="E87:E109 E218:E234 E215 E247:E268 E111:E131 E133:E157 E198 E159:E196 E245 E237:E240 E242:E243" name="Raspon2_2_4_1_2"/>
  </protectedRanges>
  <mergeCells count="1">
    <mergeCell ref="C280:D280"/>
  </mergeCells>
  <pageMargins left="0.59055118110236227" right="0.31496062992125984" top="0.35433070866141736" bottom="0.35433070866141736" header="0.31496062992125984" footer="0.31496062992125984"/>
  <pageSetup paperSize="9" scale="9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3</vt:i4>
      </vt:variant>
      <vt:variant>
        <vt:lpstr>Imenovani rasponi</vt:lpstr>
      </vt:variant>
      <vt:variant>
        <vt:i4>2</vt:i4>
      </vt:variant>
    </vt:vector>
  </HeadingPairs>
  <TitlesOfParts>
    <vt:vector size="5" baseType="lpstr">
      <vt:lpstr>Naslovnica</vt:lpstr>
      <vt:lpstr>Opci uvjeti</vt:lpstr>
      <vt:lpstr>1.Građevinsko-obrt radovi</vt:lpstr>
      <vt:lpstr>'1.Građevinsko-obrt radovi'!Ispis_naslova</vt:lpstr>
      <vt:lpstr>Naslovnica!Podrucje_ispisa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Črček</dc:creator>
  <cp:lastModifiedBy>Andrea Črček</cp:lastModifiedBy>
  <dcterms:created xsi:type="dcterms:W3CDTF">2026-01-20T15:43:58Z</dcterms:created>
  <dcterms:modified xsi:type="dcterms:W3CDTF">2026-02-19T19:36:28Z</dcterms:modified>
</cp:coreProperties>
</file>